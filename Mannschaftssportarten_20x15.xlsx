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.Keller\sportrankle\"/>
    </mc:Choice>
  </mc:AlternateContent>
  <xr:revisionPtr revIDLastSave="0" documentId="13_ncr:1_{6942F287-7FE5-4795-9BAB-1C345FE4C32F}" xr6:coauthVersionLast="47" xr6:coauthVersionMax="47" xr10:uidLastSave="{00000000-0000-0000-0000-000000000000}"/>
  <bookViews>
    <workbookView xWindow="3510" yWindow="3510" windowWidth="28800" windowHeight="15225" tabRatio="500" xr2:uid="{00000000-000D-0000-FFFF-FFFF00000000}"/>
  </bookViews>
  <sheets>
    <sheet name="Mannschaftssportarten" sheetId="1" r:id="rId1"/>
    <sheet name="Ränge" sheetId="2" r:id="rId2"/>
    <sheet name="Kategorien" sheetId="3" r:id="rId3"/>
  </sheets>
  <definedNames>
    <definedName name="_xlnm._FilterDatabase" localSheetId="0" hidden="1">Mannschaftssportarten!$A$1:$T$21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" l="1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R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Commons-Dateiseite mit Urheber und Lizenz (meist CC BY / CC BY-SA, Namensnennung nötig).</t>
        </r>
      </text>
    </comment>
    <comment ref="S1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Direkte Bild-URL auf upload.wikimedia.org (960px-Vorschau bzw. Original).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<sst xmlns="http://schemas.openxmlformats.org/spreadsheetml/2006/main" count="201" uniqueCount="159">
  <si>
    <t>Sportart</t>
  </si>
  <si>
    <t>Aktive pro Team auf dem Feld (Spieler)</t>
  </si>
  <si>
    <t>Spielfeldfläche (m²)</t>
  </si>
  <si>
    <t>Spielfeldlänge (m)</t>
  </si>
  <si>
    <t>Spielabschnitte (Anzahl)</t>
  </si>
  <si>
    <t>Schiedsrichter im Spiel (Personen)</t>
  </si>
  <si>
    <t>Punkte für den höchsten Einzeltreffer (Punkte)</t>
  </si>
  <si>
    <t>Gewicht Spielgerät (g)</t>
  </si>
  <si>
    <t>Durchmesser / Länge Spielgerät (cm)</t>
  </si>
  <si>
    <t>Höhe Tor / Korb / Netz (cm)</t>
  </si>
  <si>
    <t>Entstehungsjahr (moderne Regeln) (Jahr)</t>
  </si>
  <si>
    <t>Gründungsjahr Weltverband (Jahr)</t>
  </si>
  <si>
    <t>Mitgliedsverbände Weltverband (Anzahl)</t>
  </si>
  <si>
    <t>Erste Herren-WM (Jahr)</t>
  </si>
  <si>
    <t>Erste Frauen-WM (Jahr)</t>
  </si>
  <si>
    <t>Teams an der letzten WM (Herren) (Anzahl)</t>
  </si>
  <si>
    <t>Anmerkung / Prüfen</t>
  </si>
  <si>
    <t>Bildquelle (Wikimedia Commons)</t>
  </si>
  <si>
    <t>Bild-URL</t>
  </si>
  <si>
    <t>Bild</t>
  </si>
  <si>
    <t>Fussball</t>
  </si>
  <si>
    <t>Feld 105x68 (FIFA-Standard); WM 2026 mit 48 Teams</t>
  </si>
  <si>
    <t>https://commons.wikimedia.org/wiki/File:Adidas_soccer_ball_on_a_grass_pitch_(Unsplash).jpg</t>
  </si>
  <si>
    <t>https://upload.wikimedia.org/wikipedia/commons/thumb/7/7f/Adidas_soccer_ball_on_a_grass_pitch_(Unsplash).jpg/960px-Adidas_soccer_ball_on_a_grass_pitch_(Unsplash).jpg</t>
  </si>
  <si>
    <t>Basketball</t>
  </si>
  <si>
    <t>FIBA-Masse</t>
  </si>
  <si>
    <t>https://commons.wikimedia.org/wiki/File:Basketball_through_hoop.jpg</t>
  </si>
  <si>
    <t>https://upload.wikimedia.org/wikipedia/commons/thumb/1/10/Basketball_through_hoop.jpg/960px-Basketball_through_hoop.jpg</t>
  </si>
  <si>
    <t>Handball</t>
  </si>
  <si>
    <t>https://commons.wikimedia.org/wiki/File:Handball_champ_2011-_Egypt_vs_France.jpg</t>
  </si>
  <si>
    <t>https://upload.wikimedia.org/wikipedia/commons/thumb/d/df/Handball_champ_2011-_Egypt_vs_France.jpg/960px-Handball_champ_2011-_Egypt_vs_France.jpg</t>
  </si>
  <si>
    <t>Volleyball</t>
  </si>
  <si>
    <t>Abschnitte = max. Sätze; Netzhöhe Herren</t>
  </si>
  <si>
    <t>https://commons.wikimedia.org/wiki/File:Volleyball_spike.jpg</t>
  </si>
  <si>
    <t>https://upload.wikimedia.org/wikipedia/commons/thumb/f/f6/Volleyball_spike.jpg/960px-Volleyball_spike.jpg</t>
  </si>
  <si>
    <t>Beachvolleyball</t>
  </si>
  <si>
    <t>Abschnitte = max. Sätze</t>
  </si>
  <si>
    <t>https://commons.wikimedia.org/wiki/File:2017_European_Beach_Volleyball_Championships.jpg</t>
  </si>
  <si>
    <t>https://upload.wikimedia.org/wikipedia/commons/8/82/2017_European_Beach_Volleyball_Championships.jpg</t>
  </si>
  <si>
    <t>Eishockey</t>
  </si>
  <si>
    <t>IIHF-Feld 60x30; 2 Hauptschiedsrichter + 2 Linienrichter; erste WM 1920 (Olympia), eigenständig 1930</t>
  </si>
  <si>
    <t>https://commons.wikimedia.org/wiki/File:Ice_hockey_stick_and_puck_20170120.jpg</t>
  </si>
  <si>
    <t>https://upload.wikimedia.org/wikipedia/commons/thumb/b/bd/Ice_hockey_stick_and_puck_20170120.jpg/960px-Ice_hockey_stick_and_puck_20170120.jpg</t>
  </si>
  <si>
    <t>Feldhockey</t>
  </si>
  <si>
    <t>Feld 91.4x55</t>
  </si>
  <si>
    <t>https://commons.wikimedia.org/wiki/File:Field_hockey_at_the_2012_Summer_Olympics_-_NZL-AUS_(7796665032).jpg</t>
  </si>
  <si>
    <t>https://upload.wikimedia.org/wikipedia/commons/thumb/e/eb/Field_hockey_at_the_2012_Summer_Olympics_-_NZL-AUS_(7796665032).jpg/960px-Field_hockey_at_the_2012_Summer_Olympics_-_NZL-AUS_(7796665032).jpg</t>
  </si>
  <si>
    <t>Rugby Union</t>
  </si>
  <si>
    <t>Feld 100x70 ohne Malfeld; Punkte = Versuch; Höhe = Querlatte; Länge Spielgerät = Ball-Längsachse; WM 2027 mit 24 Teams</t>
  </si>
  <si>
    <t>https://commons.wikimedia.org/wiki/File:Scrum-1.JPG</t>
  </si>
  <si>
    <t>https://upload.wikimedia.org/wikipedia/commons/thumb/b/bd/Scrum-1.JPG/960px-Scrum-1.JPG</t>
  </si>
  <si>
    <t>Rugby League</t>
  </si>
  <si>
    <t>Mitgliederzahl prüfen; Teams = WM 2021 (WM 2026 noch offen)</t>
  </si>
  <si>
    <t>https://commons.wikimedia.org/wiki/File:England_v_France_2013_RLWC_(1).jpg</t>
  </si>
  <si>
    <t>https://upload.wikimedia.org/wikipedia/commons/thumb/c/cb/England_v_France_2013_RLWC_(1).jpg/960px-England_v_France_2013_RLWC_(1).jpg</t>
  </si>
  <si>
    <t>American Football</t>
  </si>
  <si>
    <t>120 x 53.3 yd inkl. Endzonen; Punkte = Touchdown; 7 Offizielle (NFL-Crew); Teams an IFAF-WM prüfen</t>
  </si>
  <si>
    <t>https://commons.wikimedia.org/wiki/File:2007_Hawaii_Bowl_-_Boise_State_University_vs_East_Carolina_University_-_Patrick_Pinkney_running.jpg</t>
  </si>
  <si>
    <t>https://upload.wikimedia.org/wikipedia/commons/thumb/0/07/2007_Hawaii_Bowl_-_Boise_State_University_vs_East_Carolina_University_-_Patrick_Pinkney_running.jpg/960px-2007_Hawaii_Bowl_-_Boise_State_University_vs_East_Carolina_University_-_Patrick_Pinkney_running.jpg</t>
  </si>
  <si>
    <t>Cricket</t>
  </si>
  <si>
    <t>Fläche ca., Oval variabel; Länge = Pitch; Abschnitte = Innings (ODI); Höhe = Stumps; Teams = ODI-WM 2023 (T20-WM 2024: 20)</t>
  </si>
  <si>
    <t>https://commons.wikimedia.org/wiki/File:Cricket_picture.jpg</t>
  </si>
  <si>
    <t>https://upload.wikimedia.org/wikipedia/commons/thumb/3/3e/Cricket_picture.jpg/960px-Cricket_picture.jpg</t>
  </si>
  <si>
    <t>Baseball</t>
  </si>
  <si>
    <t>Fläche ca. inkl. Foul-Territorium; Länge = Base-Distanz; Punkte = Grand Slam (4 Runs); 4 Umpires (MLB); Teams = WBC 2026</t>
  </si>
  <si>
    <t>https://commons.wikimedia.org/wiki/File:A_baseball_and_glove.jpg</t>
  </si>
  <si>
    <t>https://upload.wikimedia.org/wikipedia/commons/b/b1/A_baseball_and_glove.jpg</t>
  </si>
  <si>
    <t>Softball</t>
  </si>
  <si>
    <t>Fastpitch; Fläche ca.; Länge = Base-Distanz; Teams an letzter WM prüfen</t>
  </si>
  <si>
    <t>https://commons.wikimedia.org/wiki/File:DCTC-Fastpitch-Softball.jpg</t>
  </si>
  <si>
    <t>https://upload.wikimedia.org/wikipedia/commons/thumb/f/f9/DCTC-Fastpitch-Softball.jpg/960px-DCTC-Fastpitch-Softball.jpg</t>
  </si>
  <si>
    <t>Wasserball</t>
  </si>
  <si>
    <t>Feld 30x20 (Herren); Höhe = Tor über Wasser</t>
  </si>
  <si>
    <t>https://commons.wikimedia.org/wiki/File:WaterPolo.JPG</t>
  </si>
  <si>
    <t>https://upload.wikimedia.org/wikipedia/commons/thumb/e/e5/WaterPolo.JPG/960px-WaterPolo.JPG</t>
  </si>
  <si>
    <t>Unihockey</t>
  </si>
  <si>
    <t>Grossfeld 40x20</t>
  </si>
  <si>
    <t>https://commons.wikimedia.org/wiki/File:Floorball_stick_blade_and_ball.jpg</t>
  </si>
  <si>
    <t>https://upload.wikimedia.org/wikipedia/commons/thumb/f/f0/Floorball_stick_blade_and_ball.jpg/960px-Floorball_stick_blade_and_ball.jpg</t>
  </si>
  <si>
    <t>Lacrosse</t>
  </si>
  <si>
    <t>Field Lacrosse 110x60 yd; Teams = WM 2023</t>
  </si>
  <si>
    <t>https://commons.wikimedia.org/wiki/File:Lacrosse_stick_8025.jpg</t>
  </si>
  <si>
    <t>https://upload.wikimedia.org/wikipedia/commons/thumb/f/f1/Lacrosse_stick_8025.jpg/960px-Lacrosse_stick_8025.jpg</t>
  </si>
  <si>
    <t>Futsal</t>
  </si>
  <si>
    <t>Feld 40x20 international; erste FIFA-Frauen-WM 2025</t>
  </si>
  <si>
    <t>https://commons.wikimedia.org/wiki/File:FIFA_Futsal_WWC_Philsports_Arena.jpg</t>
  </si>
  <si>
    <t>https://upload.wikimedia.org/wikipedia/commons/thumb/0/0f/FIFA_Futsal_WWC_Philsports_Arena.jpg/960px-FIFA_Futsal_WWC_Philsports_Arena.jpg</t>
  </si>
  <si>
    <t>Netball</t>
  </si>
  <si>
    <t>Feld 30.5x15.25</t>
  </si>
  <si>
    <t>https://commons.wikimedia.org/wiki/File:North_Central_Netball_Victoria.jpg</t>
  </si>
  <si>
    <t>https://upload.wikimedia.org/wikipedia/commons/thumb/e/e7/North_Central_Netball_Victoria.jpg/960px-North_Central_Netball_Victoria.jpg</t>
  </si>
  <si>
    <t>Curling</t>
  </si>
  <si>
    <t>Fläche/Länge = Sheet; Abschnitte = Ends (WM 10, Olympia 2026: 8); selbstregulierend, kein Schiedsrichter auf dem Eis; Punkte = max. pro End; Gewicht/Durchmesser = Stein</t>
  </si>
  <si>
    <t>https://commons.wikimedia.org/wiki/File:Curling_Stones.jpg</t>
  </si>
  <si>
    <t>https://upload.wikimedia.org/wikipedia/commons/thumb/1/17/Curling_Stones.jpg/960px-Curling_Stones.jpg</t>
  </si>
  <si>
    <t>Rollhockey</t>
  </si>
  <si>
    <t>Feld 40x20; Teams an letzter WM prüfen</t>
  </si>
  <si>
    <t>https://commons.wikimedia.org/wiki/File:Alemania_vs_Italia_-_2014_CERH_European_Championship_-_11.jpg</t>
  </si>
  <si>
    <t>https://upload.wikimedia.org/wikipedia/commons/thumb/f/f2/Alemania_vs_Italia_-_2014_CERH_European_Championship_-_11.jpg/960px-Alemania_vs_Italia_-_2014_CERH_European_Championship_-_11.jpg</t>
  </si>
  <si>
    <t>Aktive pro Team auf dem Feld</t>
  </si>
  <si>
    <t>Spielfeldfläche</t>
  </si>
  <si>
    <t>Spielfeldlänge</t>
  </si>
  <si>
    <t>Spielabschnitte</t>
  </si>
  <si>
    <t>Schiedsrichter im Spiel</t>
  </si>
  <si>
    <t>Punkte für den höchsten Einzeltreffer</t>
  </si>
  <si>
    <t>Gewicht Spielgerät</t>
  </si>
  <si>
    <t>Durchmesser / Länge Spielgerät</t>
  </si>
  <si>
    <t>Höhe Tor / Korb / Netz</t>
  </si>
  <si>
    <t>Entstehungsjahr (moderne Regeln)</t>
  </si>
  <si>
    <t>Gründungsjahr Weltverband</t>
  </si>
  <si>
    <t>Mitgliedsverbände Weltverband</t>
  </si>
  <si>
    <t>Erste Herren-WM</t>
  </si>
  <si>
    <t>Erste Frauen-WM</t>
  </si>
  <si>
    <t>Teams an der letzten WM (Herren)</t>
  </si>
  <si>
    <t>Rang 1 = bester Wert in Spielrichtung (siehe Blatt Kategorien). Formeln beziehen sich live auf das Datenblatt.</t>
  </si>
  <si>
    <t>#</t>
  </si>
  <si>
    <t>Kategorie</t>
  </si>
  <si>
    <t>Einheit</t>
  </si>
  <si>
    <t>Rang 1 =</t>
  </si>
  <si>
    <t>Datenqualität</t>
  </si>
  <si>
    <t>Definition / Hinweis</t>
  </si>
  <si>
    <t>Spieler</t>
  </si>
  <si>
    <t>meiste</t>
  </si>
  <si>
    <t>hart</t>
  </si>
  <si>
    <t>Regelwerk; inkl. Torhüter</t>
  </si>
  <si>
    <t>m²</t>
  </si>
  <si>
    <t>grösste</t>
  </si>
  <si>
    <t>hart (Cricket/Baseball/Softball ca.)</t>
  </si>
  <si>
    <t>Standardmasse gemäss Weltverband; bei Oval-/Diamantfeldern Näherung</t>
  </si>
  <si>
    <t>m</t>
  </si>
  <si>
    <t>längste</t>
  </si>
  <si>
    <t>bei Cricket Pitch, bei Baseball/Softball Base-Distanz, bei Curling Sheet – siehe Anmerkung</t>
  </si>
  <si>
    <t>Anzahl</t>
  </si>
  <si>
    <t>Halbzeiten, Viertel, Drittel, max. Sätze, Innings oder Ends</t>
  </si>
  <si>
    <t>Personen</t>
  </si>
  <si>
    <t>Offizielle mit voller Entscheidungsgewalt auf dem Feld, ohne Linien-/Torrichter</t>
  </si>
  <si>
    <t>Punkte</t>
  </si>
  <si>
    <t>Wert der höchstbewerteten einzelnen Aktion (Versuch, Touchdown, Sechser, Grand Slam, Dreier, volles End)</t>
  </si>
  <si>
    <t>g</t>
  </si>
  <si>
    <t>schwerste</t>
  </si>
  <si>
    <t>Mittelwert des Regelbereichs; Curling = Stein, Eishockey = Puck</t>
  </si>
  <si>
    <t>cm</t>
  </si>
  <si>
    <t>Kugeln: Durchmesser; Eier-Bälle: Längsachse</t>
  </si>
  <si>
    <t>höchste</t>
  </si>
  <si>
    <t>Querlatte, Ring, Netzoberkante, Stumps; Baseball, Softball, Curling ohne Wert</t>
  </si>
  <si>
    <t>Jahr</t>
  </si>
  <si>
    <t>ältestes</t>
  </si>
  <si>
    <t>mittel</t>
  </si>
  <si>
    <t>Kodifizierung oder erste belegte moderne Form</t>
  </si>
  <si>
    <t>bei Fusionen das Fusionsjahr (WBSC 2013)</t>
  </si>
  <si>
    <t>gerundet, Stand ca. 2025; Zählweise je Verband verschieden</t>
  </si>
  <si>
    <t>frühestes</t>
  </si>
  <si>
    <t>erste offizielle Weltmeisterschaft des Weltverbands</t>
  </si>
  <si>
    <t>erste offizielle Frauen-Weltmeisterschaft</t>
  </si>
  <si>
    <t>zuletzt ausgetragene WM; bei 'prüfen' in der Anmerkung unsicher</t>
  </si>
  <si>
    <t>Hinweise</t>
  </si>
  <si>
    <t>Stand 22.09.2026. Werte aus allgemeinem Wissen, nicht einzeln gegen Primärquellen verifiziert; 'prüfen' in der Anmerkung markiert unsichere Zellen.</t>
  </si>
  <si>
    <t>Alle 15 Kategorien sind numerisch und sortierbar. Leere Zellen (Höhe bei Baseball, Softball, Curling) werden im Blatt Ränge übersprungen.</t>
  </si>
  <si>
    <t>Bei Regelbereichen (Ballgewicht 410–450 g) steht der Mittelwert; für das Spiel reicht die Reihenfolge, nicht der exakte Wert.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</si>
</sst>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274ADC"/>
        <bgColor rgb="FF3333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74AD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upload.wikimedia.org/wikipedia/commons/thumb/f/f0/Floorball_stick_blade_and_ball.jpg/960px-Floorball_stick_blade_and_ball.jpg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upload.wikimedia.org/wikipedia/commons/thumb/f/f9/DCTC-Fastpitch-Softball.jpg/960px-DCTC-Fastpitch-Softball.jpg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s://upload.wikimedia.org/wikipedia/commons/thumb/f/f2/Alemania_vs_Italia_-_2014_CERH_European_Championship_-_11.jpg/960px-Alemania_vs_Italia_-_2014_CERH_European_Championship_-_11.jpg" TargetMode="External"/><Relationship Id="rId4" Type="http://schemas.openxmlformats.org/officeDocument/2006/relationships/image" Target="../media/image2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4">
  <rv s="0">
    <v>14</v>
  </rv>
  <rv s="1">
    <v>0</v>
    <v>1</v>
    <v>0</v>
    <v>0</v>
    <v>Softball</v>
  </rv>
  <rv s="1">
    <v>1</v>
    <v>1</v>
    <v>0</v>
    <v>0</v>
    <v>Unihockey</v>
  </rv>
  <rv s="1">
    <v>2</v>
    <v>1</v>
    <v>0</v>
    <v>0</v>
    <v>Rollhockey</v>
  </rv>
</rvData>
</file>

<file path=xl/richData/rdrichvaluestructure.xml><?xml version="1.0" encoding="utf-8"?>
<rvStructures xmlns="http://schemas.microsoft.com/office/spreadsheetml/2017/richdata" count="2">
  <s t="_error">
    <k n="errorType" t="i"/>
  </s>
  <s t="_webimage">
    <k n="WebImageIdentifier" t="i"/>
    <k n="CalcOrigin" t="i"/>
    <k n="ComputedImage" t="b"/>
    <k n="ImageSizing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ons.wikimedia.org/wiki/File:Scrum-1.JPG" TargetMode="External"/><Relationship Id="rId13" Type="http://schemas.openxmlformats.org/officeDocument/2006/relationships/hyperlink" Target="https://commons.wikimedia.org/wiki/File:DCTC-Fastpitch-Softball.jpg" TargetMode="External"/><Relationship Id="rId18" Type="http://schemas.openxmlformats.org/officeDocument/2006/relationships/hyperlink" Target="https://commons.wikimedia.org/wiki/File:North_Central_Netball_Victoria.jpg" TargetMode="External"/><Relationship Id="rId3" Type="http://schemas.openxmlformats.org/officeDocument/2006/relationships/hyperlink" Target="https://commons.wikimedia.org/wiki/File:Handball_champ_2011-_Egypt_vs_France.jpg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commons.wikimedia.org/wiki/File:Field_hockey_at_the_2012_Summer_Olympics_-_NZL-AUS_(7796665032).jpg" TargetMode="External"/><Relationship Id="rId12" Type="http://schemas.openxmlformats.org/officeDocument/2006/relationships/hyperlink" Target="https://commons.wikimedia.org/wiki/File:A_baseball_and_glove.jpg" TargetMode="External"/><Relationship Id="rId17" Type="http://schemas.openxmlformats.org/officeDocument/2006/relationships/hyperlink" Target="https://commons.wikimedia.org/wiki/File:FIFA_Futsal_WWC_Philsports_Arena.jpg" TargetMode="External"/><Relationship Id="rId2" Type="http://schemas.openxmlformats.org/officeDocument/2006/relationships/hyperlink" Target="https://commons.wikimedia.org/wiki/File:Basketball_through_hoop.jpg" TargetMode="External"/><Relationship Id="rId16" Type="http://schemas.openxmlformats.org/officeDocument/2006/relationships/hyperlink" Target="https://commons.wikimedia.org/wiki/File:Lacrosse_stick_8025.jpg" TargetMode="External"/><Relationship Id="rId20" Type="http://schemas.openxmlformats.org/officeDocument/2006/relationships/hyperlink" Target="https://commons.wikimedia.org/wiki/File:Alemania_vs_Italia_-_2014_CERH_European_Championship_-_11.jpg" TargetMode="External"/><Relationship Id="rId1" Type="http://schemas.openxmlformats.org/officeDocument/2006/relationships/hyperlink" Target="https://commons.wikimedia.org/wiki/File:Adidas_soccer_ball_on_a_grass_pitch_(Unsplash).jpg" TargetMode="External"/><Relationship Id="rId6" Type="http://schemas.openxmlformats.org/officeDocument/2006/relationships/hyperlink" Target="https://commons.wikimedia.org/wiki/File:Ice_hockey_stick_and_puck_20170120.jpg" TargetMode="External"/><Relationship Id="rId11" Type="http://schemas.openxmlformats.org/officeDocument/2006/relationships/hyperlink" Target="https://commons.wikimedia.org/wiki/File:Cricket_picture.jpg" TargetMode="External"/><Relationship Id="rId5" Type="http://schemas.openxmlformats.org/officeDocument/2006/relationships/hyperlink" Target="https://commons.wikimedia.org/wiki/File:2017_European_Beach_Volleyball_Championships.jpg" TargetMode="External"/><Relationship Id="rId15" Type="http://schemas.openxmlformats.org/officeDocument/2006/relationships/hyperlink" Target="https://commons.wikimedia.org/wiki/File:Floorball_stick_blade_and_ball.jpg" TargetMode="External"/><Relationship Id="rId10" Type="http://schemas.openxmlformats.org/officeDocument/2006/relationships/hyperlink" Target="https://commons.wikimedia.org/wiki/File:2007_Hawaii_Bowl_-_Boise_State_University_vs_East_Carolina_University_-_Patrick_Pinkney_running.jpg" TargetMode="External"/><Relationship Id="rId19" Type="http://schemas.openxmlformats.org/officeDocument/2006/relationships/hyperlink" Target="https://commons.wikimedia.org/wiki/File:Curling_Stones.jpg" TargetMode="External"/><Relationship Id="rId4" Type="http://schemas.openxmlformats.org/officeDocument/2006/relationships/hyperlink" Target="https://commons.wikimedia.org/wiki/File:Volleyball_spike.jpg" TargetMode="External"/><Relationship Id="rId9" Type="http://schemas.openxmlformats.org/officeDocument/2006/relationships/hyperlink" Target="https://commons.wikimedia.org/wiki/File:England_v_France_2013_RLWC_(1).jpg" TargetMode="External"/><Relationship Id="rId14" Type="http://schemas.openxmlformats.org/officeDocument/2006/relationships/hyperlink" Target="https://commons.wikimedia.org/wiki/File:WaterPolo.JPG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0" customWidth="1"/>
    <col min="2" max="16" width="13" customWidth="1"/>
    <col min="17" max="17" width="60" customWidth="1"/>
    <col min="18" max="18" width="40" customWidth="1"/>
    <col min="19" max="19" width="55" customWidth="1"/>
    <col min="20" max="20" width="22" customWidth="1"/>
  </cols>
  <sheetData>
    <row r="1" spans="1:20" ht="5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0.099999999999994" customHeight="1" x14ac:dyDescent="0.25">
      <c r="A2" s="2" t="s">
        <v>20</v>
      </c>
      <c r="B2" s="3">
        <v>11</v>
      </c>
      <c r="C2" s="3">
        <v>7140</v>
      </c>
      <c r="D2" s="3">
        <v>105</v>
      </c>
      <c r="E2" s="3">
        <v>2</v>
      </c>
      <c r="F2" s="3">
        <v>1</v>
      </c>
      <c r="G2" s="3">
        <v>1</v>
      </c>
      <c r="H2" s="3">
        <v>430</v>
      </c>
      <c r="I2" s="3">
        <v>22</v>
      </c>
      <c r="J2" s="3">
        <v>244</v>
      </c>
      <c r="K2" s="3">
        <v>1863</v>
      </c>
      <c r="L2" s="3">
        <v>1904</v>
      </c>
      <c r="M2" s="3">
        <v>211</v>
      </c>
      <c r="N2" s="3">
        <v>1930</v>
      </c>
      <c r="O2" s="3">
        <v>1991</v>
      </c>
      <c r="P2" s="3">
        <v>48</v>
      </c>
      <c r="Q2" s="4" t="s">
        <v>21</v>
      </c>
      <c r="R2" s="10" t="s">
        <v>22</v>
      </c>
      <c r="S2" s="11" t="s">
        <v>23</v>
      </c>
      <c r="T2" s="12" t="str">
        <f ca="1">_xlfn.IMAGE(S2,"Fussball",0)</f>
        <v/>
      </c>
    </row>
    <row r="3" spans="1:20" ht="80.099999999999994" customHeight="1" x14ac:dyDescent="0.25">
      <c r="A3" s="2" t="s">
        <v>24</v>
      </c>
      <c r="B3" s="3">
        <v>5</v>
      </c>
      <c r="C3" s="3">
        <v>420</v>
      </c>
      <c r="D3" s="3">
        <v>28</v>
      </c>
      <c r="E3" s="3">
        <v>4</v>
      </c>
      <c r="F3" s="3">
        <v>3</v>
      </c>
      <c r="G3" s="3">
        <v>3</v>
      </c>
      <c r="H3" s="3">
        <v>620</v>
      </c>
      <c r="I3" s="3">
        <v>24</v>
      </c>
      <c r="J3" s="3">
        <v>305</v>
      </c>
      <c r="K3" s="3">
        <v>1891</v>
      </c>
      <c r="L3" s="3">
        <v>1932</v>
      </c>
      <c r="M3" s="3">
        <v>212</v>
      </c>
      <c r="N3" s="3">
        <v>1950</v>
      </c>
      <c r="O3" s="3">
        <v>1953</v>
      </c>
      <c r="P3" s="3">
        <v>32</v>
      </c>
      <c r="Q3" s="4" t="s">
        <v>25</v>
      </c>
      <c r="R3" s="10" t="s">
        <v>26</v>
      </c>
      <c r="S3" s="11" t="s">
        <v>27</v>
      </c>
      <c r="T3" s="12" t="str">
        <f ca="1">_xlfn.IMAGE(S3,"Basketball",0)</f>
        <v/>
      </c>
    </row>
    <row r="4" spans="1:20" ht="80.099999999999994" customHeight="1" x14ac:dyDescent="0.25">
      <c r="A4" s="2" t="s">
        <v>28</v>
      </c>
      <c r="B4" s="3">
        <v>7</v>
      </c>
      <c r="C4" s="3">
        <v>800</v>
      </c>
      <c r="D4" s="3">
        <v>40</v>
      </c>
      <c r="E4" s="3">
        <v>2</v>
      </c>
      <c r="F4" s="3">
        <v>2</v>
      </c>
      <c r="G4" s="3">
        <v>1</v>
      </c>
      <c r="H4" s="3">
        <v>450</v>
      </c>
      <c r="I4" s="3">
        <v>19</v>
      </c>
      <c r="J4" s="3">
        <v>200</v>
      </c>
      <c r="K4" s="3">
        <v>1917</v>
      </c>
      <c r="L4" s="3">
        <v>1946</v>
      </c>
      <c r="M4" s="3">
        <v>209</v>
      </c>
      <c r="N4" s="3">
        <v>1938</v>
      </c>
      <c r="O4" s="3">
        <v>1957</v>
      </c>
      <c r="P4" s="3">
        <v>32</v>
      </c>
      <c r="Q4" s="4"/>
      <c r="R4" s="10" t="s">
        <v>29</v>
      </c>
      <c r="S4" s="11" t="s">
        <v>30</v>
      </c>
      <c r="T4" s="12" t="str">
        <f ca="1">_xlfn.IMAGE(S4,"Handball",0)</f>
        <v/>
      </c>
    </row>
    <row r="5" spans="1:20" ht="80.099999999999994" customHeight="1" x14ac:dyDescent="0.25">
      <c r="A5" s="2" t="s">
        <v>31</v>
      </c>
      <c r="B5" s="3">
        <v>6</v>
      </c>
      <c r="C5" s="3">
        <v>162</v>
      </c>
      <c r="D5" s="3">
        <v>18</v>
      </c>
      <c r="E5" s="3">
        <v>5</v>
      </c>
      <c r="F5" s="3">
        <v>2</v>
      </c>
      <c r="G5" s="3">
        <v>1</v>
      </c>
      <c r="H5" s="3">
        <v>270</v>
      </c>
      <c r="I5" s="3">
        <v>21</v>
      </c>
      <c r="J5" s="3">
        <v>243</v>
      </c>
      <c r="K5" s="3">
        <v>1895</v>
      </c>
      <c r="L5" s="3">
        <v>1947</v>
      </c>
      <c r="M5" s="3">
        <v>222</v>
      </c>
      <c r="N5" s="3">
        <v>1949</v>
      </c>
      <c r="O5" s="3">
        <v>1952</v>
      </c>
      <c r="P5" s="3">
        <v>32</v>
      </c>
      <c r="Q5" s="4" t="s">
        <v>32</v>
      </c>
      <c r="R5" s="10" t="s">
        <v>33</v>
      </c>
      <c r="S5" s="11" t="s">
        <v>34</v>
      </c>
      <c r="T5" s="12" t="str">
        <f ca="1">_xlfn.IMAGE(S5,"Volleyball",0)</f>
        <v/>
      </c>
    </row>
    <row r="6" spans="1:20" ht="80.099999999999994" customHeight="1" x14ac:dyDescent="0.25">
      <c r="A6" s="2" t="s">
        <v>35</v>
      </c>
      <c r="B6" s="3">
        <v>2</v>
      </c>
      <c r="C6" s="3">
        <v>128</v>
      </c>
      <c r="D6" s="3">
        <v>16</v>
      </c>
      <c r="E6" s="3">
        <v>3</v>
      </c>
      <c r="F6" s="3">
        <v>2</v>
      </c>
      <c r="G6" s="3">
        <v>1</v>
      </c>
      <c r="H6" s="3">
        <v>270</v>
      </c>
      <c r="I6" s="3">
        <v>21</v>
      </c>
      <c r="J6" s="3">
        <v>243</v>
      </c>
      <c r="K6" s="3">
        <v>1920</v>
      </c>
      <c r="L6" s="3">
        <v>1947</v>
      </c>
      <c r="M6" s="3">
        <v>222</v>
      </c>
      <c r="N6" s="3">
        <v>1997</v>
      </c>
      <c r="O6" s="3">
        <v>1997</v>
      </c>
      <c r="P6" s="3">
        <v>48</v>
      </c>
      <c r="Q6" s="4" t="s">
        <v>36</v>
      </c>
      <c r="R6" s="10" t="s">
        <v>37</v>
      </c>
      <c r="S6" s="11" t="s">
        <v>38</v>
      </c>
      <c r="T6" s="12" t="str">
        <f ca="1">_xlfn.IMAGE(S6,"Beachvolleyball",0)</f>
        <v/>
      </c>
    </row>
    <row r="7" spans="1:20" ht="80.099999999999994" customHeight="1" x14ac:dyDescent="0.25">
      <c r="A7" s="2" t="s">
        <v>39</v>
      </c>
      <c r="B7" s="3">
        <v>6</v>
      </c>
      <c r="C7" s="3">
        <v>1800</v>
      </c>
      <c r="D7" s="3">
        <v>60</v>
      </c>
      <c r="E7" s="3">
        <v>3</v>
      </c>
      <c r="F7" s="3">
        <v>2</v>
      </c>
      <c r="G7" s="3">
        <v>1</v>
      </c>
      <c r="H7" s="3">
        <v>165</v>
      </c>
      <c r="I7" s="3">
        <v>7.6</v>
      </c>
      <c r="J7" s="3">
        <v>122</v>
      </c>
      <c r="K7" s="3">
        <v>1875</v>
      </c>
      <c r="L7" s="3">
        <v>1908</v>
      </c>
      <c r="M7" s="3">
        <v>84</v>
      </c>
      <c r="N7" s="3">
        <v>1920</v>
      </c>
      <c r="O7" s="3">
        <v>1990</v>
      </c>
      <c r="P7" s="3">
        <v>16</v>
      </c>
      <c r="Q7" s="4" t="s">
        <v>40</v>
      </c>
      <c r="R7" s="10" t="s">
        <v>41</v>
      </c>
      <c r="S7" s="11" t="s">
        <v>42</v>
      </c>
      <c r="T7" s="12" t="str">
        <f ca="1">_xlfn.IMAGE(S7,"Eishockey",0)</f>
        <v/>
      </c>
    </row>
    <row r="8" spans="1:20" ht="80.099999999999994" customHeight="1" x14ac:dyDescent="0.25">
      <c r="A8" s="2" t="s">
        <v>43</v>
      </c>
      <c r="B8" s="3">
        <v>11</v>
      </c>
      <c r="C8" s="3">
        <v>5027</v>
      </c>
      <c r="D8" s="3">
        <v>91.4</v>
      </c>
      <c r="E8" s="3">
        <v>4</v>
      </c>
      <c r="F8" s="3">
        <v>2</v>
      </c>
      <c r="G8" s="3">
        <v>1</v>
      </c>
      <c r="H8" s="3">
        <v>160</v>
      </c>
      <c r="I8" s="3">
        <v>7.3</v>
      </c>
      <c r="J8" s="3">
        <v>214</v>
      </c>
      <c r="K8" s="3">
        <v>1886</v>
      </c>
      <c r="L8" s="3">
        <v>1924</v>
      </c>
      <c r="M8" s="3">
        <v>140</v>
      </c>
      <c r="N8" s="3">
        <v>1971</v>
      </c>
      <c r="O8" s="3">
        <v>1974</v>
      </c>
      <c r="P8" s="3">
        <v>16</v>
      </c>
      <c r="Q8" s="4" t="s">
        <v>44</v>
      </c>
      <c r="R8" s="10" t="s">
        <v>45</v>
      </c>
      <c r="S8" s="11" t="s">
        <v>46</v>
      </c>
      <c r="T8" s="12" t="str">
        <f ca="1">_xlfn.IMAGE(S8,"Feldhockey",0)</f>
        <v/>
      </c>
    </row>
    <row r="9" spans="1:20" ht="80.099999999999994" customHeight="1" x14ac:dyDescent="0.25">
      <c r="A9" s="2" t="s">
        <v>47</v>
      </c>
      <c r="B9" s="3">
        <v>15</v>
      </c>
      <c r="C9" s="3">
        <v>7000</v>
      </c>
      <c r="D9" s="3">
        <v>100</v>
      </c>
      <c r="E9" s="3">
        <v>2</v>
      </c>
      <c r="F9" s="3">
        <v>1</v>
      </c>
      <c r="G9" s="3">
        <v>5</v>
      </c>
      <c r="H9" s="3">
        <v>435</v>
      </c>
      <c r="I9" s="3">
        <v>30</v>
      </c>
      <c r="J9" s="3">
        <v>300</v>
      </c>
      <c r="K9" s="3">
        <v>1871</v>
      </c>
      <c r="L9" s="3">
        <v>1886</v>
      </c>
      <c r="M9" s="3">
        <v>130</v>
      </c>
      <c r="N9" s="3">
        <v>1987</v>
      </c>
      <c r="O9" s="3">
        <v>1991</v>
      </c>
      <c r="P9" s="3">
        <v>20</v>
      </c>
      <c r="Q9" s="4" t="s">
        <v>48</v>
      </c>
      <c r="R9" s="10" t="s">
        <v>49</v>
      </c>
      <c r="S9" s="11" t="s">
        <v>50</v>
      </c>
      <c r="T9" s="12" t="str">
        <f ca="1">_xlfn.IMAGE(S9,"Rugby Union",0)</f>
        <v/>
      </c>
    </row>
    <row r="10" spans="1:20" ht="80.099999999999994" customHeight="1" x14ac:dyDescent="0.25">
      <c r="A10" s="2" t="s">
        <v>51</v>
      </c>
      <c r="B10" s="3">
        <v>13</v>
      </c>
      <c r="C10" s="3">
        <v>6800</v>
      </c>
      <c r="D10" s="3">
        <v>100</v>
      </c>
      <c r="E10" s="3">
        <v>2</v>
      </c>
      <c r="F10" s="3">
        <v>1</v>
      </c>
      <c r="G10" s="3">
        <v>4</v>
      </c>
      <c r="H10" s="3">
        <v>435</v>
      </c>
      <c r="I10" s="3">
        <v>27</v>
      </c>
      <c r="J10" s="3">
        <v>300</v>
      </c>
      <c r="K10" s="3">
        <v>1895</v>
      </c>
      <c r="L10" s="3">
        <v>1948</v>
      </c>
      <c r="M10" s="3">
        <v>40</v>
      </c>
      <c r="N10" s="3">
        <v>1954</v>
      </c>
      <c r="O10" s="3">
        <v>2000</v>
      </c>
      <c r="P10" s="3">
        <v>16</v>
      </c>
      <c r="Q10" s="4" t="s">
        <v>52</v>
      </c>
      <c r="R10" s="10" t="s">
        <v>53</v>
      </c>
      <c r="S10" s="11" t="s">
        <v>54</v>
      </c>
      <c r="T10" s="12" t="str">
        <f ca="1">_xlfn.IMAGE(S10,"Rugby League",0)</f>
        <v/>
      </c>
    </row>
    <row r="11" spans="1:20" ht="80.099999999999994" customHeight="1" x14ac:dyDescent="0.25">
      <c r="A11" s="2" t="s">
        <v>55</v>
      </c>
      <c r="B11" s="3">
        <v>11</v>
      </c>
      <c r="C11" s="3">
        <v>5353</v>
      </c>
      <c r="D11" s="3">
        <v>109.7</v>
      </c>
      <c r="E11" s="3">
        <v>4</v>
      </c>
      <c r="F11" s="3">
        <v>7</v>
      </c>
      <c r="G11" s="3">
        <v>6</v>
      </c>
      <c r="H11" s="3">
        <v>415</v>
      </c>
      <c r="I11" s="3">
        <v>28</v>
      </c>
      <c r="J11" s="3">
        <v>305</v>
      </c>
      <c r="K11" s="3">
        <v>1880</v>
      </c>
      <c r="L11" s="3">
        <v>1998</v>
      </c>
      <c r="M11" s="3">
        <v>70</v>
      </c>
      <c r="N11" s="3">
        <v>1999</v>
      </c>
      <c r="O11" s="3">
        <v>2010</v>
      </c>
      <c r="P11" s="3">
        <v>7</v>
      </c>
      <c r="Q11" s="4" t="s">
        <v>56</v>
      </c>
      <c r="R11" s="10" t="s">
        <v>57</v>
      </c>
      <c r="S11" s="11" t="s">
        <v>58</v>
      </c>
      <c r="T11" s="12" t="str">
        <f ca="1">_xlfn.IMAGE(S11,"American Football",0)</f>
        <v/>
      </c>
    </row>
    <row r="12" spans="1:20" ht="80.099999999999994" customHeight="1" x14ac:dyDescent="0.25">
      <c r="A12" s="2" t="s">
        <v>59</v>
      </c>
      <c r="B12" s="3">
        <v>11</v>
      </c>
      <c r="C12" s="3">
        <v>16000</v>
      </c>
      <c r="D12" s="3">
        <v>20.12</v>
      </c>
      <c r="E12" s="3">
        <v>2</v>
      </c>
      <c r="F12" s="3">
        <v>2</v>
      </c>
      <c r="G12" s="3">
        <v>6</v>
      </c>
      <c r="H12" s="3">
        <v>160</v>
      </c>
      <c r="I12" s="3">
        <v>7.2</v>
      </c>
      <c r="J12" s="3">
        <v>71.099999999999994</v>
      </c>
      <c r="K12" s="3">
        <v>1744</v>
      </c>
      <c r="L12" s="3">
        <v>1909</v>
      </c>
      <c r="M12" s="3">
        <v>108</v>
      </c>
      <c r="N12" s="3">
        <v>1975</v>
      </c>
      <c r="O12" s="3">
        <v>1973</v>
      </c>
      <c r="P12" s="3">
        <v>10</v>
      </c>
      <c r="Q12" s="4" t="s">
        <v>60</v>
      </c>
      <c r="R12" s="10" t="s">
        <v>61</v>
      </c>
      <c r="S12" s="11" t="s">
        <v>62</v>
      </c>
      <c r="T12" s="12" t="str">
        <f ca="1">_xlfn.IMAGE(S12,"Cricket",0)</f>
        <v/>
      </c>
    </row>
    <row r="13" spans="1:20" ht="80.099999999999994" customHeight="1" x14ac:dyDescent="0.25">
      <c r="A13" s="2" t="s">
        <v>63</v>
      </c>
      <c r="B13" s="3">
        <v>9</v>
      </c>
      <c r="C13" s="3">
        <v>10000</v>
      </c>
      <c r="D13" s="3">
        <v>27.43</v>
      </c>
      <c r="E13" s="3">
        <v>9</v>
      </c>
      <c r="F13" s="3">
        <v>4</v>
      </c>
      <c r="G13" s="3">
        <v>4</v>
      </c>
      <c r="H13" s="3">
        <v>145</v>
      </c>
      <c r="I13" s="3">
        <v>7.4</v>
      </c>
      <c r="J13" s="3"/>
      <c r="K13" s="3">
        <v>1845</v>
      </c>
      <c r="L13" s="3">
        <v>2013</v>
      </c>
      <c r="M13" s="3">
        <v>200</v>
      </c>
      <c r="N13" s="3">
        <v>1938</v>
      </c>
      <c r="O13" s="3">
        <v>2004</v>
      </c>
      <c r="P13" s="3">
        <v>20</v>
      </c>
      <c r="Q13" s="4" t="s">
        <v>64</v>
      </c>
      <c r="R13" s="10" t="s">
        <v>65</v>
      </c>
      <c r="S13" s="11" t="s">
        <v>66</v>
      </c>
      <c r="T13" s="12" t="str">
        <f ca="1">_xlfn.IMAGE(S13,"Baseball",0)</f>
        <v/>
      </c>
    </row>
    <row r="14" spans="1:20" ht="80.099999999999994" customHeight="1" x14ac:dyDescent="0.25">
      <c r="A14" s="2" t="s">
        <v>67</v>
      </c>
      <c r="B14" s="3">
        <v>9</v>
      </c>
      <c r="C14" s="3">
        <v>4000</v>
      </c>
      <c r="D14" s="3">
        <v>18.29</v>
      </c>
      <c r="E14" s="3">
        <v>7</v>
      </c>
      <c r="F14" s="3">
        <v>3</v>
      </c>
      <c r="G14" s="3">
        <v>4</v>
      </c>
      <c r="H14" s="3">
        <v>188</v>
      </c>
      <c r="I14" s="3">
        <v>9.6999999999999993</v>
      </c>
      <c r="J14" s="3"/>
      <c r="K14" s="3">
        <v>1887</v>
      </c>
      <c r="L14" s="3">
        <v>2013</v>
      </c>
      <c r="M14" s="3">
        <v>200</v>
      </c>
      <c r="N14" s="3">
        <v>1965</v>
      </c>
      <c r="O14" s="3">
        <v>1965</v>
      </c>
      <c r="P14" s="3">
        <v>16</v>
      </c>
      <c r="Q14" s="4" t="s">
        <v>68</v>
      </c>
      <c r="R14" s="10" t="s">
        <v>69</v>
      </c>
      <c r="S14" s="11" t="s">
        <v>70</v>
      </c>
      <c r="T14" s="12" t="e" vm="2">
        <f>_xlfn.IMAGE(S14,"Softball",0)</f>
        <v>#VALUE!</v>
      </c>
    </row>
    <row r="15" spans="1:20" ht="80.099999999999994" customHeight="1" x14ac:dyDescent="0.25">
      <c r="A15" s="2" t="s">
        <v>71</v>
      </c>
      <c r="B15" s="3">
        <v>7</v>
      </c>
      <c r="C15" s="3">
        <v>600</v>
      </c>
      <c r="D15" s="3">
        <v>30</v>
      </c>
      <c r="E15" s="3">
        <v>4</v>
      </c>
      <c r="F15" s="3">
        <v>2</v>
      </c>
      <c r="G15" s="3">
        <v>1</v>
      </c>
      <c r="H15" s="3">
        <v>425</v>
      </c>
      <c r="I15" s="3">
        <v>22</v>
      </c>
      <c r="J15" s="3">
        <v>90</v>
      </c>
      <c r="K15" s="3">
        <v>1870</v>
      </c>
      <c r="L15" s="3">
        <v>1908</v>
      </c>
      <c r="M15" s="3">
        <v>210</v>
      </c>
      <c r="N15" s="3">
        <v>1973</v>
      </c>
      <c r="O15" s="3">
        <v>1986</v>
      </c>
      <c r="P15" s="3">
        <v>16</v>
      </c>
      <c r="Q15" s="4" t="s">
        <v>72</v>
      </c>
      <c r="R15" s="10" t="s">
        <v>73</v>
      </c>
      <c r="S15" s="11" t="s">
        <v>74</v>
      </c>
      <c r="T15" s="12" t="str">
        <f ca="1">_xlfn.IMAGE(S15,"Wasserball",0)</f>
        <v/>
      </c>
    </row>
    <row r="16" spans="1:20" ht="80.099999999999994" customHeight="1" x14ac:dyDescent="0.25">
      <c r="A16" s="2" t="s">
        <v>75</v>
      </c>
      <c r="B16" s="3">
        <v>6</v>
      </c>
      <c r="C16" s="3">
        <v>800</v>
      </c>
      <c r="D16" s="3">
        <v>40</v>
      </c>
      <c r="E16" s="3">
        <v>3</v>
      </c>
      <c r="F16" s="3">
        <v>2</v>
      </c>
      <c r="G16" s="3">
        <v>1</v>
      </c>
      <c r="H16" s="3">
        <v>23</v>
      </c>
      <c r="I16" s="3">
        <v>7.2</v>
      </c>
      <c r="J16" s="3">
        <v>115</v>
      </c>
      <c r="K16" s="3">
        <v>1979</v>
      </c>
      <c r="L16" s="3">
        <v>1986</v>
      </c>
      <c r="M16" s="3">
        <v>80</v>
      </c>
      <c r="N16" s="3">
        <v>1996</v>
      </c>
      <c r="O16" s="3">
        <v>1997</v>
      </c>
      <c r="P16" s="3">
        <v>16</v>
      </c>
      <c r="Q16" s="4" t="s">
        <v>76</v>
      </c>
      <c r="R16" s="10" t="s">
        <v>77</v>
      </c>
      <c r="S16" s="11" t="s">
        <v>78</v>
      </c>
      <c r="T16" s="12" t="e" vm="3">
        <f>_xlfn.IMAGE(S16,"Unihockey",0)</f>
        <v>#VALUE!</v>
      </c>
    </row>
    <row r="17" spans="1:20" ht="80.099999999999994" customHeight="1" x14ac:dyDescent="0.25">
      <c r="A17" s="2" t="s">
        <v>79</v>
      </c>
      <c r="B17" s="3">
        <v>10</v>
      </c>
      <c r="C17" s="3">
        <v>5522</v>
      </c>
      <c r="D17" s="3">
        <v>100.6</v>
      </c>
      <c r="E17" s="3">
        <v>4</v>
      </c>
      <c r="F17" s="3">
        <v>3</v>
      </c>
      <c r="G17" s="3">
        <v>1</v>
      </c>
      <c r="H17" s="3">
        <v>145</v>
      </c>
      <c r="I17" s="3">
        <v>6.4</v>
      </c>
      <c r="J17" s="3">
        <v>183</v>
      </c>
      <c r="K17" s="3">
        <v>1867</v>
      </c>
      <c r="L17" s="3">
        <v>2008</v>
      </c>
      <c r="M17" s="3">
        <v>90</v>
      </c>
      <c r="N17" s="3">
        <v>1967</v>
      </c>
      <c r="O17" s="3">
        <v>1982</v>
      </c>
      <c r="P17" s="3">
        <v>30</v>
      </c>
      <c r="Q17" s="4" t="s">
        <v>80</v>
      </c>
      <c r="R17" s="10" t="s">
        <v>81</v>
      </c>
      <c r="S17" s="11" t="s">
        <v>82</v>
      </c>
      <c r="T17" s="12" t="str">
        <f ca="1">_xlfn.IMAGE(S17,"Lacrosse",0)</f>
        <v/>
      </c>
    </row>
    <row r="18" spans="1:20" ht="80.099999999999994" customHeight="1" x14ac:dyDescent="0.25">
      <c r="A18" s="2" t="s">
        <v>83</v>
      </c>
      <c r="B18" s="3">
        <v>5</v>
      </c>
      <c r="C18" s="3">
        <v>800</v>
      </c>
      <c r="D18" s="3">
        <v>40</v>
      </c>
      <c r="E18" s="3">
        <v>2</v>
      </c>
      <c r="F18" s="3">
        <v>2</v>
      </c>
      <c r="G18" s="3">
        <v>1</v>
      </c>
      <c r="H18" s="3">
        <v>420</v>
      </c>
      <c r="I18" s="3">
        <v>20</v>
      </c>
      <c r="J18" s="3">
        <v>200</v>
      </c>
      <c r="K18" s="3">
        <v>1930</v>
      </c>
      <c r="L18" s="3">
        <v>1904</v>
      </c>
      <c r="M18" s="3">
        <v>211</v>
      </c>
      <c r="N18" s="3">
        <v>1989</v>
      </c>
      <c r="O18" s="3">
        <v>2025</v>
      </c>
      <c r="P18" s="3">
        <v>24</v>
      </c>
      <c r="Q18" s="4" t="s">
        <v>84</v>
      </c>
      <c r="R18" s="10" t="s">
        <v>85</v>
      </c>
      <c r="S18" s="11" t="s">
        <v>86</v>
      </c>
      <c r="T18" s="12" t="str">
        <f ca="1">_xlfn.IMAGE(S18,"Futsal",0)</f>
        <v/>
      </c>
    </row>
    <row r="19" spans="1:20" ht="80.099999999999994" customHeight="1" x14ac:dyDescent="0.25">
      <c r="A19" s="2" t="s">
        <v>87</v>
      </c>
      <c r="B19" s="3">
        <v>7</v>
      </c>
      <c r="C19" s="3">
        <v>465</v>
      </c>
      <c r="D19" s="3">
        <v>30.5</v>
      </c>
      <c r="E19" s="3">
        <v>4</v>
      </c>
      <c r="F19" s="3">
        <v>2</v>
      </c>
      <c r="G19" s="3">
        <v>1</v>
      </c>
      <c r="H19" s="3">
        <v>425</v>
      </c>
      <c r="I19" s="3">
        <v>22</v>
      </c>
      <c r="J19" s="3">
        <v>305</v>
      </c>
      <c r="K19" s="3">
        <v>1895</v>
      </c>
      <c r="L19" s="3">
        <v>1960</v>
      </c>
      <c r="M19" s="3">
        <v>70</v>
      </c>
      <c r="N19" s="3">
        <v>1963</v>
      </c>
      <c r="O19" s="3">
        <v>1963</v>
      </c>
      <c r="P19" s="3">
        <v>16</v>
      </c>
      <c r="Q19" s="4" t="s">
        <v>88</v>
      </c>
      <c r="R19" s="10" t="s">
        <v>89</v>
      </c>
      <c r="S19" s="11" t="s">
        <v>90</v>
      </c>
      <c r="T19" s="12" t="str">
        <f ca="1">_xlfn.IMAGE(S19,"Netball",0)</f>
        <v/>
      </c>
    </row>
    <row r="20" spans="1:20" ht="80.099999999999994" customHeight="1" x14ac:dyDescent="0.25">
      <c r="A20" s="2" t="s">
        <v>91</v>
      </c>
      <c r="B20" s="3">
        <v>4</v>
      </c>
      <c r="C20" s="3">
        <v>217</v>
      </c>
      <c r="D20" s="3">
        <v>45.72</v>
      </c>
      <c r="E20" s="3">
        <v>10</v>
      </c>
      <c r="F20" s="3">
        <v>0</v>
      </c>
      <c r="G20" s="3">
        <v>8</v>
      </c>
      <c r="H20" s="3">
        <v>19000</v>
      </c>
      <c r="I20" s="3">
        <v>29</v>
      </c>
      <c r="J20" s="3"/>
      <c r="K20" s="3">
        <v>1541</v>
      </c>
      <c r="L20" s="3">
        <v>1966</v>
      </c>
      <c r="M20" s="3">
        <v>70</v>
      </c>
      <c r="N20" s="3">
        <v>1959</v>
      </c>
      <c r="O20" s="3">
        <v>1979</v>
      </c>
      <c r="P20" s="3">
        <v>13</v>
      </c>
      <c r="Q20" s="4" t="s">
        <v>92</v>
      </c>
      <c r="R20" s="10" t="s">
        <v>93</v>
      </c>
      <c r="S20" s="11" t="s">
        <v>94</v>
      </c>
      <c r="T20" s="12" t="str">
        <f ca="1">_xlfn.IMAGE(S20,"Curling",0)</f>
        <v/>
      </c>
    </row>
    <row r="21" spans="1:20" ht="80.099999999999994" customHeight="1" x14ac:dyDescent="0.25">
      <c r="A21" s="2" t="s">
        <v>95</v>
      </c>
      <c r="B21" s="3">
        <v>5</v>
      </c>
      <c r="C21" s="3">
        <v>800</v>
      </c>
      <c r="D21" s="3">
        <v>40</v>
      </c>
      <c r="E21" s="3">
        <v>2</v>
      </c>
      <c r="F21" s="3">
        <v>2</v>
      </c>
      <c r="G21" s="3">
        <v>1</v>
      </c>
      <c r="H21" s="3">
        <v>155</v>
      </c>
      <c r="I21" s="3">
        <v>7.2</v>
      </c>
      <c r="J21" s="3">
        <v>105</v>
      </c>
      <c r="K21" s="3">
        <v>1878</v>
      </c>
      <c r="L21" s="3">
        <v>1924</v>
      </c>
      <c r="M21" s="3">
        <v>130</v>
      </c>
      <c r="N21" s="3">
        <v>1936</v>
      </c>
      <c r="O21" s="3">
        <v>1992</v>
      </c>
      <c r="P21" s="3">
        <v>16</v>
      </c>
      <c r="Q21" s="4" t="s">
        <v>96</v>
      </c>
      <c r="R21" s="10" t="s">
        <v>97</v>
      </c>
      <c r="S21" s="11" t="s">
        <v>98</v>
      </c>
      <c r="T21" s="12" t="e" vm="4">
        <f>_xlfn.IMAGE(S21,"Rollhockey",0)</f>
        <v>#VALUE!</v>
      </c>
    </row>
  </sheetData>
  <autoFilter ref="A1:T21" xr:uid="{00000000-0009-0000-0000-000000000000}"/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</hyperlinks>
  <pageMargins left="0.75" right="0.75" top="1" bottom="1" header="0.511811023622047" footer="0.511811023622047"/>
  <pageSetup paperSize="9" orientation="portrait" horizontalDpi="300" verticalDpi="30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0" customWidth="1"/>
    <col min="2" max="16" width="13" customWidth="1"/>
  </cols>
  <sheetData>
    <row r="1" spans="1:16" ht="57.75" customHeight="1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 ht="15" customHeight="1" x14ac:dyDescent="0.25">
      <c r="A2" s="5" t="str">
        <f>Mannschaftssportarten!A2</f>
        <v>Fussball</v>
      </c>
      <c r="B2" s="6">
        <f>IF(Mannschaftssportarten!B2="","",RANK(Mannschaftssportarten!B2,Mannschaftssportarten!$B$2:$B$21,0))</f>
        <v>3</v>
      </c>
      <c r="C2" s="6">
        <f>IF(Mannschaftssportarten!C2="","",RANK(Mannschaftssportarten!C2,Mannschaftssportarten!$C$2:$C$21,0))</f>
        <v>3</v>
      </c>
      <c r="D2" s="6">
        <f>IF(Mannschaftssportarten!D2="","",RANK(Mannschaftssportarten!D2,Mannschaftssportarten!$D$2:$D$21,0))</f>
        <v>2</v>
      </c>
      <c r="E2" s="6">
        <f>IF(Mannschaftssportarten!E2="","",RANK(Mannschaftssportarten!E2,Mannschaftssportarten!$E$2:$E$21,0))</f>
        <v>14</v>
      </c>
      <c r="F2" s="6">
        <f>IF(Mannschaftssportarten!F2="","",RANK(Mannschaftssportarten!F2,Mannschaftssportarten!$F$2:$F$21,0))</f>
        <v>17</v>
      </c>
      <c r="G2" s="6">
        <f>IF(Mannschaftssportarten!G2="","",RANK(Mannschaftssportarten!G2,Mannschaftssportarten!$G$2:$G$21,0))</f>
        <v>9</v>
      </c>
      <c r="H2" s="6">
        <f>IF(Mannschaftssportarten!H2="","",RANK(Mannschaftssportarten!H2,Mannschaftssportarten!$H$2:$H$21,0))</f>
        <v>6</v>
      </c>
      <c r="I2" s="6">
        <f>IF(Mannschaftssportarten!I2="","",RANK(Mannschaftssportarten!I2,Mannschaftssportarten!$I$2:$I$21,0))</f>
        <v>6</v>
      </c>
      <c r="J2" s="6">
        <f>IF(Mannschaftssportarten!J2="","",RANK(Mannschaftssportarten!J2,Mannschaftssportarten!$J$2:$J$21,0))</f>
        <v>6</v>
      </c>
      <c r="K2" s="6">
        <f>IF(Mannschaftssportarten!K2="","",RANK(Mannschaftssportarten!K2,Mannschaftssportarten!$K$2:$K$21,1))</f>
        <v>4</v>
      </c>
      <c r="L2" s="6">
        <f>IF(Mannschaftssportarten!L2="","",RANK(Mannschaftssportarten!L2,Mannschaftssportarten!$L$2:$L$21,1))</f>
        <v>2</v>
      </c>
      <c r="M2" s="6">
        <f>IF(Mannschaftssportarten!M2="","",RANK(Mannschaftssportarten!M2,Mannschaftssportarten!$M$2:$M$21,0))</f>
        <v>4</v>
      </c>
      <c r="N2" s="6">
        <f>IF(Mannschaftssportarten!N2="","",RANK(Mannschaftssportarten!N2,Mannschaftssportarten!$N$2:$N$21,1))</f>
        <v>2</v>
      </c>
      <c r="O2" s="6">
        <f>IF(Mannschaftssportarten!O2="","",RANK(Mannschaftssportarten!O2,Mannschaftssportarten!$O$2:$O$21,1))</f>
        <v>12</v>
      </c>
      <c r="P2" s="6">
        <f>IF(Mannschaftssportarten!P2="","",RANK(Mannschaftssportarten!P2,Mannschaftssportarten!$P$2:$P$21,0))</f>
        <v>1</v>
      </c>
    </row>
    <row r="3" spans="1:16" ht="15" customHeight="1" x14ac:dyDescent="0.25">
      <c r="A3" s="5" t="str">
        <f>Mannschaftssportarten!A3</f>
        <v>Basketball</v>
      </c>
      <c r="B3" s="6">
        <f>IF(Mannschaftssportarten!B3="","",RANK(Mannschaftssportarten!B3,Mannschaftssportarten!$B$2:$B$21,0))</f>
        <v>16</v>
      </c>
      <c r="C3" s="6">
        <f>IF(Mannschaftssportarten!C3="","",RANK(Mannschaftssportarten!C3,Mannschaftssportarten!$C$2:$C$21,0))</f>
        <v>17</v>
      </c>
      <c r="D3" s="6">
        <f>IF(Mannschaftssportarten!D3="","",RANK(Mannschaftssportarten!D3,Mannschaftssportarten!$D$2:$D$21,0))</f>
        <v>15</v>
      </c>
      <c r="E3" s="6">
        <f>IF(Mannschaftssportarten!E3="","",RANK(Mannschaftssportarten!E3,Mannschaftssportarten!$E$2:$E$21,0))</f>
        <v>5</v>
      </c>
      <c r="F3" s="6">
        <f>IF(Mannschaftssportarten!F3="","",RANK(Mannschaftssportarten!F3,Mannschaftssportarten!$F$2:$F$21,0))</f>
        <v>3</v>
      </c>
      <c r="G3" s="6">
        <f>IF(Mannschaftssportarten!G3="","",RANK(Mannschaftssportarten!G3,Mannschaftssportarten!$G$2:$G$21,0))</f>
        <v>8</v>
      </c>
      <c r="H3" s="6">
        <f>IF(Mannschaftssportarten!H3="","",RANK(Mannschaftssportarten!H3,Mannschaftssportarten!$H$2:$H$21,0))</f>
        <v>2</v>
      </c>
      <c r="I3" s="6">
        <f>IF(Mannschaftssportarten!I3="","",RANK(Mannschaftssportarten!I3,Mannschaftssportarten!$I$2:$I$21,0))</f>
        <v>5</v>
      </c>
      <c r="J3" s="6">
        <f>IF(Mannschaftssportarten!J3="","",RANK(Mannschaftssportarten!J3,Mannschaftssportarten!$J$2:$J$21,0))</f>
        <v>1</v>
      </c>
      <c r="K3" s="6">
        <f>IF(Mannschaftssportarten!K3="","",RANK(Mannschaftssportarten!K3,Mannschaftssportarten!$K$2:$K$21,1))</f>
        <v>13</v>
      </c>
      <c r="L3" s="6">
        <f>IF(Mannschaftssportarten!L3="","",RANK(Mannschaftssportarten!L3,Mannschaftssportarten!$L$2:$L$21,1))</f>
        <v>9</v>
      </c>
      <c r="M3" s="6">
        <f>IF(Mannschaftssportarten!M3="","",RANK(Mannschaftssportarten!M3,Mannschaftssportarten!$M$2:$M$21,0))</f>
        <v>3</v>
      </c>
      <c r="N3" s="6">
        <f>IF(Mannschaftssportarten!N3="","",RANK(Mannschaftssportarten!N3,Mannschaftssportarten!$N$2:$N$21,1))</f>
        <v>7</v>
      </c>
      <c r="O3" s="6">
        <f>IF(Mannschaftssportarten!O3="","",RANK(Mannschaftssportarten!O3,Mannschaftssportarten!$O$2:$O$21,1))</f>
        <v>2</v>
      </c>
      <c r="P3" s="6">
        <f>IF(Mannschaftssportarten!P3="","",RANK(Mannschaftssportarten!P3,Mannschaftssportarten!$P$2:$P$21,0))</f>
        <v>3</v>
      </c>
    </row>
    <row r="4" spans="1:16" ht="15" customHeight="1" x14ac:dyDescent="0.25">
      <c r="A4" s="5" t="str">
        <f>Mannschaftssportarten!A4</f>
        <v>Handball</v>
      </c>
      <c r="B4" s="6">
        <f>IF(Mannschaftssportarten!B4="","",RANK(Mannschaftssportarten!B4,Mannschaftssportarten!$B$2:$B$21,0))</f>
        <v>10</v>
      </c>
      <c r="C4" s="6">
        <f>IF(Mannschaftssportarten!C4="","",RANK(Mannschaftssportarten!C4,Mannschaftssportarten!$C$2:$C$21,0))</f>
        <v>11</v>
      </c>
      <c r="D4" s="6">
        <f>IF(Mannschaftssportarten!D4="","",RANK(Mannschaftssportarten!D4,Mannschaftssportarten!$D$2:$D$21,0))</f>
        <v>9</v>
      </c>
      <c r="E4" s="6">
        <f>IF(Mannschaftssportarten!E4="","",RANK(Mannschaftssportarten!E4,Mannschaftssportarten!$E$2:$E$21,0))</f>
        <v>14</v>
      </c>
      <c r="F4" s="6">
        <f>IF(Mannschaftssportarten!F4="","",RANK(Mannschaftssportarten!F4,Mannschaftssportarten!$F$2:$F$21,0))</f>
        <v>6</v>
      </c>
      <c r="G4" s="6">
        <f>IF(Mannschaftssportarten!G4="","",RANK(Mannschaftssportarten!G4,Mannschaftssportarten!$G$2:$G$21,0))</f>
        <v>9</v>
      </c>
      <c r="H4" s="6">
        <f>IF(Mannschaftssportarten!H4="","",RANK(Mannschaftssportarten!H4,Mannschaftssportarten!$H$2:$H$21,0))</f>
        <v>3</v>
      </c>
      <c r="I4" s="6">
        <f>IF(Mannschaftssportarten!I4="","",RANK(Mannschaftssportarten!I4,Mannschaftssportarten!$I$2:$I$21,0))</f>
        <v>12</v>
      </c>
      <c r="J4" s="6">
        <f>IF(Mannschaftssportarten!J4="","",RANK(Mannschaftssportarten!J4,Mannschaftssportarten!$J$2:$J$21,0))</f>
        <v>10</v>
      </c>
      <c r="K4" s="6">
        <f>IF(Mannschaftssportarten!K4="","",RANK(Mannschaftssportarten!K4,Mannschaftssportarten!$K$2:$K$21,1))</f>
        <v>17</v>
      </c>
      <c r="L4" s="6">
        <f>IF(Mannschaftssportarten!L4="","",RANK(Mannschaftssportarten!L4,Mannschaftssportarten!$L$2:$L$21,1))</f>
        <v>10</v>
      </c>
      <c r="M4" s="6">
        <f>IF(Mannschaftssportarten!M4="","",RANK(Mannschaftssportarten!M4,Mannschaftssportarten!$M$2:$M$21,0))</f>
        <v>7</v>
      </c>
      <c r="N4" s="6">
        <f>IF(Mannschaftssportarten!N4="","",RANK(Mannschaftssportarten!N4,Mannschaftssportarten!$N$2:$N$21,1))</f>
        <v>4</v>
      </c>
      <c r="O4" s="6">
        <f>IF(Mannschaftssportarten!O4="","",RANK(Mannschaftssportarten!O4,Mannschaftssportarten!$O$2:$O$21,1))</f>
        <v>3</v>
      </c>
      <c r="P4" s="6">
        <f>IF(Mannschaftssportarten!P4="","",RANK(Mannschaftssportarten!P4,Mannschaftssportarten!$P$2:$P$21,0))</f>
        <v>3</v>
      </c>
    </row>
    <row r="5" spans="1:16" ht="15" customHeight="1" x14ac:dyDescent="0.25">
      <c r="A5" s="5" t="str">
        <f>Mannschaftssportarten!A5</f>
        <v>Volleyball</v>
      </c>
      <c r="B5" s="6">
        <f>IF(Mannschaftssportarten!B5="","",RANK(Mannschaftssportarten!B5,Mannschaftssportarten!$B$2:$B$21,0))</f>
        <v>13</v>
      </c>
      <c r="C5" s="6">
        <f>IF(Mannschaftssportarten!C5="","",RANK(Mannschaftssportarten!C5,Mannschaftssportarten!$C$2:$C$21,0))</f>
        <v>19</v>
      </c>
      <c r="D5" s="6">
        <f>IF(Mannschaftssportarten!D5="","",RANK(Mannschaftssportarten!D5,Mannschaftssportarten!$D$2:$D$21,0))</f>
        <v>19</v>
      </c>
      <c r="E5" s="6">
        <f>IF(Mannschaftssportarten!E5="","",RANK(Mannschaftssportarten!E5,Mannschaftssportarten!$E$2:$E$21,0))</f>
        <v>4</v>
      </c>
      <c r="F5" s="6">
        <f>IF(Mannschaftssportarten!F5="","",RANK(Mannschaftssportarten!F5,Mannschaftssportarten!$F$2:$F$21,0))</f>
        <v>6</v>
      </c>
      <c r="G5" s="6">
        <f>IF(Mannschaftssportarten!G5="","",RANK(Mannschaftssportarten!G5,Mannschaftssportarten!$G$2:$G$21,0))</f>
        <v>9</v>
      </c>
      <c r="H5" s="6">
        <f>IF(Mannschaftssportarten!H5="","",RANK(Mannschaftssportarten!H5,Mannschaftssportarten!$H$2:$H$21,0))</f>
        <v>11</v>
      </c>
      <c r="I5" s="6">
        <f>IF(Mannschaftssportarten!I5="","",RANK(Mannschaftssportarten!I5,Mannschaftssportarten!$I$2:$I$21,0))</f>
        <v>9</v>
      </c>
      <c r="J5" s="6">
        <f>IF(Mannschaftssportarten!J5="","",RANK(Mannschaftssportarten!J5,Mannschaftssportarten!$J$2:$J$21,0))</f>
        <v>7</v>
      </c>
      <c r="K5" s="6">
        <f>IF(Mannschaftssportarten!K5="","",RANK(Mannschaftssportarten!K5,Mannschaftssportarten!$K$2:$K$21,1))</f>
        <v>14</v>
      </c>
      <c r="L5" s="6">
        <f>IF(Mannschaftssportarten!L5="","",RANK(Mannschaftssportarten!L5,Mannschaftssportarten!$L$2:$L$21,1))</f>
        <v>11</v>
      </c>
      <c r="M5" s="6">
        <f>IF(Mannschaftssportarten!M5="","",RANK(Mannschaftssportarten!M5,Mannschaftssportarten!$M$2:$M$21,0))</f>
        <v>1</v>
      </c>
      <c r="N5" s="6">
        <f>IF(Mannschaftssportarten!N5="","",RANK(Mannschaftssportarten!N5,Mannschaftssportarten!$N$2:$N$21,1))</f>
        <v>6</v>
      </c>
      <c r="O5" s="6">
        <f>IF(Mannschaftssportarten!O5="","",RANK(Mannschaftssportarten!O5,Mannschaftssportarten!$O$2:$O$21,1))</f>
        <v>1</v>
      </c>
      <c r="P5" s="6">
        <f>IF(Mannschaftssportarten!P5="","",RANK(Mannschaftssportarten!P5,Mannschaftssportarten!$P$2:$P$21,0))</f>
        <v>3</v>
      </c>
    </row>
    <row r="6" spans="1:16" ht="15" customHeight="1" x14ac:dyDescent="0.25">
      <c r="A6" s="5" t="str">
        <f>Mannschaftssportarten!A6</f>
        <v>Beachvolleyball</v>
      </c>
      <c r="B6" s="6">
        <f>IF(Mannschaftssportarten!B6="","",RANK(Mannschaftssportarten!B6,Mannschaftssportarten!$B$2:$B$21,0))</f>
        <v>20</v>
      </c>
      <c r="C6" s="6">
        <f>IF(Mannschaftssportarten!C6="","",RANK(Mannschaftssportarten!C6,Mannschaftssportarten!$C$2:$C$21,0))</f>
        <v>20</v>
      </c>
      <c r="D6" s="6">
        <f>IF(Mannschaftssportarten!D6="","",RANK(Mannschaftssportarten!D6,Mannschaftssportarten!$D$2:$D$21,0))</f>
        <v>20</v>
      </c>
      <c r="E6" s="6">
        <f>IF(Mannschaftssportarten!E6="","",RANK(Mannschaftssportarten!E6,Mannschaftssportarten!$E$2:$E$21,0))</f>
        <v>11</v>
      </c>
      <c r="F6" s="6">
        <f>IF(Mannschaftssportarten!F6="","",RANK(Mannschaftssportarten!F6,Mannschaftssportarten!$F$2:$F$21,0))</f>
        <v>6</v>
      </c>
      <c r="G6" s="6">
        <f>IF(Mannschaftssportarten!G6="","",RANK(Mannschaftssportarten!G6,Mannschaftssportarten!$G$2:$G$21,0))</f>
        <v>9</v>
      </c>
      <c r="H6" s="6">
        <f>IF(Mannschaftssportarten!H6="","",RANK(Mannschaftssportarten!H6,Mannschaftssportarten!$H$2:$H$21,0))</f>
        <v>11</v>
      </c>
      <c r="I6" s="6">
        <f>IF(Mannschaftssportarten!I6="","",RANK(Mannschaftssportarten!I6,Mannschaftssportarten!$I$2:$I$21,0))</f>
        <v>9</v>
      </c>
      <c r="J6" s="6">
        <f>IF(Mannschaftssportarten!J6="","",RANK(Mannschaftssportarten!J6,Mannschaftssportarten!$J$2:$J$21,0))</f>
        <v>7</v>
      </c>
      <c r="K6" s="6">
        <f>IF(Mannschaftssportarten!K6="","",RANK(Mannschaftssportarten!K6,Mannschaftssportarten!$K$2:$K$21,1))</f>
        <v>18</v>
      </c>
      <c r="L6" s="6">
        <f>IF(Mannschaftssportarten!L6="","",RANK(Mannschaftssportarten!L6,Mannschaftssportarten!$L$2:$L$21,1))</f>
        <v>11</v>
      </c>
      <c r="M6" s="6">
        <f>IF(Mannschaftssportarten!M6="","",RANK(Mannschaftssportarten!M6,Mannschaftssportarten!$M$2:$M$21,0))</f>
        <v>1</v>
      </c>
      <c r="N6" s="6">
        <f>IF(Mannschaftssportarten!N6="","",RANK(Mannschaftssportarten!N6,Mannschaftssportarten!$N$2:$N$21,1))</f>
        <v>19</v>
      </c>
      <c r="O6" s="6">
        <f>IF(Mannschaftssportarten!O6="","",RANK(Mannschaftssportarten!O6,Mannschaftssportarten!$O$2:$O$21,1))</f>
        <v>15</v>
      </c>
      <c r="P6" s="6">
        <f>IF(Mannschaftssportarten!P6="","",RANK(Mannschaftssportarten!P6,Mannschaftssportarten!$P$2:$P$21,0))</f>
        <v>1</v>
      </c>
    </row>
    <row r="7" spans="1:16" ht="15" customHeight="1" x14ac:dyDescent="0.25">
      <c r="A7" s="5" t="str">
        <f>Mannschaftssportarten!A7</f>
        <v>Eishockey</v>
      </c>
      <c r="B7" s="6">
        <f>IF(Mannschaftssportarten!B7="","",RANK(Mannschaftssportarten!B7,Mannschaftssportarten!$B$2:$B$21,0))</f>
        <v>13</v>
      </c>
      <c r="C7" s="6">
        <f>IF(Mannschaftssportarten!C7="","",RANK(Mannschaftssportarten!C7,Mannschaftssportarten!$C$2:$C$21,0))</f>
        <v>10</v>
      </c>
      <c r="D7" s="6">
        <f>IF(Mannschaftssportarten!D7="","",RANK(Mannschaftssportarten!D7,Mannschaftssportarten!$D$2:$D$21,0))</f>
        <v>7</v>
      </c>
      <c r="E7" s="6">
        <f>IF(Mannschaftssportarten!E7="","",RANK(Mannschaftssportarten!E7,Mannschaftssportarten!$E$2:$E$21,0))</f>
        <v>11</v>
      </c>
      <c r="F7" s="6">
        <f>IF(Mannschaftssportarten!F7="","",RANK(Mannschaftssportarten!F7,Mannschaftssportarten!$F$2:$F$21,0))</f>
        <v>6</v>
      </c>
      <c r="G7" s="6">
        <f>IF(Mannschaftssportarten!G7="","",RANK(Mannschaftssportarten!G7,Mannschaftssportarten!$G$2:$G$21,0))</f>
        <v>9</v>
      </c>
      <c r="H7" s="6">
        <f>IF(Mannschaftssportarten!H7="","",RANK(Mannschaftssportarten!H7,Mannschaftssportarten!$H$2:$H$21,0))</f>
        <v>14</v>
      </c>
      <c r="I7" s="6">
        <f>IF(Mannschaftssportarten!I7="","",RANK(Mannschaftssportarten!I7,Mannschaftssportarten!$I$2:$I$21,0))</f>
        <v>14</v>
      </c>
      <c r="J7" s="6">
        <f>IF(Mannschaftssportarten!J7="","",RANK(Mannschaftssportarten!J7,Mannschaftssportarten!$J$2:$J$21,0))</f>
        <v>13</v>
      </c>
      <c r="K7" s="6">
        <f>IF(Mannschaftssportarten!K7="","",RANK(Mannschaftssportarten!K7,Mannschaftssportarten!$K$2:$K$21,1))</f>
        <v>8</v>
      </c>
      <c r="L7" s="6">
        <f>IF(Mannschaftssportarten!L7="","",RANK(Mannschaftssportarten!L7,Mannschaftssportarten!$L$2:$L$21,1))</f>
        <v>4</v>
      </c>
      <c r="M7" s="6">
        <f>IF(Mannschaftssportarten!M7="","",RANK(Mannschaftssportarten!M7,Mannschaftssportarten!$M$2:$M$21,0))</f>
        <v>15</v>
      </c>
      <c r="N7" s="6">
        <f>IF(Mannschaftssportarten!N7="","",RANK(Mannschaftssportarten!N7,Mannschaftssportarten!$N$2:$N$21,1))</f>
        <v>1</v>
      </c>
      <c r="O7" s="6">
        <f>IF(Mannschaftssportarten!O7="","",RANK(Mannschaftssportarten!O7,Mannschaftssportarten!$O$2:$O$21,1))</f>
        <v>11</v>
      </c>
      <c r="P7" s="6">
        <f>IF(Mannschaftssportarten!P7="","",RANK(Mannschaftssportarten!P7,Mannschaftssportarten!$P$2:$P$21,0))</f>
        <v>10</v>
      </c>
    </row>
    <row r="8" spans="1:16" ht="15" customHeight="1" x14ac:dyDescent="0.25">
      <c r="A8" s="5" t="str">
        <f>Mannschaftssportarten!A8</f>
        <v>Feldhockey</v>
      </c>
      <c r="B8" s="6">
        <f>IF(Mannschaftssportarten!B8="","",RANK(Mannschaftssportarten!B8,Mannschaftssportarten!$B$2:$B$21,0))</f>
        <v>3</v>
      </c>
      <c r="C8" s="6">
        <f>IF(Mannschaftssportarten!C8="","",RANK(Mannschaftssportarten!C8,Mannschaftssportarten!$C$2:$C$21,0))</f>
        <v>8</v>
      </c>
      <c r="D8" s="6">
        <f>IF(Mannschaftssportarten!D8="","",RANK(Mannschaftssportarten!D8,Mannschaftssportarten!$D$2:$D$21,0))</f>
        <v>6</v>
      </c>
      <c r="E8" s="6">
        <f>IF(Mannschaftssportarten!E8="","",RANK(Mannschaftssportarten!E8,Mannschaftssportarten!$E$2:$E$21,0))</f>
        <v>5</v>
      </c>
      <c r="F8" s="6">
        <f>IF(Mannschaftssportarten!F8="","",RANK(Mannschaftssportarten!F8,Mannschaftssportarten!$F$2:$F$21,0))</f>
        <v>6</v>
      </c>
      <c r="G8" s="6">
        <f>IF(Mannschaftssportarten!G8="","",RANK(Mannschaftssportarten!G8,Mannschaftssportarten!$G$2:$G$21,0))</f>
        <v>9</v>
      </c>
      <c r="H8" s="6">
        <f>IF(Mannschaftssportarten!H8="","",RANK(Mannschaftssportarten!H8,Mannschaftssportarten!$H$2:$H$21,0))</f>
        <v>15</v>
      </c>
      <c r="I8" s="6">
        <f>IF(Mannschaftssportarten!I8="","",RANK(Mannschaftssportarten!I8,Mannschaftssportarten!$I$2:$I$21,0))</f>
        <v>16</v>
      </c>
      <c r="J8" s="6">
        <f>IF(Mannschaftssportarten!J8="","",RANK(Mannschaftssportarten!J8,Mannschaftssportarten!$J$2:$J$21,0))</f>
        <v>9</v>
      </c>
      <c r="K8" s="6">
        <f>IF(Mannschaftssportarten!K8="","",RANK(Mannschaftssportarten!K8,Mannschaftssportarten!$K$2:$K$21,1))</f>
        <v>11</v>
      </c>
      <c r="L8" s="6">
        <f>IF(Mannschaftssportarten!L8="","",RANK(Mannschaftssportarten!L8,Mannschaftssportarten!$L$2:$L$21,1))</f>
        <v>7</v>
      </c>
      <c r="M8" s="6">
        <f>IF(Mannschaftssportarten!M8="","",RANK(Mannschaftssportarten!M8,Mannschaftssportarten!$M$2:$M$21,0))</f>
        <v>10</v>
      </c>
      <c r="N8" s="6">
        <f>IF(Mannschaftssportarten!N8="","",RANK(Mannschaftssportarten!N8,Mannschaftssportarten!$N$2:$N$21,1))</f>
        <v>13</v>
      </c>
      <c r="O8" s="6">
        <f>IF(Mannschaftssportarten!O8="","",RANK(Mannschaftssportarten!O8,Mannschaftssportarten!$O$2:$O$21,1))</f>
        <v>7</v>
      </c>
      <c r="P8" s="6">
        <f>IF(Mannschaftssportarten!P8="","",RANK(Mannschaftssportarten!P8,Mannschaftssportarten!$P$2:$P$21,0))</f>
        <v>10</v>
      </c>
    </row>
    <row r="9" spans="1:16" ht="15" customHeight="1" x14ac:dyDescent="0.25">
      <c r="A9" s="5" t="str">
        <f>Mannschaftssportarten!A9</f>
        <v>Rugby Union</v>
      </c>
      <c r="B9" s="6">
        <f>IF(Mannschaftssportarten!B9="","",RANK(Mannschaftssportarten!B9,Mannschaftssportarten!$B$2:$B$21,0))</f>
        <v>1</v>
      </c>
      <c r="C9" s="6">
        <f>IF(Mannschaftssportarten!C9="","",RANK(Mannschaftssportarten!C9,Mannschaftssportarten!$C$2:$C$21,0))</f>
        <v>4</v>
      </c>
      <c r="D9" s="6">
        <f>IF(Mannschaftssportarten!D9="","",RANK(Mannschaftssportarten!D9,Mannschaftssportarten!$D$2:$D$21,0))</f>
        <v>4</v>
      </c>
      <c r="E9" s="6">
        <f>IF(Mannschaftssportarten!E9="","",RANK(Mannschaftssportarten!E9,Mannschaftssportarten!$E$2:$E$21,0))</f>
        <v>14</v>
      </c>
      <c r="F9" s="6">
        <f>IF(Mannschaftssportarten!F9="","",RANK(Mannschaftssportarten!F9,Mannschaftssportarten!$F$2:$F$21,0))</f>
        <v>17</v>
      </c>
      <c r="G9" s="6">
        <f>IF(Mannschaftssportarten!G9="","",RANK(Mannschaftssportarten!G9,Mannschaftssportarten!$G$2:$G$21,0))</f>
        <v>4</v>
      </c>
      <c r="H9" s="6">
        <f>IF(Mannschaftssportarten!H9="","",RANK(Mannschaftssportarten!H9,Mannschaftssportarten!$H$2:$H$21,0))</f>
        <v>4</v>
      </c>
      <c r="I9" s="6">
        <f>IF(Mannschaftssportarten!I9="","",RANK(Mannschaftssportarten!I9,Mannschaftssportarten!$I$2:$I$21,0))</f>
        <v>1</v>
      </c>
      <c r="J9" s="6">
        <f>IF(Mannschaftssportarten!J9="","",RANK(Mannschaftssportarten!J9,Mannschaftssportarten!$J$2:$J$21,0))</f>
        <v>4</v>
      </c>
      <c r="K9" s="6">
        <f>IF(Mannschaftssportarten!K9="","",RANK(Mannschaftssportarten!K9,Mannschaftssportarten!$K$2:$K$21,1))</f>
        <v>7</v>
      </c>
      <c r="L9" s="6">
        <f>IF(Mannschaftssportarten!L9="","",RANK(Mannschaftssportarten!L9,Mannschaftssportarten!$L$2:$L$21,1))</f>
        <v>1</v>
      </c>
      <c r="M9" s="6">
        <f>IF(Mannschaftssportarten!M9="","",RANK(Mannschaftssportarten!M9,Mannschaftssportarten!$M$2:$M$21,0))</f>
        <v>11</v>
      </c>
      <c r="N9" s="6">
        <f>IF(Mannschaftssportarten!N9="","",RANK(Mannschaftssportarten!N9,Mannschaftssportarten!$N$2:$N$21,1))</f>
        <v>16</v>
      </c>
      <c r="O9" s="6">
        <f>IF(Mannschaftssportarten!O9="","",RANK(Mannschaftssportarten!O9,Mannschaftssportarten!$O$2:$O$21,1))</f>
        <v>12</v>
      </c>
      <c r="P9" s="6">
        <f>IF(Mannschaftssportarten!P9="","",RANK(Mannschaftssportarten!P9,Mannschaftssportarten!$P$2:$P$21,0))</f>
        <v>8</v>
      </c>
    </row>
    <row r="10" spans="1:16" ht="15" customHeight="1" x14ac:dyDescent="0.25">
      <c r="A10" s="5" t="str">
        <f>Mannschaftssportarten!A10</f>
        <v>Rugby League</v>
      </c>
      <c r="B10" s="6">
        <f>IF(Mannschaftssportarten!B10="","",RANK(Mannschaftssportarten!B10,Mannschaftssportarten!$B$2:$B$21,0))</f>
        <v>2</v>
      </c>
      <c r="C10" s="6">
        <f>IF(Mannschaftssportarten!C10="","",RANK(Mannschaftssportarten!C10,Mannschaftssportarten!$C$2:$C$21,0))</f>
        <v>5</v>
      </c>
      <c r="D10" s="6">
        <f>IF(Mannschaftssportarten!D10="","",RANK(Mannschaftssportarten!D10,Mannschaftssportarten!$D$2:$D$21,0))</f>
        <v>4</v>
      </c>
      <c r="E10" s="6">
        <f>IF(Mannschaftssportarten!E10="","",RANK(Mannschaftssportarten!E10,Mannschaftssportarten!$E$2:$E$21,0))</f>
        <v>14</v>
      </c>
      <c r="F10" s="6">
        <f>IF(Mannschaftssportarten!F10="","",RANK(Mannschaftssportarten!F10,Mannschaftssportarten!$F$2:$F$21,0))</f>
        <v>17</v>
      </c>
      <c r="G10" s="6">
        <f>IF(Mannschaftssportarten!G10="","",RANK(Mannschaftssportarten!G10,Mannschaftssportarten!$G$2:$G$21,0))</f>
        <v>5</v>
      </c>
      <c r="H10" s="6">
        <f>IF(Mannschaftssportarten!H10="","",RANK(Mannschaftssportarten!H10,Mannschaftssportarten!$H$2:$H$21,0))</f>
        <v>4</v>
      </c>
      <c r="I10" s="6">
        <f>IF(Mannschaftssportarten!I10="","",RANK(Mannschaftssportarten!I10,Mannschaftssportarten!$I$2:$I$21,0))</f>
        <v>4</v>
      </c>
      <c r="J10" s="6">
        <f>IF(Mannschaftssportarten!J10="","",RANK(Mannschaftssportarten!J10,Mannschaftssportarten!$J$2:$J$21,0))</f>
        <v>4</v>
      </c>
      <c r="K10" s="6">
        <f>IF(Mannschaftssportarten!K10="","",RANK(Mannschaftssportarten!K10,Mannschaftssportarten!$K$2:$K$21,1))</f>
        <v>14</v>
      </c>
      <c r="L10" s="6">
        <f>IF(Mannschaftssportarten!L10="","",RANK(Mannschaftssportarten!L10,Mannschaftssportarten!$L$2:$L$21,1))</f>
        <v>13</v>
      </c>
      <c r="M10" s="6">
        <f>IF(Mannschaftssportarten!M10="","",RANK(Mannschaftssportarten!M10,Mannschaftssportarten!$M$2:$M$21,0))</f>
        <v>20</v>
      </c>
      <c r="N10" s="6">
        <f>IF(Mannschaftssportarten!N10="","",RANK(Mannschaftssportarten!N10,Mannschaftssportarten!$N$2:$N$21,1))</f>
        <v>8</v>
      </c>
      <c r="O10" s="6">
        <f>IF(Mannschaftssportarten!O10="","",RANK(Mannschaftssportarten!O10,Mannschaftssportarten!$O$2:$O$21,1))</f>
        <v>17</v>
      </c>
      <c r="P10" s="6">
        <f>IF(Mannschaftssportarten!P10="","",RANK(Mannschaftssportarten!P10,Mannschaftssportarten!$P$2:$P$21,0))</f>
        <v>10</v>
      </c>
    </row>
    <row r="11" spans="1:16" ht="15" customHeight="1" x14ac:dyDescent="0.25">
      <c r="A11" s="5" t="str">
        <f>Mannschaftssportarten!A11</f>
        <v>American Football</v>
      </c>
      <c r="B11" s="6">
        <f>IF(Mannschaftssportarten!B11="","",RANK(Mannschaftssportarten!B11,Mannschaftssportarten!$B$2:$B$21,0))</f>
        <v>3</v>
      </c>
      <c r="C11" s="6">
        <f>IF(Mannschaftssportarten!C11="","",RANK(Mannschaftssportarten!C11,Mannschaftssportarten!$C$2:$C$21,0))</f>
        <v>7</v>
      </c>
      <c r="D11" s="6">
        <f>IF(Mannschaftssportarten!D11="","",RANK(Mannschaftssportarten!D11,Mannschaftssportarten!$D$2:$D$21,0))</f>
        <v>1</v>
      </c>
      <c r="E11" s="6">
        <f>IF(Mannschaftssportarten!E11="","",RANK(Mannschaftssportarten!E11,Mannschaftssportarten!$E$2:$E$21,0))</f>
        <v>5</v>
      </c>
      <c r="F11" s="6">
        <f>IF(Mannschaftssportarten!F11="","",RANK(Mannschaftssportarten!F11,Mannschaftssportarten!$F$2:$F$21,0))</f>
        <v>1</v>
      </c>
      <c r="G11" s="6">
        <f>IF(Mannschaftssportarten!G11="","",RANK(Mannschaftssportarten!G11,Mannschaftssportarten!$G$2:$G$21,0))</f>
        <v>2</v>
      </c>
      <c r="H11" s="6">
        <f>IF(Mannschaftssportarten!H11="","",RANK(Mannschaftssportarten!H11,Mannschaftssportarten!$H$2:$H$21,0))</f>
        <v>10</v>
      </c>
      <c r="I11" s="6">
        <f>IF(Mannschaftssportarten!I11="","",RANK(Mannschaftssportarten!I11,Mannschaftssportarten!$I$2:$I$21,0))</f>
        <v>3</v>
      </c>
      <c r="J11" s="6">
        <f>IF(Mannschaftssportarten!J11="","",RANK(Mannschaftssportarten!J11,Mannschaftssportarten!$J$2:$J$21,0))</f>
        <v>1</v>
      </c>
      <c r="K11" s="6">
        <f>IF(Mannschaftssportarten!K11="","",RANK(Mannschaftssportarten!K11,Mannschaftssportarten!$K$2:$K$21,1))</f>
        <v>10</v>
      </c>
      <c r="L11" s="6">
        <f>IF(Mannschaftssportarten!L11="","",RANK(Mannschaftssportarten!L11,Mannschaftssportarten!$L$2:$L$21,1))</f>
        <v>17</v>
      </c>
      <c r="M11" s="6">
        <f>IF(Mannschaftssportarten!M11="","",RANK(Mannschaftssportarten!M11,Mannschaftssportarten!$M$2:$M$21,0))</f>
        <v>17</v>
      </c>
      <c r="N11" s="6">
        <f>IF(Mannschaftssportarten!N11="","",RANK(Mannschaftssportarten!N11,Mannschaftssportarten!$N$2:$N$21,1))</f>
        <v>20</v>
      </c>
      <c r="O11" s="6">
        <f>IF(Mannschaftssportarten!O11="","",RANK(Mannschaftssportarten!O11,Mannschaftssportarten!$O$2:$O$21,1))</f>
        <v>19</v>
      </c>
      <c r="P11" s="6">
        <f>IF(Mannschaftssportarten!P11="","",RANK(Mannschaftssportarten!P11,Mannschaftssportarten!$P$2:$P$21,0))</f>
        <v>20</v>
      </c>
    </row>
    <row r="12" spans="1:16" ht="15" customHeight="1" x14ac:dyDescent="0.25">
      <c r="A12" s="5" t="str">
        <f>Mannschaftssportarten!A12</f>
        <v>Cricket</v>
      </c>
      <c r="B12" s="6">
        <f>IF(Mannschaftssportarten!B12="","",RANK(Mannschaftssportarten!B12,Mannschaftssportarten!$B$2:$B$21,0))</f>
        <v>3</v>
      </c>
      <c r="C12" s="6">
        <f>IF(Mannschaftssportarten!C12="","",RANK(Mannschaftssportarten!C12,Mannschaftssportarten!$C$2:$C$21,0))</f>
        <v>1</v>
      </c>
      <c r="D12" s="6">
        <f>IF(Mannschaftssportarten!D12="","",RANK(Mannschaftssportarten!D12,Mannschaftssportarten!$D$2:$D$21,0))</f>
        <v>17</v>
      </c>
      <c r="E12" s="6">
        <f>IF(Mannschaftssportarten!E12="","",RANK(Mannschaftssportarten!E12,Mannschaftssportarten!$E$2:$E$21,0))</f>
        <v>14</v>
      </c>
      <c r="F12" s="6">
        <f>IF(Mannschaftssportarten!F12="","",RANK(Mannschaftssportarten!F12,Mannschaftssportarten!$F$2:$F$21,0))</f>
        <v>6</v>
      </c>
      <c r="G12" s="6">
        <f>IF(Mannschaftssportarten!G12="","",RANK(Mannschaftssportarten!G12,Mannschaftssportarten!$G$2:$G$21,0))</f>
        <v>2</v>
      </c>
      <c r="H12" s="6">
        <f>IF(Mannschaftssportarten!H12="","",RANK(Mannschaftssportarten!H12,Mannschaftssportarten!$H$2:$H$21,0))</f>
        <v>15</v>
      </c>
      <c r="I12" s="6">
        <f>IF(Mannschaftssportarten!I12="","",RANK(Mannschaftssportarten!I12,Mannschaftssportarten!$I$2:$I$21,0))</f>
        <v>17</v>
      </c>
      <c r="J12" s="6">
        <f>IF(Mannschaftssportarten!J12="","",RANK(Mannschaftssportarten!J12,Mannschaftssportarten!$J$2:$J$21,0))</f>
        <v>17</v>
      </c>
      <c r="K12" s="6">
        <f>IF(Mannschaftssportarten!K12="","",RANK(Mannschaftssportarten!K12,Mannschaftssportarten!$K$2:$K$21,1))</f>
        <v>2</v>
      </c>
      <c r="L12" s="6">
        <f>IF(Mannschaftssportarten!L12="","",RANK(Mannschaftssportarten!L12,Mannschaftssportarten!$L$2:$L$21,1))</f>
        <v>6</v>
      </c>
      <c r="M12" s="6">
        <f>IF(Mannschaftssportarten!M12="","",RANK(Mannschaftssportarten!M12,Mannschaftssportarten!$M$2:$M$21,0))</f>
        <v>13</v>
      </c>
      <c r="N12" s="6">
        <f>IF(Mannschaftssportarten!N12="","",RANK(Mannschaftssportarten!N12,Mannschaftssportarten!$N$2:$N$21,1))</f>
        <v>15</v>
      </c>
      <c r="O12" s="6">
        <f>IF(Mannschaftssportarten!O12="","",RANK(Mannschaftssportarten!O12,Mannschaftssportarten!$O$2:$O$21,1))</f>
        <v>6</v>
      </c>
      <c r="P12" s="6">
        <f>IF(Mannschaftssportarten!P12="","",RANK(Mannschaftssportarten!P12,Mannschaftssportarten!$P$2:$P$21,0))</f>
        <v>19</v>
      </c>
    </row>
    <row r="13" spans="1:16" ht="15" customHeight="1" x14ac:dyDescent="0.25">
      <c r="A13" s="5" t="str">
        <f>Mannschaftssportarten!A13</f>
        <v>Baseball</v>
      </c>
      <c r="B13" s="6">
        <f>IF(Mannschaftssportarten!B13="","",RANK(Mannschaftssportarten!B13,Mannschaftssportarten!$B$2:$B$21,0))</f>
        <v>8</v>
      </c>
      <c r="C13" s="6">
        <f>IF(Mannschaftssportarten!C13="","",RANK(Mannschaftssportarten!C13,Mannschaftssportarten!$C$2:$C$21,0))</f>
        <v>2</v>
      </c>
      <c r="D13" s="6">
        <f>IF(Mannschaftssportarten!D13="","",RANK(Mannschaftssportarten!D13,Mannschaftssportarten!$D$2:$D$21,0))</f>
        <v>16</v>
      </c>
      <c r="E13" s="6">
        <f>IF(Mannschaftssportarten!E13="","",RANK(Mannschaftssportarten!E13,Mannschaftssportarten!$E$2:$E$21,0))</f>
        <v>2</v>
      </c>
      <c r="F13" s="6">
        <f>IF(Mannschaftssportarten!F13="","",RANK(Mannschaftssportarten!F13,Mannschaftssportarten!$F$2:$F$21,0))</f>
        <v>2</v>
      </c>
      <c r="G13" s="6">
        <f>IF(Mannschaftssportarten!G13="","",RANK(Mannschaftssportarten!G13,Mannschaftssportarten!$G$2:$G$21,0))</f>
        <v>5</v>
      </c>
      <c r="H13" s="6">
        <f>IF(Mannschaftssportarten!H13="","",RANK(Mannschaftssportarten!H13,Mannschaftssportarten!$H$2:$H$21,0))</f>
        <v>18</v>
      </c>
      <c r="I13" s="6">
        <f>IF(Mannschaftssportarten!I13="","",RANK(Mannschaftssportarten!I13,Mannschaftssportarten!$I$2:$I$21,0))</f>
        <v>15</v>
      </c>
      <c r="J13" s="6" t="str">
        <f>IF(Mannschaftssportarten!J13="","",RANK(Mannschaftssportarten!J13,Mannschaftssportarten!$J$2:$J$21,0))</f>
        <v/>
      </c>
      <c r="K13" s="6">
        <f>IF(Mannschaftssportarten!K13="","",RANK(Mannschaftssportarten!K13,Mannschaftssportarten!$K$2:$K$21,1))</f>
        <v>3</v>
      </c>
      <c r="L13" s="6">
        <f>IF(Mannschaftssportarten!L13="","",RANK(Mannschaftssportarten!L13,Mannschaftssportarten!$L$2:$L$21,1))</f>
        <v>19</v>
      </c>
      <c r="M13" s="6">
        <f>IF(Mannschaftssportarten!M13="","",RANK(Mannschaftssportarten!M13,Mannschaftssportarten!$M$2:$M$21,0))</f>
        <v>8</v>
      </c>
      <c r="N13" s="6">
        <f>IF(Mannschaftssportarten!N13="","",RANK(Mannschaftssportarten!N13,Mannschaftssportarten!$N$2:$N$21,1))</f>
        <v>4</v>
      </c>
      <c r="O13" s="6">
        <f>IF(Mannschaftssportarten!O13="","",RANK(Mannschaftssportarten!O13,Mannschaftssportarten!$O$2:$O$21,1))</f>
        <v>18</v>
      </c>
      <c r="P13" s="6">
        <f>IF(Mannschaftssportarten!P13="","",RANK(Mannschaftssportarten!P13,Mannschaftssportarten!$P$2:$P$21,0))</f>
        <v>8</v>
      </c>
    </row>
    <row r="14" spans="1:16" ht="15" customHeight="1" x14ac:dyDescent="0.25">
      <c r="A14" s="5" t="str">
        <f>Mannschaftssportarten!A14</f>
        <v>Softball</v>
      </c>
      <c r="B14" s="6">
        <f>IF(Mannschaftssportarten!B14="","",RANK(Mannschaftssportarten!B14,Mannschaftssportarten!$B$2:$B$21,0))</f>
        <v>8</v>
      </c>
      <c r="C14" s="6">
        <f>IF(Mannschaftssportarten!C14="","",RANK(Mannschaftssportarten!C14,Mannschaftssportarten!$C$2:$C$21,0))</f>
        <v>9</v>
      </c>
      <c r="D14" s="6">
        <f>IF(Mannschaftssportarten!D14="","",RANK(Mannschaftssportarten!D14,Mannschaftssportarten!$D$2:$D$21,0))</f>
        <v>18</v>
      </c>
      <c r="E14" s="6">
        <f>IF(Mannschaftssportarten!E14="","",RANK(Mannschaftssportarten!E14,Mannschaftssportarten!$E$2:$E$21,0))</f>
        <v>3</v>
      </c>
      <c r="F14" s="6">
        <f>IF(Mannschaftssportarten!F14="","",RANK(Mannschaftssportarten!F14,Mannschaftssportarten!$F$2:$F$21,0))</f>
        <v>3</v>
      </c>
      <c r="G14" s="6">
        <f>IF(Mannschaftssportarten!G14="","",RANK(Mannschaftssportarten!G14,Mannschaftssportarten!$G$2:$G$21,0))</f>
        <v>5</v>
      </c>
      <c r="H14" s="6">
        <f>IF(Mannschaftssportarten!H14="","",RANK(Mannschaftssportarten!H14,Mannschaftssportarten!$H$2:$H$21,0))</f>
        <v>13</v>
      </c>
      <c r="I14" s="6">
        <f>IF(Mannschaftssportarten!I14="","",RANK(Mannschaftssportarten!I14,Mannschaftssportarten!$I$2:$I$21,0))</f>
        <v>13</v>
      </c>
      <c r="J14" s="6" t="str">
        <f>IF(Mannschaftssportarten!J14="","",RANK(Mannschaftssportarten!J14,Mannschaftssportarten!$J$2:$J$21,0))</f>
        <v/>
      </c>
      <c r="K14" s="6">
        <f>IF(Mannschaftssportarten!K14="","",RANK(Mannschaftssportarten!K14,Mannschaftssportarten!$K$2:$K$21,1))</f>
        <v>12</v>
      </c>
      <c r="L14" s="6">
        <f>IF(Mannschaftssportarten!L14="","",RANK(Mannschaftssportarten!L14,Mannschaftssportarten!$L$2:$L$21,1))</f>
        <v>19</v>
      </c>
      <c r="M14" s="6">
        <f>IF(Mannschaftssportarten!M14="","",RANK(Mannschaftssportarten!M14,Mannschaftssportarten!$M$2:$M$21,0))</f>
        <v>8</v>
      </c>
      <c r="N14" s="6">
        <f>IF(Mannschaftssportarten!N14="","",RANK(Mannschaftssportarten!N14,Mannschaftssportarten!$N$2:$N$21,1))</f>
        <v>11</v>
      </c>
      <c r="O14" s="6">
        <f>IF(Mannschaftssportarten!O14="","",RANK(Mannschaftssportarten!O14,Mannschaftssportarten!$O$2:$O$21,1))</f>
        <v>5</v>
      </c>
      <c r="P14" s="6">
        <f>IF(Mannschaftssportarten!P14="","",RANK(Mannschaftssportarten!P14,Mannschaftssportarten!$P$2:$P$21,0))</f>
        <v>10</v>
      </c>
    </row>
    <row r="15" spans="1:16" ht="15" customHeight="1" x14ac:dyDescent="0.25">
      <c r="A15" s="5" t="str">
        <f>Mannschaftssportarten!A15</f>
        <v>Wasserball</v>
      </c>
      <c r="B15" s="6">
        <f>IF(Mannschaftssportarten!B15="","",RANK(Mannschaftssportarten!B15,Mannschaftssportarten!$B$2:$B$21,0))</f>
        <v>10</v>
      </c>
      <c r="C15" s="6">
        <f>IF(Mannschaftssportarten!C15="","",RANK(Mannschaftssportarten!C15,Mannschaftssportarten!$C$2:$C$21,0))</f>
        <v>15</v>
      </c>
      <c r="D15" s="6">
        <f>IF(Mannschaftssportarten!D15="","",RANK(Mannschaftssportarten!D15,Mannschaftssportarten!$D$2:$D$21,0))</f>
        <v>14</v>
      </c>
      <c r="E15" s="6">
        <f>IF(Mannschaftssportarten!E15="","",RANK(Mannschaftssportarten!E15,Mannschaftssportarten!$E$2:$E$21,0))</f>
        <v>5</v>
      </c>
      <c r="F15" s="6">
        <f>IF(Mannschaftssportarten!F15="","",RANK(Mannschaftssportarten!F15,Mannschaftssportarten!$F$2:$F$21,0))</f>
        <v>6</v>
      </c>
      <c r="G15" s="6">
        <f>IF(Mannschaftssportarten!G15="","",RANK(Mannschaftssportarten!G15,Mannschaftssportarten!$G$2:$G$21,0))</f>
        <v>9</v>
      </c>
      <c r="H15" s="6">
        <f>IF(Mannschaftssportarten!H15="","",RANK(Mannschaftssportarten!H15,Mannschaftssportarten!$H$2:$H$21,0))</f>
        <v>7</v>
      </c>
      <c r="I15" s="6">
        <f>IF(Mannschaftssportarten!I15="","",RANK(Mannschaftssportarten!I15,Mannschaftssportarten!$I$2:$I$21,0))</f>
        <v>6</v>
      </c>
      <c r="J15" s="6">
        <f>IF(Mannschaftssportarten!J15="","",RANK(Mannschaftssportarten!J15,Mannschaftssportarten!$J$2:$J$21,0))</f>
        <v>16</v>
      </c>
      <c r="K15" s="6">
        <f>IF(Mannschaftssportarten!K15="","",RANK(Mannschaftssportarten!K15,Mannschaftssportarten!$K$2:$K$21,1))</f>
        <v>6</v>
      </c>
      <c r="L15" s="6">
        <f>IF(Mannschaftssportarten!L15="","",RANK(Mannschaftssportarten!L15,Mannschaftssportarten!$L$2:$L$21,1))</f>
        <v>4</v>
      </c>
      <c r="M15" s="6">
        <f>IF(Mannschaftssportarten!M15="","",RANK(Mannschaftssportarten!M15,Mannschaftssportarten!$M$2:$M$21,0))</f>
        <v>6</v>
      </c>
      <c r="N15" s="6">
        <f>IF(Mannschaftssportarten!N15="","",RANK(Mannschaftssportarten!N15,Mannschaftssportarten!$N$2:$N$21,1))</f>
        <v>14</v>
      </c>
      <c r="O15" s="6">
        <f>IF(Mannschaftssportarten!O15="","",RANK(Mannschaftssportarten!O15,Mannschaftssportarten!$O$2:$O$21,1))</f>
        <v>10</v>
      </c>
      <c r="P15" s="6">
        <f>IF(Mannschaftssportarten!P15="","",RANK(Mannschaftssportarten!P15,Mannschaftssportarten!$P$2:$P$21,0))</f>
        <v>10</v>
      </c>
    </row>
    <row r="16" spans="1:16" ht="15" customHeight="1" x14ac:dyDescent="0.25">
      <c r="A16" s="5" t="str">
        <f>Mannschaftssportarten!A16</f>
        <v>Unihockey</v>
      </c>
      <c r="B16" s="6">
        <f>IF(Mannschaftssportarten!B16="","",RANK(Mannschaftssportarten!B16,Mannschaftssportarten!$B$2:$B$21,0))</f>
        <v>13</v>
      </c>
      <c r="C16" s="6">
        <f>IF(Mannschaftssportarten!C16="","",RANK(Mannschaftssportarten!C16,Mannschaftssportarten!$C$2:$C$21,0))</f>
        <v>11</v>
      </c>
      <c r="D16" s="6">
        <f>IF(Mannschaftssportarten!D16="","",RANK(Mannschaftssportarten!D16,Mannschaftssportarten!$D$2:$D$21,0))</f>
        <v>9</v>
      </c>
      <c r="E16" s="6">
        <f>IF(Mannschaftssportarten!E16="","",RANK(Mannschaftssportarten!E16,Mannschaftssportarten!$E$2:$E$21,0))</f>
        <v>11</v>
      </c>
      <c r="F16" s="6">
        <f>IF(Mannschaftssportarten!F16="","",RANK(Mannschaftssportarten!F16,Mannschaftssportarten!$F$2:$F$21,0))</f>
        <v>6</v>
      </c>
      <c r="G16" s="6">
        <f>IF(Mannschaftssportarten!G16="","",RANK(Mannschaftssportarten!G16,Mannschaftssportarten!$G$2:$G$21,0))</f>
        <v>9</v>
      </c>
      <c r="H16" s="6">
        <f>IF(Mannschaftssportarten!H16="","",RANK(Mannschaftssportarten!H16,Mannschaftssportarten!$H$2:$H$21,0))</f>
        <v>20</v>
      </c>
      <c r="I16" s="6">
        <f>IF(Mannschaftssportarten!I16="","",RANK(Mannschaftssportarten!I16,Mannschaftssportarten!$I$2:$I$21,0))</f>
        <v>17</v>
      </c>
      <c r="J16" s="6">
        <f>IF(Mannschaftssportarten!J16="","",RANK(Mannschaftssportarten!J16,Mannschaftssportarten!$J$2:$J$21,0))</f>
        <v>14</v>
      </c>
      <c r="K16" s="6">
        <f>IF(Mannschaftssportarten!K16="","",RANK(Mannschaftssportarten!K16,Mannschaftssportarten!$K$2:$K$21,1))</f>
        <v>20</v>
      </c>
      <c r="L16" s="6">
        <f>IF(Mannschaftssportarten!L16="","",RANK(Mannschaftssportarten!L16,Mannschaftssportarten!$L$2:$L$21,1))</f>
        <v>16</v>
      </c>
      <c r="M16" s="6">
        <f>IF(Mannschaftssportarten!M16="","",RANK(Mannschaftssportarten!M16,Mannschaftssportarten!$M$2:$M$21,0))</f>
        <v>16</v>
      </c>
      <c r="N16" s="6">
        <f>IF(Mannschaftssportarten!N16="","",RANK(Mannschaftssportarten!N16,Mannschaftssportarten!$N$2:$N$21,1))</f>
        <v>18</v>
      </c>
      <c r="O16" s="6">
        <f>IF(Mannschaftssportarten!O16="","",RANK(Mannschaftssportarten!O16,Mannschaftssportarten!$O$2:$O$21,1))</f>
        <v>15</v>
      </c>
      <c r="P16" s="6">
        <f>IF(Mannschaftssportarten!P16="","",RANK(Mannschaftssportarten!P16,Mannschaftssportarten!$P$2:$P$21,0))</f>
        <v>10</v>
      </c>
    </row>
    <row r="17" spans="1:16" ht="15" customHeight="1" x14ac:dyDescent="0.25">
      <c r="A17" s="5" t="str">
        <f>Mannschaftssportarten!A17</f>
        <v>Lacrosse</v>
      </c>
      <c r="B17" s="6">
        <f>IF(Mannschaftssportarten!B17="","",RANK(Mannschaftssportarten!B17,Mannschaftssportarten!$B$2:$B$21,0))</f>
        <v>7</v>
      </c>
      <c r="C17" s="6">
        <f>IF(Mannschaftssportarten!C17="","",RANK(Mannschaftssportarten!C17,Mannschaftssportarten!$C$2:$C$21,0))</f>
        <v>6</v>
      </c>
      <c r="D17" s="6">
        <f>IF(Mannschaftssportarten!D17="","",RANK(Mannschaftssportarten!D17,Mannschaftssportarten!$D$2:$D$21,0))</f>
        <v>3</v>
      </c>
      <c r="E17" s="6">
        <f>IF(Mannschaftssportarten!E17="","",RANK(Mannschaftssportarten!E17,Mannschaftssportarten!$E$2:$E$21,0))</f>
        <v>5</v>
      </c>
      <c r="F17" s="6">
        <f>IF(Mannschaftssportarten!F17="","",RANK(Mannschaftssportarten!F17,Mannschaftssportarten!$F$2:$F$21,0))</f>
        <v>3</v>
      </c>
      <c r="G17" s="6">
        <f>IF(Mannschaftssportarten!G17="","",RANK(Mannschaftssportarten!G17,Mannschaftssportarten!$G$2:$G$21,0))</f>
        <v>9</v>
      </c>
      <c r="H17" s="6">
        <f>IF(Mannschaftssportarten!H17="","",RANK(Mannschaftssportarten!H17,Mannschaftssportarten!$H$2:$H$21,0))</f>
        <v>18</v>
      </c>
      <c r="I17" s="6">
        <f>IF(Mannschaftssportarten!I17="","",RANK(Mannschaftssportarten!I17,Mannschaftssportarten!$I$2:$I$21,0))</f>
        <v>20</v>
      </c>
      <c r="J17" s="6">
        <f>IF(Mannschaftssportarten!J17="","",RANK(Mannschaftssportarten!J17,Mannschaftssportarten!$J$2:$J$21,0))</f>
        <v>12</v>
      </c>
      <c r="K17" s="6">
        <f>IF(Mannschaftssportarten!K17="","",RANK(Mannschaftssportarten!K17,Mannschaftssportarten!$K$2:$K$21,1))</f>
        <v>5</v>
      </c>
      <c r="L17" s="6">
        <f>IF(Mannschaftssportarten!L17="","",RANK(Mannschaftssportarten!L17,Mannschaftssportarten!$L$2:$L$21,1))</f>
        <v>18</v>
      </c>
      <c r="M17" s="6">
        <f>IF(Mannschaftssportarten!M17="","",RANK(Mannschaftssportarten!M17,Mannschaftssportarten!$M$2:$M$21,0))</f>
        <v>14</v>
      </c>
      <c r="N17" s="6">
        <f>IF(Mannschaftssportarten!N17="","",RANK(Mannschaftssportarten!N17,Mannschaftssportarten!$N$2:$N$21,1))</f>
        <v>12</v>
      </c>
      <c r="O17" s="6">
        <f>IF(Mannschaftssportarten!O17="","",RANK(Mannschaftssportarten!O17,Mannschaftssportarten!$O$2:$O$21,1))</f>
        <v>9</v>
      </c>
      <c r="P17" s="6">
        <f>IF(Mannschaftssportarten!P17="","",RANK(Mannschaftssportarten!P17,Mannschaftssportarten!$P$2:$P$21,0))</f>
        <v>6</v>
      </c>
    </row>
    <row r="18" spans="1:16" ht="15" customHeight="1" x14ac:dyDescent="0.25">
      <c r="A18" s="5" t="str">
        <f>Mannschaftssportarten!A18</f>
        <v>Futsal</v>
      </c>
      <c r="B18" s="6">
        <f>IF(Mannschaftssportarten!B18="","",RANK(Mannschaftssportarten!B18,Mannschaftssportarten!$B$2:$B$21,0))</f>
        <v>16</v>
      </c>
      <c r="C18" s="6">
        <f>IF(Mannschaftssportarten!C18="","",RANK(Mannschaftssportarten!C18,Mannschaftssportarten!$C$2:$C$21,0))</f>
        <v>11</v>
      </c>
      <c r="D18" s="6">
        <f>IF(Mannschaftssportarten!D18="","",RANK(Mannschaftssportarten!D18,Mannschaftssportarten!$D$2:$D$21,0))</f>
        <v>9</v>
      </c>
      <c r="E18" s="6">
        <f>IF(Mannschaftssportarten!E18="","",RANK(Mannschaftssportarten!E18,Mannschaftssportarten!$E$2:$E$21,0))</f>
        <v>14</v>
      </c>
      <c r="F18" s="6">
        <f>IF(Mannschaftssportarten!F18="","",RANK(Mannschaftssportarten!F18,Mannschaftssportarten!$F$2:$F$21,0))</f>
        <v>6</v>
      </c>
      <c r="G18" s="6">
        <f>IF(Mannschaftssportarten!G18="","",RANK(Mannschaftssportarten!G18,Mannschaftssportarten!$G$2:$G$21,0))</f>
        <v>9</v>
      </c>
      <c r="H18" s="6">
        <f>IF(Mannschaftssportarten!H18="","",RANK(Mannschaftssportarten!H18,Mannschaftssportarten!$H$2:$H$21,0))</f>
        <v>9</v>
      </c>
      <c r="I18" s="6">
        <f>IF(Mannschaftssportarten!I18="","",RANK(Mannschaftssportarten!I18,Mannschaftssportarten!$I$2:$I$21,0))</f>
        <v>11</v>
      </c>
      <c r="J18" s="6">
        <f>IF(Mannschaftssportarten!J18="","",RANK(Mannschaftssportarten!J18,Mannschaftssportarten!$J$2:$J$21,0))</f>
        <v>10</v>
      </c>
      <c r="K18" s="6">
        <f>IF(Mannschaftssportarten!K18="","",RANK(Mannschaftssportarten!K18,Mannschaftssportarten!$K$2:$K$21,1))</f>
        <v>19</v>
      </c>
      <c r="L18" s="6">
        <f>IF(Mannschaftssportarten!L18="","",RANK(Mannschaftssportarten!L18,Mannschaftssportarten!$L$2:$L$21,1))</f>
        <v>2</v>
      </c>
      <c r="M18" s="6">
        <f>IF(Mannschaftssportarten!M18="","",RANK(Mannschaftssportarten!M18,Mannschaftssportarten!$M$2:$M$21,0))</f>
        <v>4</v>
      </c>
      <c r="N18" s="6">
        <f>IF(Mannschaftssportarten!N18="","",RANK(Mannschaftssportarten!N18,Mannschaftssportarten!$N$2:$N$21,1))</f>
        <v>17</v>
      </c>
      <c r="O18" s="6">
        <f>IF(Mannschaftssportarten!O18="","",RANK(Mannschaftssportarten!O18,Mannschaftssportarten!$O$2:$O$21,1))</f>
        <v>20</v>
      </c>
      <c r="P18" s="6">
        <f>IF(Mannschaftssportarten!P18="","",RANK(Mannschaftssportarten!P18,Mannschaftssportarten!$P$2:$P$21,0))</f>
        <v>7</v>
      </c>
    </row>
    <row r="19" spans="1:16" ht="15" customHeight="1" x14ac:dyDescent="0.25">
      <c r="A19" s="5" t="str">
        <f>Mannschaftssportarten!A19</f>
        <v>Netball</v>
      </c>
      <c r="B19" s="6">
        <f>IF(Mannschaftssportarten!B19="","",RANK(Mannschaftssportarten!B19,Mannschaftssportarten!$B$2:$B$21,0))</f>
        <v>10</v>
      </c>
      <c r="C19" s="6">
        <f>IF(Mannschaftssportarten!C19="","",RANK(Mannschaftssportarten!C19,Mannschaftssportarten!$C$2:$C$21,0))</f>
        <v>16</v>
      </c>
      <c r="D19" s="6">
        <f>IF(Mannschaftssportarten!D19="","",RANK(Mannschaftssportarten!D19,Mannschaftssportarten!$D$2:$D$21,0))</f>
        <v>13</v>
      </c>
      <c r="E19" s="6">
        <f>IF(Mannschaftssportarten!E19="","",RANK(Mannschaftssportarten!E19,Mannschaftssportarten!$E$2:$E$21,0))</f>
        <v>5</v>
      </c>
      <c r="F19" s="6">
        <f>IF(Mannschaftssportarten!F19="","",RANK(Mannschaftssportarten!F19,Mannschaftssportarten!$F$2:$F$21,0))</f>
        <v>6</v>
      </c>
      <c r="G19" s="6">
        <f>IF(Mannschaftssportarten!G19="","",RANK(Mannschaftssportarten!G19,Mannschaftssportarten!$G$2:$G$21,0))</f>
        <v>9</v>
      </c>
      <c r="H19" s="6">
        <f>IF(Mannschaftssportarten!H19="","",RANK(Mannschaftssportarten!H19,Mannschaftssportarten!$H$2:$H$21,0))</f>
        <v>7</v>
      </c>
      <c r="I19" s="6">
        <f>IF(Mannschaftssportarten!I19="","",RANK(Mannschaftssportarten!I19,Mannschaftssportarten!$I$2:$I$21,0))</f>
        <v>6</v>
      </c>
      <c r="J19" s="6">
        <f>IF(Mannschaftssportarten!J19="","",RANK(Mannschaftssportarten!J19,Mannschaftssportarten!$J$2:$J$21,0))</f>
        <v>1</v>
      </c>
      <c r="K19" s="6">
        <f>IF(Mannschaftssportarten!K19="","",RANK(Mannschaftssportarten!K19,Mannschaftssportarten!$K$2:$K$21,1))</f>
        <v>14</v>
      </c>
      <c r="L19" s="6">
        <f>IF(Mannschaftssportarten!L19="","",RANK(Mannschaftssportarten!L19,Mannschaftssportarten!$L$2:$L$21,1))</f>
        <v>14</v>
      </c>
      <c r="M19" s="6">
        <f>IF(Mannschaftssportarten!M19="","",RANK(Mannschaftssportarten!M19,Mannschaftssportarten!$M$2:$M$21,0))</f>
        <v>17</v>
      </c>
      <c r="N19" s="6">
        <f>IF(Mannschaftssportarten!N19="","",RANK(Mannschaftssportarten!N19,Mannschaftssportarten!$N$2:$N$21,1))</f>
        <v>10</v>
      </c>
      <c r="O19" s="6">
        <f>IF(Mannschaftssportarten!O19="","",RANK(Mannschaftssportarten!O19,Mannschaftssportarten!$O$2:$O$21,1))</f>
        <v>4</v>
      </c>
      <c r="P19" s="6">
        <f>IF(Mannschaftssportarten!P19="","",RANK(Mannschaftssportarten!P19,Mannschaftssportarten!$P$2:$P$21,0))</f>
        <v>10</v>
      </c>
    </row>
    <row r="20" spans="1:16" ht="15" customHeight="1" x14ac:dyDescent="0.25">
      <c r="A20" s="5" t="str">
        <f>Mannschaftssportarten!A20</f>
        <v>Curling</v>
      </c>
      <c r="B20" s="6">
        <f>IF(Mannschaftssportarten!B20="","",RANK(Mannschaftssportarten!B20,Mannschaftssportarten!$B$2:$B$21,0))</f>
        <v>19</v>
      </c>
      <c r="C20" s="6">
        <f>IF(Mannschaftssportarten!C20="","",RANK(Mannschaftssportarten!C20,Mannschaftssportarten!$C$2:$C$21,0))</f>
        <v>18</v>
      </c>
      <c r="D20" s="6">
        <f>IF(Mannschaftssportarten!D20="","",RANK(Mannschaftssportarten!D20,Mannschaftssportarten!$D$2:$D$21,0))</f>
        <v>8</v>
      </c>
      <c r="E20" s="6">
        <f>IF(Mannschaftssportarten!E20="","",RANK(Mannschaftssportarten!E20,Mannschaftssportarten!$E$2:$E$21,0))</f>
        <v>1</v>
      </c>
      <c r="F20" s="6">
        <f>IF(Mannschaftssportarten!F20="","",RANK(Mannschaftssportarten!F20,Mannschaftssportarten!$F$2:$F$21,0))</f>
        <v>20</v>
      </c>
      <c r="G20" s="6">
        <f>IF(Mannschaftssportarten!G20="","",RANK(Mannschaftssportarten!G20,Mannschaftssportarten!$G$2:$G$21,0))</f>
        <v>1</v>
      </c>
      <c r="H20" s="6">
        <f>IF(Mannschaftssportarten!H20="","",RANK(Mannschaftssportarten!H20,Mannschaftssportarten!$H$2:$H$21,0))</f>
        <v>1</v>
      </c>
      <c r="I20" s="6">
        <f>IF(Mannschaftssportarten!I20="","",RANK(Mannschaftssportarten!I20,Mannschaftssportarten!$I$2:$I$21,0))</f>
        <v>2</v>
      </c>
      <c r="J20" s="6" t="str">
        <f>IF(Mannschaftssportarten!J20="","",RANK(Mannschaftssportarten!J20,Mannschaftssportarten!$J$2:$J$21,0))</f>
        <v/>
      </c>
      <c r="K20" s="6">
        <f>IF(Mannschaftssportarten!K20="","",RANK(Mannschaftssportarten!K20,Mannschaftssportarten!$K$2:$K$21,1))</f>
        <v>1</v>
      </c>
      <c r="L20" s="6">
        <f>IF(Mannschaftssportarten!L20="","",RANK(Mannschaftssportarten!L20,Mannschaftssportarten!$L$2:$L$21,1))</f>
        <v>15</v>
      </c>
      <c r="M20" s="6">
        <f>IF(Mannschaftssportarten!M20="","",RANK(Mannschaftssportarten!M20,Mannschaftssportarten!$M$2:$M$21,0))</f>
        <v>17</v>
      </c>
      <c r="N20" s="6">
        <f>IF(Mannschaftssportarten!N20="","",RANK(Mannschaftssportarten!N20,Mannschaftssportarten!$N$2:$N$21,1))</f>
        <v>9</v>
      </c>
      <c r="O20" s="6">
        <f>IF(Mannschaftssportarten!O20="","",RANK(Mannschaftssportarten!O20,Mannschaftssportarten!$O$2:$O$21,1))</f>
        <v>8</v>
      </c>
      <c r="P20" s="6">
        <f>IF(Mannschaftssportarten!P20="","",RANK(Mannschaftssportarten!P20,Mannschaftssportarten!$P$2:$P$21,0))</f>
        <v>18</v>
      </c>
    </row>
    <row r="21" spans="1:16" ht="15" customHeight="1" x14ac:dyDescent="0.25">
      <c r="A21" s="5" t="str">
        <f>Mannschaftssportarten!A21</f>
        <v>Rollhockey</v>
      </c>
      <c r="B21" s="6">
        <f>IF(Mannschaftssportarten!B21="","",RANK(Mannschaftssportarten!B21,Mannschaftssportarten!$B$2:$B$21,0))</f>
        <v>16</v>
      </c>
      <c r="C21" s="6">
        <f>IF(Mannschaftssportarten!C21="","",RANK(Mannschaftssportarten!C21,Mannschaftssportarten!$C$2:$C$21,0))</f>
        <v>11</v>
      </c>
      <c r="D21" s="6">
        <f>IF(Mannschaftssportarten!D21="","",RANK(Mannschaftssportarten!D21,Mannschaftssportarten!$D$2:$D$21,0))</f>
        <v>9</v>
      </c>
      <c r="E21" s="6">
        <f>IF(Mannschaftssportarten!E21="","",RANK(Mannschaftssportarten!E21,Mannschaftssportarten!$E$2:$E$21,0))</f>
        <v>14</v>
      </c>
      <c r="F21" s="6">
        <f>IF(Mannschaftssportarten!F21="","",RANK(Mannschaftssportarten!F21,Mannschaftssportarten!$F$2:$F$21,0))</f>
        <v>6</v>
      </c>
      <c r="G21" s="6">
        <f>IF(Mannschaftssportarten!G21="","",RANK(Mannschaftssportarten!G21,Mannschaftssportarten!$G$2:$G$21,0))</f>
        <v>9</v>
      </c>
      <c r="H21" s="6">
        <f>IF(Mannschaftssportarten!H21="","",RANK(Mannschaftssportarten!H21,Mannschaftssportarten!$H$2:$H$21,0))</f>
        <v>17</v>
      </c>
      <c r="I21" s="6">
        <f>IF(Mannschaftssportarten!I21="","",RANK(Mannschaftssportarten!I21,Mannschaftssportarten!$I$2:$I$21,0))</f>
        <v>17</v>
      </c>
      <c r="J21" s="6">
        <f>IF(Mannschaftssportarten!J21="","",RANK(Mannschaftssportarten!J21,Mannschaftssportarten!$J$2:$J$21,0))</f>
        <v>15</v>
      </c>
      <c r="K21" s="6">
        <f>IF(Mannschaftssportarten!K21="","",RANK(Mannschaftssportarten!K21,Mannschaftssportarten!$K$2:$K$21,1))</f>
        <v>9</v>
      </c>
      <c r="L21" s="6">
        <f>IF(Mannschaftssportarten!L21="","",RANK(Mannschaftssportarten!L21,Mannschaftssportarten!$L$2:$L$21,1))</f>
        <v>7</v>
      </c>
      <c r="M21" s="6">
        <f>IF(Mannschaftssportarten!M21="","",RANK(Mannschaftssportarten!M21,Mannschaftssportarten!$M$2:$M$21,0))</f>
        <v>11</v>
      </c>
      <c r="N21" s="6">
        <f>IF(Mannschaftssportarten!N21="","",RANK(Mannschaftssportarten!N21,Mannschaftssportarten!$N$2:$N$21,1))</f>
        <v>3</v>
      </c>
      <c r="O21" s="6">
        <f>IF(Mannschaftssportarten!O21="","",RANK(Mannschaftssportarten!O21,Mannschaftssportarten!$O$2:$O$21,1))</f>
        <v>14</v>
      </c>
      <c r="P21" s="6">
        <f>IF(Mannschaftssportarten!P21="","",RANK(Mannschaftssportarten!P21,Mannschaftssportarten!$P$2:$P$21,0))</f>
        <v>10</v>
      </c>
    </row>
    <row r="23" spans="1:16" ht="15" customHeight="1" x14ac:dyDescent="0.25">
      <c r="A23" s="7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/>
  </sheetViews>
  <sheetFormatPr baseColWidth="10" defaultColWidth="8.7109375" defaultRowHeight="15" x14ac:dyDescent="0.25"/>
  <cols>
    <col min="1" max="1" width="4" customWidth="1"/>
    <col min="2" max="2" width="34" customWidth="1"/>
    <col min="3" max="3" width="10" customWidth="1"/>
    <col min="4" max="4" width="12" customWidth="1"/>
    <col min="5" max="5" width="26" customWidth="1"/>
    <col min="6" max="6" width="80" customWidth="1"/>
  </cols>
  <sheetData>
    <row r="1" spans="1:6" ht="15" customHeight="1" x14ac:dyDescent="0.25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</row>
    <row r="2" spans="1:6" ht="15" customHeight="1" x14ac:dyDescent="0.25">
      <c r="A2" s="9">
        <v>1</v>
      </c>
      <c r="B2" s="9" t="s">
        <v>99</v>
      </c>
      <c r="C2" s="9" t="s">
        <v>121</v>
      </c>
      <c r="D2" s="9" t="s">
        <v>122</v>
      </c>
      <c r="E2" s="9" t="s">
        <v>123</v>
      </c>
      <c r="F2" s="9" t="s">
        <v>124</v>
      </c>
    </row>
    <row r="3" spans="1:6" ht="23.85" customHeight="1" x14ac:dyDescent="0.25">
      <c r="A3" s="9">
        <v>2</v>
      </c>
      <c r="B3" s="9" t="s">
        <v>100</v>
      </c>
      <c r="C3" s="9" t="s">
        <v>125</v>
      </c>
      <c r="D3" s="9" t="s">
        <v>126</v>
      </c>
      <c r="E3" s="9" t="s">
        <v>127</v>
      </c>
      <c r="F3" s="9" t="s">
        <v>128</v>
      </c>
    </row>
    <row r="4" spans="1:6" ht="15" customHeight="1" x14ac:dyDescent="0.25">
      <c r="A4" s="9">
        <v>3</v>
      </c>
      <c r="B4" s="9" t="s">
        <v>101</v>
      </c>
      <c r="C4" s="9" t="s">
        <v>129</v>
      </c>
      <c r="D4" s="9" t="s">
        <v>130</v>
      </c>
      <c r="E4" s="9" t="s">
        <v>123</v>
      </c>
      <c r="F4" s="9" t="s">
        <v>131</v>
      </c>
    </row>
    <row r="5" spans="1:6" ht="15" customHeight="1" x14ac:dyDescent="0.25">
      <c r="A5" s="9">
        <v>4</v>
      </c>
      <c r="B5" s="9" t="s">
        <v>102</v>
      </c>
      <c r="C5" s="9" t="s">
        <v>132</v>
      </c>
      <c r="D5" s="9" t="s">
        <v>122</v>
      </c>
      <c r="E5" s="9" t="s">
        <v>123</v>
      </c>
      <c r="F5" s="9" t="s">
        <v>133</v>
      </c>
    </row>
    <row r="6" spans="1:6" ht="15" customHeight="1" x14ac:dyDescent="0.25">
      <c r="A6" s="9">
        <v>5</v>
      </c>
      <c r="B6" s="9" t="s">
        <v>103</v>
      </c>
      <c r="C6" s="9" t="s">
        <v>134</v>
      </c>
      <c r="D6" s="9" t="s">
        <v>122</v>
      </c>
      <c r="E6" s="9" t="s">
        <v>123</v>
      </c>
      <c r="F6" s="9" t="s">
        <v>135</v>
      </c>
    </row>
    <row r="7" spans="1:6" ht="23.85" customHeight="1" x14ac:dyDescent="0.25">
      <c r="A7" s="9">
        <v>6</v>
      </c>
      <c r="B7" s="9" t="s">
        <v>104</v>
      </c>
      <c r="C7" s="9" t="s">
        <v>136</v>
      </c>
      <c r="D7" s="9" t="s">
        <v>122</v>
      </c>
      <c r="E7" s="9" t="s">
        <v>123</v>
      </c>
      <c r="F7" s="9" t="s">
        <v>137</v>
      </c>
    </row>
    <row r="8" spans="1:6" ht="15" customHeight="1" x14ac:dyDescent="0.25">
      <c r="A8" s="9">
        <v>7</v>
      </c>
      <c r="B8" s="9" t="s">
        <v>105</v>
      </c>
      <c r="C8" s="9" t="s">
        <v>138</v>
      </c>
      <c r="D8" s="9" t="s">
        <v>139</v>
      </c>
      <c r="E8" s="9" t="s">
        <v>123</v>
      </c>
      <c r="F8" s="9" t="s">
        <v>140</v>
      </c>
    </row>
    <row r="9" spans="1:6" ht="15" customHeight="1" x14ac:dyDescent="0.25">
      <c r="A9" s="9">
        <v>8</v>
      </c>
      <c r="B9" s="9" t="s">
        <v>106</v>
      </c>
      <c r="C9" s="9" t="s">
        <v>141</v>
      </c>
      <c r="D9" s="9" t="s">
        <v>126</v>
      </c>
      <c r="E9" s="9" t="s">
        <v>123</v>
      </c>
      <c r="F9" s="9" t="s">
        <v>142</v>
      </c>
    </row>
    <row r="10" spans="1:6" ht="15" customHeight="1" x14ac:dyDescent="0.25">
      <c r="A10" s="9">
        <v>9</v>
      </c>
      <c r="B10" s="9" t="s">
        <v>107</v>
      </c>
      <c r="C10" s="9" t="s">
        <v>141</v>
      </c>
      <c r="D10" s="9" t="s">
        <v>143</v>
      </c>
      <c r="E10" s="9" t="s">
        <v>123</v>
      </c>
      <c r="F10" s="9" t="s">
        <v>144</v>
      </c>
    </row>
    <row r="11" spans="1:6" ht="15" customHeight="1" x14ac:dyDescent="0.25">
      <c r="A11" s="9">
        <v>10</v>
      </c>
      <c r="B11" s="9" t="s">
        <v>108</v>
      </c>
      <c r="C11" s="9" t="s">
        <v>145</v>
      </c>
      <c r="D11" s="9" t="s">
        <v>146</v>
      </c>
      <c r="E11" s="9" t="s">
        <v>147</v>
      </c>
      <c r="F11" s="9" t="s">
        <v>148</v>
      </c>
    </row>
    <row r="12" spans="1:6" ht="15" customHeight="1" x14ac:dyDescent="0.25">
      <c r="A12" s="9">
        <v>11</v>
      </c>
      <c r="B12" s="9" t="s">
        <v>109</v>
      </c>
      <c r="C12" s="9" t="s">
        <v>145</v>
      </c>
      <c r="D12" s="9" t="s">
        <v>146</v>
      </c>
      <c r="E12" s="9" t="s">
        <v>123</v>
      </c>
      <c r="F12" s="9" t="s">
        <v>149</v>
      </c>
    </row>
    <row r="13" spans="1:6" ht="15" customHeight="1" x14ac:dyDescent="0.25">
      <c r="A13" s="9">
        <v>12</v>
      </c>
      <c r="B13" s="9" t="s">
        <v>110</v>
      </c>
      <c r="C13" s="9" t="s">
        <v>132</v>
      </c>
      <c r="D13" s="9" t="s">
        <v>122</v>
      </c>
      <c r="E13" s="9" t="s">
        <v>147</v>
      </c>
      <c r="F13" s="9" t="s">
        <v>150</v>
      </c>
    </row>
    <row r="14" spans="1:6" ht="15" customHeight="1" x14ac:dyDescent="0.25">
      <c r="A14" s="9">
        <v>13</v>
      </c>
      <c r="B14" s="9" t="s">
        <v>111</v>
      </c>
      <c r="C14" s="9" t="s">
        <v>145</v>
      </c>
      <c r="D14" s="9" t="s">
        <v>151</v>
      </c>
      <c r="E14" s="9" t="s">
        <v>123</v>
      </c>
      <c r="F14" s="9" t="s">
        <v>152</v>
      </c>
    </row>
    <row r="15" spans="1:6" ht="15" customHeight="1" x14ac:dyDescent="0.25">
      <c r="A15" s="9">
        <v>14</v>
      </c>
      <c r="B15" s="9" t="s">
        <v>112</v>
      </c>
      <c r="C15" s="9" t="s">
        <v>145</v>
      </c>
      <c r="D15" s="9" t="s">
        <v>151</v>
      </c>
      <c r="E15" s="9" t="s">
        <v>123</v>
      </c>
      <c r="F15" s="9" t="s">
        <v>153</v>
      </c>
    </row>
    <row r="16" spans="1:6" ht="15" customHeight="1" x14ac:dyDescent="0.25">
      <c r="A16" s="9">
        <v>15</v>
      </c>
      <c r="B16" s="9" t="s">
        <v>113</v>
      </c>
      <c r="C16" s="9" t="s">
        <v>132</v>
      </c>
      <c r="D16" s="9" t="s">
        <v>122</v>
      </c>
      <c r="E16" s="9" t="s">
        <v>147</v>
      </c>
      <c r="F16" s="9" t="s">
        <v>154</v>
      </c>
    </row>
    <row r="18" spans="1:6" ht="15" customHeight="1" x14ac:dyDescent="0.25">
      <c r="A18" s="15" t="s">
        <v>155</v>
      </c>
      <c r="B18" s="14"/>
      <c r="C18" s="14"/>
      <c r="D18" s="14"/>
      <c r="E18" s="14"/>
      <c r="F18" s="14"/>
    </row>
    <row r="19" spans="1:6" ht="15" customHeight="1" x14ac:dyDescent="0.25">
      <c r="A19" s="13" t="s">
        <v>156</v>
      </c>
      <c r="B19" s="14"/>
      <c r="C19" s="14"/>
      <c r="D19" s="14"/>
      <c r="E19" s="14"/>
      <c r="F19" s="14"/>
    </row>
    <row r="20" spans="1:6" ht="15" customHeight="1" x14ac:dyDescent="0.25">
      <c r="A20" s="13" t="s">
        <v>157</v>
      </c>
      <c r="B20" s="14"/>
      <c r="C20" s="14"/>
      <c r="D20" s="14"/>
      <c r="E20" s="14"/>
      <c r="F20" s="14"/>
    </row>
    <row r="21" spans="1:6" ht="15" customHeight="1" x14ac:dyDescent="0.25">
      <c r="A21" s="13" t="s">
        <v>158</v>
      </c>
      <c r="B21" s="14"/>
      <c r="C21" s="14"/>
      <c r="D21" s="14"/>
      <c r="E21" s="14"/>
      <c r="F21" s="14"/>
    </row>
  </sheetData>
  <mergeCells count="4">
    <mergeCell ref="A19:F19"/>
    <mergeCell ref="A21:F21"/>
    <mergeCell ref="A20:F20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62daf8e-98e7-42fc-b150-8db29dc1fb14}" enabled="1" method="Standard" siteId="{9e73e135-fe7a-447f-baba-b0312d3aa5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Mannschaftssportarten</vt:lpstr>
      <vt:lpstr>Ränge</vt:lpstr>
      <vt:lpstr>Kategorien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Keller, Daniel</cp:lastModifiedBy>
  <cp:revision>0</cp:revision>
  <dcterms:created xsi:type="dcterms:W3CDTF">2026-09-22T20:31:42Z</dcterms:created>
  <dcterms:modified xsi:type="dcterms:W3CDTF">2026-09-25T16:21:37Z</dcterms:modified>
  <dc:language>en-US</dc:language>
</cp:coreProperties>
</file>