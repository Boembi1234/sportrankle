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23600215-EF1B-A146-A1C1-D1C2B8FA343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NFL Teams" sheetId="1" r:id="rId1"/>
    <sheet name="Ränge" sheetId="2" r:id="rId2"/>
    <sheet name="Kategorien" sheetId="3" r:id="rId3"/>
    <sheet name="Paar-Check" sheetId="4" r:id="rId4"/>
  </sheets>
  <definedNames>
    <definedName name="_xlnm._FilterDatabase" localSheetId="0" hidden="1">'NFL Teams'!$A$1:$Q$33</definedName>
    <definedName name="_xlnm._FilterDatabase" localSheetId="3" hidden="1">'Paar-Check'!$A$1:$F$688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3" l="1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<sst xmlns="http://schemas.openxmlformats.org/spreadsheetml/2006/main" count="2273" uniqueCount="163">
  <si>
    <t>Team</t>
  </si>
  <si>
    <t>Siege (Regular Season, all-time) (Siege)</t>
  </si>
  <si>
    <t>Niederlagen (Regular Season, all-time) (Niederlagen)</t>
  </si>
  <si>
    <t>Unentschieden (all-time) (Remis)</t>
  </si>
  <si>
    <t>Siegquote (Regular Season, all-time) (%)</t>
  </si>
  <si>
    <t>Playoff-Siege (all-time) (Siege)</t>
  </si>
  <si>
    <t>Hall-of-Famers (Personen)</t>
  </si>
  <si>
    <t>In der heutigen Stadt seit (Jahr)</t>
  </si>
  <si>
    <t>Stadionkapazität (Plätze)</t>
  </si>
  <si>
    <t>Stadion-Baukosten (Mio. USD)</t>
  </si>
  <si>
    <t>Breitengrad Stadion (° Nord)</t>
  </si>
  <si>
    <t>Längengrad Stadion (° West)</t>
  </si>
  <si>
    <t>Einwohner Metropolregion (Mio.)</t>
  </si>
  <si>
    <t>Social-Media-Follower (Mio.)</t>
  </si>
  <si>
    <t>YouTube-Abonnenten (Tsd.)</t>
  </si>
  <si>
    <t>Betriebsgewinn Saison 2025 (Mio. USD)</t>
  </si>
  <si>
    <t>Anmerkung</t>
  </si>
  <si>
    <t>Arizona Cardinals</t>
  </si>
  <si>
    <t>Ältestes durchgehend bestehendes Profi-Team: Chicago → St. Louis (1960) → Arizona (1988).</t>
  </si>
  <si>
    <t>Atlanta Falcons</t>
  </si>
  <si>
    <t>Baltimore Ravens</t>
  </si>
  <si>
    <t>Offiziell Neugründung 1996 (Browns-Geschichte blieb in Cleveland).</t>
  </si>
  <si>
    <t>Buffalo Bills</t>
  </si>
  <si>
    <t>Neues Highmark Stadium seit 2026 ($2,1 Mrd.) – kleinstes Stadion der Liga.</t>
  </si>
  <si>
    <t>Carolina Panthers</t>
  </si>
  <si>
    <t>Chicago Bears</t>
  </si>
  <si>
    <t>Seit 1921 in Chicago (1920 Decatur Staleys). Meiste Remis &amp; Hall-of-Famers. Baukosten = Umbau 2003.</t>
  </si>
  <si>
    <t>Cincinnati Bengals</t>
  </si>
  <si>
    <t>Cleveland Browns</t>
  </si>
  <si>
    <t>Erste Saison 1946 (AAFC); 1996–98 pausiert.</t>
  </si>
  <si>
    <t>Dallas Cowboys</t>
  </si>
  <si>
    <t>Höchster Gewinn der Liga ($677 Mio.).</t>
  </si>
  <si>
    <t>Denver Broncos</t>
  </si>
  <si>
    <t>Detroit Lions</t>
  </si>
  <si>
    <t>Green Bay Packers</t>
  </si>
  <si>
    <t>Lambeau Field kostete 1957 nur $960'000. Kleinste Metropolregion.</t>
  </si>
  <si>
    <t>Houston Texans</t>
  </si>
  <si>
    <t>Jüngstes Team (2002).</t>
  </si>
  <si>
    <t>Indianapolis Colts</t>
  </si>
  <si>
    <t>Bis 1983 Baltimore Colts.</t>
  </si>
  <si>
    <t>Jacksonville Jaguars</t>
  </si>
  <si>
    <t>Nie ein Remis.</t>
  </si>
  <si>
    <t>Kansas City Chiefs</t>
  </si>
  <si>
    <t>1960–62 Dallas Texans. Meiste YouTube-Abonnenten.</t>
  </si>
  <si>
    <t>Las Vegas Raiders</t>
  </si>
  <si>
    <t>Oakland → LA → Oakland → Las Vegas (2020).</t>
  </si>
  <si>
    <t>Los Angeles Chargers</t>
  </si>
  <si>
    <t>1961–2016 San Diego. Teilen SoFi Stadium ($5,5 Mrd.) mit den Rams.</t>
  </si>
  <si>
    <t>Los Angeles Rams</t>
  </si>
  <si>
    <t>Cleveland → LA → St. Louis → LA (2016).</t>
  </si>
  <si>
    <t>Miami Dolphins</t>
  </si>
  <si>
    <t>Minnesota Vikings</t>
  </si>
  <si>
    <t>New England Patriots</t>
  </si>
  <si>
    <t>Meiste Playoff-Siege (40, gleichauf mit SF) &amp; Social-Media-Follower.</t>
  </si>
  <si>
    <t>New Orleans Saints</t>
  </si>
  <si>
    <t>New York Giants</t>
  </si>
  <si>
    <t>Teilen MetLife Stadium (New Jersey) mit den Jets.</t>
  </si>
  <si>
    <t>New York Jets</t>
  </si>
  <si>
    <t>Teilen MetLife Stadium (New Jersey) mit den Giants.</t>
  </si>
  <si>
    <t>Philadelphia Eagles</t>
  </si>
  <si>
    <t>Pittsburgh Steelers</t>
  </si>
  <si>
    <t>San Francisco 49ers</t>
  </si>
  <si>
    <t>Stadion in Santa Clara; Metro = San Francisco–Oakland.</t>
  </si>
  <si>
    <t>Seattle Seahawks</t>
  </si>
  <si>
    <t>Super-Bowl-LX-Sieger. Nördlichstes und westlichstes Stadion.</t>
  </si>
  <si>
    <t>Tampa Bay Buccaneers</t>
  </si>
  <si>
    <t>Tennessee Titans</t>
  </si>
  <si>
    <t>Bis 1996 Houston Oilers; neues Stadion ab 2027.</t>
  </si>
  <si>
    <t>Washington Commanders</t>
  </si>
  <si>
    <t>1932–36 Boston.</t>
  </si>
  <si>
    <t>Siege (Regular Season, all-time)</t>
  </si>
  <si>
    <t>Niederlagen (Regular Season, all-time)</t>
  </si>
  <si>
    <t>Unentschieden (all-time)</t>
  </si>
  <si>
    <t>Siegquote (Regular Season, all-time)</t>
  </si>
  <si>
    <t>Playoff-Siege (all-time)</t>
  </si>
  <si>
    <t>Hall-of-Famers</t>
  </si>
  <si>
    <t>In der heutigen Stadt seit</t>
  </si>
  <si>
    <t>Stadionkapazität</t>
  </si>
  <si>
    <t>Stadion-Baukosten</t>
  </si>
  <si>
    <t>Breitengrad Stadion</t>
  </si>
  <si>
    <t>Längengrad Stadion</t>
  </si>
  <si>
    <t>Einwohner Metropolregion</t>
  </si>
  <si>
    <t>Social-Media-Follower</t>
  </si>
  <si>
    <t>YouTube-Abonnenten</t>
  </si>
  <si>
    <t>Betriebsgewinn Saison 2025</t>
  </si>
  <si>
    <t>Rang 1 = bester Wert in Spielrichtung (siehe Blatt Kategorien). Gleiche Werte = gleicher Rang. Formeln beziehen sich live auf das Datenblatt.</t>
  </si>
  <si>
    <t>#</t>
  </si>
  <si>
    <t>Kategorie</t>
  </si>
  <si>
    <t>Einheit</t>
  </si>
  <si>
    <t>Rang 1 =</t>
  </si>
  <si>
    <t>Datenqualität</t>
  </si>
  <si>
    <t>Mindestabstand im Spiel</t>
  </si>
  <si>
    <t>Zu nahe Paare</t>
  </si>
  <si>
    <t>Definition / Hinweis</t>
  </si>
  <si>
    <t>Quelle</t>
  </si>
  <si>
    <t>Siege</t>
  </si>
  <si>
    <t>meiste</t>
  </si>
  <si>
    <t>hart</t>
  </si>
  <si>
    <t>≥ 20 Siege</t>
  </si>
  <si>
    <t>Alle Regular-Season-Siege inkl. AFL/AAFC, Stand Ende Saison 2025.</t>
  </si>
  <si>
    <t>Wikipedia 'Lists of NFL team seasons' (Quelle PFR)</t>
  </si>
  <si>
    <t>Niederlagen</t>
  </si>
  <si>
    <t>≥ 20 Niederlagen</t>
  </si>
  <si>
    <t>Alle Regular-Season-Niederlagen, Stand Ende Saison 2025.</t>
  </si>
  <si>
    <t>Remis</t>
  </si>
  <si>
    <t>≥ 2 Remis</t>
  </si>
  <si>
    <t>Alle Remis in der Regular Season seit Gründung.</t>
  </si>
  <si>
    <t>%</t>
  </si>
  <si>
    <t>höchste</t>
  </si>
  <si>
    <t>≥ 1 Prozentpunkt</t>
  </si>
  <si>
    <t>Siege / Spiele, Remis als halber Sieg.</t>
  </si>
  <si>
    <t>≥ 2 Siege</t>
  </si>
  <si>
    <t>Alle Playoff-Siege inkl. Super Bowl, Stand nach Super Bowl LX (Feb. 2026).</t>
  </si>
  <si>
    <t>Wikipedia 'Lists of NFL team seasons' + Playoffs 2025/26</t>
  </si>
  <si>
    <t>Personen</t>
  </si>
  <si>
    <t>mittel</t>
  </si>
  <si>
    <t>≥ 2 Personen</t>
  </si>
  <si>
    <t>Mitglieder der Pro Football Hall of Fame, je Person ein Primärteam, inkl. Class of 2026.</t>
  </si>
  <si>
    <t>LegionReport 'NFL Hall of Famers by Team' (Juli 2026)</t>
  </si>
  <si>
    <t>Jahr</t>
  </si>
  <si>
    <t>am längsten</t>
  </si>
  <si>
    <t>≥ 3 Jahre</t>
  </si>
  <si>
    <t>Erste Saison am heutigen Standort (Umzüge zählen neu).</t>
  </si>
  <si>
    <t>Franchise-Geschichten (Wikipedia/NFL)</t>
  </si>
  <si>
    <t>Plätze</t>
  </si>
  <si>
    <t>grösste</t>
  </si>
  <si>
    <t>≥ 1500 Plätze</t>
  </si>
  <si>
    <t>Reguläre Sitzplätze Heimstadion Saison 2026.</t>
  </si>
  <si>
    <t>Wikipedia 'List of current NFL stadiums'</t>
  </si>
  <si>
    <t>Mio. USD</t>
  </si>
  <si>
    <t>≥ 15 % Unterschied</t>
  </si>
  <si>
    <t>Nominale Baukosten des heutigen Stadions im Baujahr (nicht inflationsbereinigt). Soldier Field = Umbau 2003.</t>
  </si>
  <si>
    <t>Sports-King 'Complete History of Every NFL Stadium' (2026)</t>
  </si>
  <si>
    <t>° Nord</t>
  </si>
  <si>
    <t>nördlichstes</t>
  </si>
  <si>
    <t>≥ 0.75 °Nord</t>
  </si>
  <si>
    <t>Geografische Breite des Heimstadions (gerundet).</t>
  </si>
  <si>
    <t>Stadion-Koordinaten (Wikipedia), gerundet</t>
  </si>
  <si>
    <t>° West</t>
  </si>
  <si>
    <t>westlichstes</t>
  </si>
  <si>
    <t>≥ 1 °West</t>
  </si>
  <si>
    <t>Geografische Länge des Heimstadions (West = positiv).</t>
  </si>
  <si>
    <t>Mio.</t>
  </si>
  <si>
    <t>≥ 10 % Unterschied</t>
  </si>
  <si>
    <t>Metropolitan Statistical Area des Teammarkts, Schätzung 1.7.2025.</t>
  </si>
  <si>
    <t>US Census Bureau Vintage 2025 via Wikipedia 'List of core-based statistical areas'</t>
  </si>
  <si>
    <t>Instagram + X + YouTube zusammen (Feb. 2026). Ändert sich laufend.</t>
  </si>
  <si>
    <t>BroBible 'Ranking All 32 NFL Fan Bases' (11.02.2026)</t>
  </si>
  <si>
    <t>Tsd.</t>
  </si>
  <si>
    <t>Abonnenten des offiziellen Team-Kanals (Feb. 2026).</t>
  </si>
  <si>
    <t>höchster</t>
  </si>
  <si>
    <t>Forbes-Schätzung Operating Income (EBITDA) 2025.</t>
  </si>
  <si>
    <t>Forbes 'The NFL's Most Valuable Teams 2026' (09.09.2026)</t>
  </si>
  <si>
    <t>Hinweise</t>
  </si>
  <si>
    <t>Stand 23.09.2026. Erfolgsdaten nach Saison 2025 (Super Bowl LX), Stadien Saison 2026, Einwohner Census 2025, Forbes 09.09.2026, Social Media Feb. 2026.</t>
  </si>
  <si>
    <t>Auswahlkriterium: Werte breit gestreut, möglichst ohne Gleichstände. Nicht mehr enthalten, weil zu viele gleiche oder fast gleiche Werte: Super-Bowl-Siege/-Teilnahmen, #1-Picks, gesperrte Nummern, Divisionstitel, Franchise-Wert, Umsatz, Gründungsjahr.</t>
  </si>
  <si>
    <t>Mindestabstand: Das Spiel soll zwei Teams nur dann in dieselbe Runde losen, wenn sich ihre Werte mindestens um diesen Abstand unterscheiden. Alle Verstösse stehen im Blatt 'Paar-Check'.</t>
  </si>
  <si>
    <t>Unvermeidbare Gleichstände: Giants/Jets und Rams/Chargers teilen sich Stadion und Metropolregion – diese Paare nie gemeinsam in einer Stadion-/Geo-/Einwohner-Runde verwenden.</t>
  </si>
  <si>
    <t>Team A</t>
  </si>
  <si>
    <t>Wert A</t>
  </si>
  <si>
    <t>Team B</t>
  </si>
  <si>
    <t>Wert B</t>
  </si>
  <si>
    <t>Differenz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</si>
</sst>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#,##0.###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74ADC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/>
    <xf numFmtId="166" fontId="3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74AD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zoomScaleNormal="100" workbookViewId="0">
      <pane xSplit="1" ySplit="1" topLeftCell="O2" activePane="bottomRight" state="frozen"/>
      <selection pane="bottomLeft" activeCell="A2" sqref="A2"/>
      <selection pane="topRight" activeCell="B1" sqref="B1"/>
      <selection pane="bottomRight"/>
    </sheetView>
  </sheetViews>
  <sheetFormatPr defaultColWidth="8.7421875" defaultRowHeight="15" x14ac:dyDescent="0.2"/>
  <cols>
    <col min="1" max="1" width="23.9453125" customWidth="1"/>
    <col min="2" max="16" width="13.046875" customWidth="1"/>
    <col min="17" max="17" width="69.94921875" customWidth="1"/>
  </cols>
  <sheetData>
    <row r="1" spans="1:17" ht="5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3">
        <v>596</v>
      </c>
      <c r="C2" s="3">
        <v>826</v>
      </c>
      <c r="D2" s="3">
        <v>41</v>
      </c>
      <c r="E2" s="4">
        <v>0.42099999999999999</v>
      </c>
      <c r="F2" s="3">
        <v>7</v>
      </c>
      <c r="G2" s="3">
        <v>13</v>
      </c>
      <c r="H2" s="3">
        <v>1988</v>
      </c>
      <c r="I2" s="5">
        <v>63400</v>
      </c>
      <c r="J2" s="6">
        <v>455</v>
      </c>
      <c r="K2" s="7">
        <v>33.527999999999999</v>
      </c>
      <c r="L2" s="7">
        <v>112.26300000000001</v>
      </c>
      <c r="M2" s="7">
        <v>5.2290000000000001</v>
      </c>
      <c r="N2" s="7">
        <v>2.3210000000000002</v>
      </c>
      <c r="O2" s="5">
        <v>121</v>
      </c>
      <c r="P2" s="5">
        <v>119</v>
      </c>
      <c r="Q2" s="8" t="s">
        <v>18</v>
      </c>
    </row>
    <row r="3" spans="1:17" x14ac:dyDescent="0.2">
      <c r="A3" s="2" t="s">
        <v>19</v>
      </c>
      <c r="B3" s="3">
        <v>406</v>
      </c>
      <c r="C3" s="3">
        <v>521</v>
      </c>
      <c r="D3" s="3">
        <v>6</v>
      </c>
      <c r="E3" s="4">
        <v>0.438</v>
      </c>
      <c r="F3" s="3">
        <v>10</v>
      </c>
      <c r="G3" s="3">
        <v>2</v>
      </c>
      <c r="H3" s="3">
        <v>1966</v>
      </c>
      <c r="I3" s="5">
        <v>71000</v>
      </c>
      <c r="J3" s="6">
        <v>1500</v>
      </c>
      <c r="K3" s="7">
        <v>33.755000000000003</v>
      </c>
      <c r="L3" s="7">
        <v>84.400999999999996</v>
      </c>
      <c r="M3" s="7">
        <v>6.4820000000000002</v>
      </c>
      <c r="N3" s="7">
        <v>3.9329999999999998</v>
      </c>
      <c r="O3" s="5">
        <v>233</v>
      </c>
      <c r="P3" s="5">
        <v>240</v>
      </c>
      <c r="Q3" s="8"/>
    </row>
    <row r="4" spans="1:17" x14ac:dyDescent="0.2">
      <c r="A4" s="2" t="s">
        <v>20</v>
      </c>
      <c r="B4" s="3">
        <v>276</v>
      </c>
      <c r="C4" s="3">
        <v>208</v>
      </c>
      <c r="D4" s="3">
        <v>1</v>
      </c>
      <c r="E4" s="4">
        <v>0.56999999999999995</v>
      </c>
      <c r="F4" s="3">
        <v>18</v>
      </c>
      <c r="G4" s="3">
        <v>3</v>
      </c>
      <c r="H4" s="3">
        <v>1996</v>
      </c>
      <c r="I4" s="5">
        <v>71008</v>
      </c>
      <c r="J4" s="6">
        <v>220</v>
      </c>
      <c r="K4" s="7">
        <v>39.277999999999999</v>
      </c>
      <c r="L4" s="7">
        <v>76.623000000000005</v>
      </c>
      <c r="M4" s="7">
        <v>2.8580000000000001</v>
      </c>
      <c r="N4" s="7">
        <v>4.5529999999999999</v>
      </c>
      <c r="O4" s="5">
        <v>353</v>
      </c>
      <c r="P4" s="5">
        <v>77</v>
      </c>
      <c r="Q4" s="8" t="s">
        <v>21</v>
      </c>
    </row>
    <row r="5" spans="1:17" x14ac:dyDescent="0.2">
      <c r="A5" s="2" t="s">
        <v>22</v>
      </c>
      <c r="B5" s="3">
        <v>498</v>
      </c>
      <c r="C5" s="3">
        <v>510</v>
      </c>
      <c r="D5" s="3">
        <v>8</v>
      </c>
      <c r="E5" s="4">
        <v>0.49399999999999999</v>
      </c>
      <c r="F5" s="3">
        <v>22</v>
      </c>
      <c r="G5" s="3">
        <v>9</v>
      </c>
      <c r="H5" s="3">
        <v>1960</v>
      </c>
      <c r="I5" s="5">
        <v>60108</v>
      </c>
      <c r="J5" s="6">
        <v>2100</v>
      </c>
      <c r="K5" s="7">
        <v>42.774000000000001</v>
      </c>
      <c r="L5" s="7">
        <v>78.787000000000006</v>
      </c>
      <c r="M5" s="7">
        <v>1.1559999999999999</v>
      </c>
      <c r="N5" s="7">
        <v>4.5579999999999998</v>
      </c>
      <c r="O5" s="5">
        <v>258</v>
      </c>
      <c r="P5" s="5">
        <v>58</v>
      </c>
      <c r="Q5" s="8" t="s">
        <v>23</v>
      </c>
    </row>
    <row r="6" spans="1:17" x14ac:dyDescent="0.2">
      <c r="A6" s="2" t="s">
        <v>24</v>
      </c>
      <c r="B6" s="3">
        <v>227</v>
      </c>
      <c r="C6" s="3">
        <v>273</v>
      </c>
      <c r="D6" s="3">
        <v>1</v>
      </c>
      <c r="E6" s="4">
        <v>0.45400000000000001</v>
      </c>
      <c r="F6" s="3">
        <v>9</v>
      </c>
      <c r="G6" s="3">
        <v>2</v>
      </c>
      <c r="H6" s="3">
        <v>1995</v>
      </c>
      <c r="I6" s="5">
        <v>75037</v>
      </c>
      <c r="J6" s="6">
        <v>242</v>
      </c>
      <c r="K6" s="7">
        <v>35.225999999999999</v>
      </c>
      <c r="L6" s="7">
        <v>80.852999999999994</v>
      </c>
      <c r="M6" s="7">
        <v>2.9390000000000001</v>
      </c>
      <c r="N6" s="7">
        <v>5.0730000000000004</v>
      </c>
      <c r="O6" s="5">
        <v>173</v>
      </c>
      <c r="P6" s="5">
        <v>88</v>
      </c>
      <c r="Q6" s="8"/>
    </row>
    <row r="7" spans="1:17" x14ac:dyDescent="0.2">
      <c r="A7" s="2" t="s">
        <v>25</v>
      </c>
      <c r="B7" s="3">
        <v>809</v>
      </c>
      <c r="C7" s="3">
        <v>652</v>
      </c>
      <c r="D7" s="3">
        <v>42</v>
      </c>
      <c r="E7" s="4">
        <v>0.55200000000000005</v>
      </c>
      <c r="F7" s="3">
        <v>18</v>
      </c>
      <c r="G7" s="3">
        <v>29</v>
      </c>
      <c r="H7" s="3">
        <v>1921</v>
      </c>
      <c r="I7" s="5">
        <v>62500</v>
      </c>
      <c r="J7" s="6">
        <v>632</v>
      </c>
      <c r="K7" s="7">
        <v>41.862000000000002</v>
      </c>
      <c r="L7" s="7">
        <v>87.617000000000004</v>
      </c>
      <c r="M7" s="7">
        <v>9.4339999999999993</v>
      </c>
      <c r="N7" s="7">
        <v>4.5039999999999996</v>
      </c>
      <c r="O7" s="5">
        <v>304</v>
      </c>
      <c r="P7" s="5">
        <v>73</v>
      </c>
      <c r="Q7" s="8" t="s">
        <v>26</v>
      </c>
    </row>
    <row r="8" spans="1:17" x14ac:dyDescent="0.2">
      <c r="A8" s="2" t="s">
        <v>27</v>
      </c>
      <c r="B8" s="3">
        <v>409</v>
      </c>
      <c r="C8" s="3">
        <v>490</v>
      </c>
      <c r="D8" s="3">
        <v>5</v>
      </c>
      <c r="E8" s="4">
        <v>0.45500000000000002</v>
      </c>
      <c r="F8" s="3">
        <v>10</v>
      </c>
      <c r="G8" s="3">
        <v>2</v>
      </c>
      <c r="H8" s="3">
        <v>1968</v>
      </c>
      <c r="I8" s="5">
        <v>65515</v>
      </c>
      <c r="J8" s="6">
        <v>450</v>
      </c>
      <c r="K8" s="7">
        <v>39.094999999999999</v>
      </c>
      <c r="L8" s="7">
        <v>84.516000000000005</v>
      </c>
      <c r="M8" s="7">
        <v>2.3130000000000002</v>
      </c>
      <c r="N8" s="7">
        <v>3.6680000000000001</v>
      </c>
      <c r="O8" s="5">
        <v>168</v>
      </c>
      <c r="P8" s="5">
        <v>71</v>
      </c>
      <c r="Q8" s="8"/>
    </row>
    <row r="9" spans="1:17" x14ac:dyDescent="0.2">
      <c r="A9" s="2" t="s">
        <v>28</v>
      </c>
      <c r="B9" s="3">
        <v>567</v>
      </c>
      <c r="C9" s="3">
        <v>560</v>
      </c>
      <c r="D9" s="3">
        <v>14</v>
      </c>
      <c r="E9" s="4">
        <v>0.503</v>
      </c>
      <c r="F9" s="3">
        <v>17</v>
      </c>
      <c r="G9" s="3">
        <v>16</v>
      </c>
      <c r="H9" s="3">
        <v>1946</v>
      </c>
      <c r="I9" s="5">
        <v>67895</v>
      </c>
      <c r="J9" s="6">
        <v>290</v>
      </c>
      <c r="K9" s="7">
        <v>41.506</v>
      </c>
      <c r="L9" s="7">
        <v>81.7</v>
      </c>
      <c r="M9" s="7">
        <v>2.1659999999999999</v>
      </c>
      <c r="N9" s="7">
        <v>3.5550000000000002</v>
      </c>
      <c r="O9" s="5">
        <v>355</v>
      </c>
      <c r="P9" s="5">
        <v>110</v>
      </c>
      <c r="Q9" s="8" t="s">
        <v>29</v>
      </c>
    </row>
    <row r="10" spans="1:17" x14ac:dyDescent="0.2">
      <c r="A10" s="2" t="s">
        <v>30</v>
      </c>
      <c r="B10" s="3">
        <v>576</v>
      </c>
      <c r="C10" s="3">
        <v>432</v>
      </c>
      <c r="D10" s="3">
        <v>7</v>
      </c>
      <c r="E10" s="4">
        <v>0.57099999999999995</v>
      </c>
      <c r="F10" s="3">
        <v>36</v>
      </c>
      <c r="G10" s="3">
        <v>21</v>
      </c>
      <c r="H10" s="3">
        <v>1960</v>
      </c>
      <c r="I10" s="5">
        <v>80000</v>
      </c>
      <c r="J10" s="6">
        <v>1300</v>
      </c>
      <c r="K10" s="7">
        <v>32.747999999999998</v>
      </c>
      <c r="L10" s="7">
        <v>97.093000000000004</v>
      </c>
      <c r="M10" s="7">
        <v>8.4770000000000003</v>
      </c>
      <c r="N10" s="7">
        <v>9.7110000000000003</v>
      </c>
      <c r="O10" s="5">
        <v>511</v>
      </c>
      <c r="P10" s="5">
        <v>677</v>
      </c>
      <c r="Q10" s="8" t="s">
        <v>31</v>
      </c>
    </row>
    <row r="11" spans="1:17" x14ac:dyDescent="0.2">
      <c r="A11" s="2" t="s">
        <v>32</v>
      </c>
      <c r="B11" s="3">
        <v>532</v>
      </c>
      <c r="C11" s="3">
        <v>475</v>
      </c>
      <c r="D11" s="3">
        <v>10</v>
      </c>
      <c r="E11" s="4">
        <v>0.52800000000000002</v>
      </c>
      <c r="F11" s="3">
        <v>24</v>
      </c>
      <c r="G11" s="3">
        <v>9</v>
      </c>
      <c r="H11" s="3">
        <v>1960</v>
      </c>
      <c r="I11" s="5">
        <v>76125</v>
      </c>
      <c r="J11" s="6">
        <v>364</v>
      </c>
      <c r="K11" s="7">
        <v>39.744</v>
      </c>
      <c r="L11" s="7">
        <v>105.02</v>
      </c>
      <c r="M11" s="7">
        <v>3.0920000000000001</v>
      </c>
      <c r="N11" s="7">
        <v>4.4429999999999996</v>
      </c>
      <c r="O11" s="5">
        <v>243</v>
      </c>
      <c r="P11" s="5">
        <v>97</v>
      </c>
      <c r="Q11" s="8"/>
    </row>
    <row r="12" spans="1:17" x14ac:dyDescent="0.2">
      <c r="A12" s="2" t="s">
        <v>33</v>
      </c>
      <c r="B12" s="3">
        <v>615</v>
      </c>
      <c r="C12" s="3">
        <v>717</v>
      </c>
      <c r="D12" s="3">
        <v>34</v>
      </c>
      <c r="E12" s="4">
        <v>0.46300000000000002</v>
      </c>
      <c r="F12" s="3">
        <v>9</v>
      </c>
      <c r="G12" s="3">
        <v>16</v>
      </c>
      <c r="H12" s="3">
        <v>1934</v>
      </c>
      <c r="I12" s="5">
        <v>65000</v>
      </c>
      <c r="J12" s="6">
        <v>430</v>
      </c>
      <c r="K12" s="7">
        <v>42.34</v>
      </c>
      <c r="L12" s="7">
        <v>83.046000000000006</v>
      </c>
      <c r="M12" s="7">
        <v>4.391</v>
      </c>
      <c r="N12" s="7">
        <v>4.1289999999999996</v>
      </c>
      <c r="O12" s="5">
        <v>329</v>
      </c>
      <c r="P12" s="5">
        <v>53</v>
      </c>
      <c r="Q12" s="8"/>
    </row>
    <row r="13" spans="1:17" x14ac:dyDescent="0.2">
      <c r="A13" s="2" t="s">
        <v>34</v>
      </c>
      <c r="B13" s="3">
        <v>819</v>
      </c>
      <c r="C13" s="3">
        <v>611</v>
      </c>
      <c r="D13" s="3">
        <v>39</v>
      </c>
      <c r="E13" s="4">
        <v>0.57099999999999995</v>
      </c>
      <c r="F13" s="3">
        <v>37</v>
      </c>
      <c r="G13" s="3">
        <v>27</v>
      </c>
      <c r="H13" s="3">
        <v>1921</v>
      </c>
      <c r="I13" s="5">
        <v>81441</v>
      </c>
      <c r="J13" s="6">
        <v>0.96</v>
      </c>
      <c r="K13" s="7">
        <v>44.500999999999998</v>
      </c>
      <c r="L13" s="7">
        <v>88.061999999999998</v>
      </c>
      <c r="M13" s="7">
        <v>0.33700000000000002</v>
      </c>
      <c r="N13" s="7">
        <v>5.5350000000000001</v>
      </c>
      <c r="O13" s="5">
        <v>235</v>
      </c>
      <c r="P13" s="5">
        <v>73</v>
      </c>
      <c r="Q13" s="8" t="s">
        <v>35</v>
      </c>
    </row>
    <row r="14" spans="1:17" x14ac:dyDescent="0.2">
      <c r="A14" s="2" t="s">
        <v>36</v>
      </c>
      <c r="B14" s="3">
        <v>174</v>
      </c>
      <c r="C14" s="3">
        <v>214</v>
      </c>
      <c r="D14" s="3">
        <v>1</v>
      </c>
      <c r="E14" s="4">
        <v>0.44900000000000001</v>
      </c>
      <c r="F14" s="3">
        <v>7</v>
      </c>
      <c r="G14" s="3">
        <v>1</v>
      </c>
      <c r="H14" s="3">
        <v>2002</v>
      </c>
      <c r="I14" s="5">
        <v>72220</v>
      </c>
      <c r="J14" s="6">
        <v>352</v>
      </c>
      <c r="K14" s="7">
        <v>29.684999999999999</v>
      </c>
      <c r="L14" s="7">
        <v>95.411000000000001</v>
      </c>
      <c r="M14" s="7">
        <v>7.9050000000000002</v>
      </c>
      <c r="N14" s="7">
        <v>4.0620000000000003</v>
      </c>
      <c r="O14" s="5">
        <v>162</v>
      </c>
      <c r="P14" s="5">
        <v>160</v>
      </c>
      <c r="Q14" s="8" t="s">
        <v>37</v>
      </c>
    </row>
    <row r="15" spans="1:17" x14ac:dyDescent="0.2">
      <c r="A15" s="2" t="s">
        <v>38</v>
      </c>
      <c r="B15" s="3">
        <v>572</v>
      </c>
      <c r="C15" s="3">
        <v>519</v>
      </c>
      <c r="D15" s="3">
        <v>8</v>
      </c>
      <c r="E15" s="4">
        <v>0.52400000000000002</v>
      </c>
      <c r="F15" s="3">
        <v>23</v>
      </c>
      <c r="G15" s="3">
        <v>13</v>
      </c>
      <c r="H15" s="3">
        <v>1984</v>
      </c>
      <c r="I15" s="5">
        <v>67000</v>
      </c>
      <c r="J15" s="6">
        <v>720</v>
      </c>
      <c r="K15" s="7">
        <v>39.76</v>
      </c>
      <c r="L15" s="7">
        <v>86.164000000000001</v>
      </c>
      <c r="M15" s="7">
        <v>2.206</v>
      </c>
      <c r="N15" s="7">
        <v>2.2999999999999998</v>
      </c>
      <c r="O15" s="5">
        <v>100</v>
      </c>
      <c r="P15" s="5">
        <v>81</v>
      </c>
      <c r="Q15" s="8" t="s">
        <v>39</v>
      </c>
    </row>
    <row r="16" spans="1:17" x14ac:dyDescent="0.2">
      <c r="A16" s="2" t="s">
        <v>40</v>
      </c>
      <c r="B16" s="3">
        <v>215</v>
      </c>
      <c r="C16" s="3">
        <v>286</v>
      </c>
      <c r="D16" s="3">
        <v>0</v>
      </c>
      <c r="E16" s="4">
        <v>0.42899999999999999</v>
      </c>
      <c r="F16" s="3">
        <v>8</v>
      </c>
      <c r="G16" s="3">
        <v>1</v>
      </c>
      <c r="H16" s="3">
        <v>1995</v>
      </c>
      <c r="I16" s="5">
        <v>69132</v>
      </c>
      <c r="J16" s="6">
        <v>134</v>
      </c>
      <c r="K16" s="7">
        <v>30.324000000000002</v>
      </c>
      <c r="L16" s="7">
        <v>81.637</v>
      </c>
      <c r="M16" s="7">
        <v>1.786</v>
      </c>
      <c r="N16" s="7">
        <v>2.0830000000000002</v>
      </c>
      <c r="O16" s="5">
        <v>136</v>
      </c>
      <c r="P16" s="5">
        <v>31</v>
      </c>
      <c r="Q16" s="8" t="s">
        <v>41</v>
      </c>
    </row>
    <row r="17" spans="1:17" x14ac:dyDescent="0.2">
      <c r="A17" s="2" t="s">
        <v>42</v>
      </c>
      <c r="B17" s="3">
        <v>553</v>
      </c>
      <c r="C17" s="3">
        <v>452</v>
      </c>
      <c r="D17" s="3">
        <v>12</v>
      </c>
      <c r="E17" s="4">
        <v>0.55000000000000004</v>
      </c>
      <c r="F17" s="3">
        <v>26</v>
      </c>
      <c r="G17" s="3">
        <v>13</v>
      </c>
      <c r="H17" s="3">
        <v>1963</v>
      </c>
      <c r="I17" s="5">
        <v>73426</v>
      </c>
      <c r="J17" s="6">
        <v>43</v>
      </c>
      <c r="K17" s="7">
        <v>39.048999999999999</v>
      </c>
      <c r="L17" s="7">
        <v>94.483999999999995</v>
      </c>
      <c r="M17" s="7">
        <v>2.2709999999999999</v>
      </c>
      <c r="N17" s="7">
        <v>8.48</v>
      </c>
      <c r="O17" s="5">
        <v>1480</v>
      </c>
      <c r="P17" s="5">
        <v>51</v>
      </c>
      <c r="Q17" s="8" t="s">
        <v>43</v>
      </c>
    </row>
    <row r="18" spans="1:17" x14ac:dyDescent="0.2">
      <c r="A18" s="2" t="s">
        <v>44</v>
      </c>
      <c r="B18" s="3">
        <v>512</v>
      </c>
      <c r="C18" s="3">
        <v>494</v>
      </c>
      <c r="D18" s="3">
        <v>11</v>
      </c>
      <c r="E18" s="4">
        <v>0.50900000000000001</v>
      </c>
      <c r="F18" s="3">
        <v>25</v>
      </c>
      <c r="G18" s="3">
        <v>18</v>
      </c>
      <c r="H18" s="3">
        <v>2020</v>
      </c>
      <c r="I18" s="5">
        <v>66000</v>
      </c>
      <c r="J18" s="6">
        <v>1900</v>
      </c>
      <c r="K18" s="7">
        <v>36.091000000000001</v>
      </c>
      <c r="L18" s="7">
        <v>115.184</v>
      </c>
      <c r="M18" s="7">
        <v>2.407</v>
      </c>
      <c r="N18" s="7">
        <v>4.5350000000000001</v>
      </c>
      <c r="O18" s="5">
        <v>335</v>
      </c>
      <c r="P18" s="5">
        <v>191</v>
      </c>
      <c r="Q18" s="8" t="s">
        <v>45</v>
      </c>
    </row>
    <row r="19" spans="1:17" x14ac:dyDescent="0.2">
      <c r="A19" s="2" t="s">
        <v>46</v>
      </c>
      <c r="B19" s="3">
        <v>505</v>
      </c>
      <c r="C19" s="3">
        <v>501</v>
      </c>
      <c r="D19" s="3">
        <v>11</v>
      </c>
      <c r="E19" s="4">
        <v>0.502</v>
      </c>
      <c r="F19" s="3">
        <v>12</v>
      </c>
      <c r="G19" s="3">
        <v>11</v>
      </c>
      <c r="H19" s="3">
        <v>2017</v>
      </c>
      <c r="I19" s="5">
        <v>70000</v>
      </c>
      <c r="J19" s="6">
        <v>5500</v>
      </c>
      <c r="K19" s="7">
        <v>33.953000000000003</v>
      </c>
      <c r="L19" s="7">
        <v>118.339</v>
      </c>
      <c r="M19" s="7">
        <v>12.843999999999999</v>
      </c>
      <c r="N19" s="7">
        <v>2.7469999999999999</v>
      </c>
      <c r="O19" s="5">
        <v>447</v>
      </c>
      <c r="P19" s="5">
        <v>57</v>
      </c>
      <c r="Q19" s="8" t="s">
        <v>47</v>
      </c>
    </row>
    <row r="20" spans="1:17" x14ac:dyDescent="0.2">
      <c r="A20" s="2" t="s">
        <v>48</v>
      </c>
      <c r="B20" s="3">
        <v>636</v>
      </c>
      <c r="C20" s="3">
        <v>611</v>
      </c>
      <c r="D20" s="3">
        <v>21</v>
      </c>
      <c r="E20" s="4">
        <v>0.51</v>
      </c>
      <c r="F20" s="3">
        <v>29</v>
      </c>
      <c r="G20" s="3">
        <v>16</v>
      </c>
      <c r="H20" s="3">
        <v>2016</v>
      </c>
      <c r="I20" s="5">
        <v>70000</v>
      </c>
      <c r="J20" s="6">
        <v>5500</v>
      </c>
      <c r="K20" s="7">
        <v>33.953000000000003</v>
      </c>
      <c r="L20" s="7">
        <v>118.339</v>
      </c>
      <c r="M20" s="7">
        <v>12.843999999999999</v>
      </c>
      <c r="N20" s="7">
        <v>3.4889999999999999</v>
      </c>
      <c r="O20" s="5">
        <v>389</v>
      </c>
      <c r="P20" s="5">
        <v>335</v>
      </c>
      <c r="Q20" s="8" t="s">
        <v>49</v>
      </c>
    </row>
    <row r="21" spans="1:17" x14ac:dyDescent="0.2">
      <c r="A21" s="2" t="s">
        <v>50</v>
      </c>
      <c r="B21" s="3">
        <v>511</v>
      </c>
      <c r="C21" s="3">
        <v>418</v>
      </c>
      <c r="D21" s="3">
        <v>4</v>
      </c>
      <c r="E21" s="4">
        <v>0.55000000000000004</v>
      </c>
      <c r="F21" s="3">
        <v>20</v>
      </c>
      <c r="G21" s="3">
        <v>10</v>
      </c>
      <c r="H21" s="3">
        <v>1966</v>
      </c>
      <c r="I21" s="5">
        <v>65326</v>
      </c>
      <c r="J21" s="6">
        <v>115</v>
      </c>
      <c r="K21" s="7">
        <v>25.957999999999998</v>
      </c>
      <c r="L21" s="7">
        <v>80.239000000000004</v>
      </c>
      <c r="M21" s="7">
        <v>6.391</v>
      </c>
      <c r="N21" s="7">
        <v>3.383</v>
      </c>
      <c r="O21" s="5">
        <v>183</v>
      </c>
      <c r="P21" s="5">
        <v>198</v>
      </c>
      <c r="Q21" s="8"/>
    </row>
    <row r="22" spans="1:17" x14ac:dyDescent="0.2">
      <c r="A22" s="2" t="s">
        <v>51</v>
      </c>
      <c r="B22" s="3">
        <v>546</v>
      </c>
      <c r="C22" s="3">
        <v>446</v>
      </c>
      <c r="D22" s="3">
        <v>11</v>
      </c>
      <c r="E22" s="4">
        <v>0.55000000000000004</v>
      </c>
      <c r="F22" s="3">
        <v>21</v>
      </c>
      <c r="G22" s="3">
        <v>14</v>
      </c>
      <c r="H22" s="3">
        <v>1961</v>
      </c>
      <c r="I22" s="5">
        <v>66655</v>
      </c>
      <c r="J22" s="6">
        <v>1100</v>
      </c>
      <c r="K22" s="7">
        <v>44.973999999999997</v>
      </c>
      <c r="L22" s="7">
        <v>93.257999999999996</v>
      </c>
      <c r="M22" s="7">
        <v>3.79</v>
      </c>
      <c r="N22" s="7">
        <v>3.6110000000000002</v>
      </c>
      <c r="O22" s="5">
        <v>411</v>
      </c>
      <c r="P22" s="5">
        <v>25</v>
      </c>
      <c r="Q22" s="8"/>
    </row>
    <row r="23" spans="1:17" x14ac:dyDescent="0.2">
      <c r="A23" s="2" t="s">
        <v>52</v>
      </c>
      <c r="B23" s="3">
        <v>559</v>
      </c>
      <c r="C23" s="3">
        <v>449</v>
      </c>
      <c r="D23" s="3">
        <v>9</v>
      </c>
      <c r="E23" s="4">
        <v>0.55400000000000005</v>
      </c>
      <c r="F23" s="3">
        <v>40</v>
      </c>
      <c r="G23" s="3">
        <v>6</v>
      </c>
      <c r="H23" s="3">
        <v>1960</v>
      </c>
      <c r="I23" s="5">
        <v>66829</v>
      </c>
      <c r="J23" s="6">
        <v>325</v>
      </c>
      <c r="K23" s="7">
        <v>42.091000000000001</v>
      </c>
      <c r="L23" s="7">
        <v>71.263999999999996</v>
      </c>
      <c r="M23" s="7">
        <v>5.0339999999999998</v>
      </c>
      <c r="N23" s="7">
        <v>10.101000000000001</v>
      </c>
      <c r="O23" s="5">
        <v>401</v>
      </c>
      <c r="P23" s="5">
        <v>186</v>
      </c>
      <c r="Q23" s="8" t="s">
        <v>53</v>
      </c>
    </row>
    <row r="24" spans="1:17" x14ac:dyDescent="0.2">
      <c r="A24" s="2" t="s">
        <v>54</v>
      </c>
      <c r="B24" s="3">
        <v>423</v>
      </c>
      <c r="C24" s="3">
        <v>491</v>
      </c>
      <c r="D24" s="3">
        <v>5</v>
      </c>
      <c r="E24" s="4">
        <v>0.46300000000000002</v>
      </c>
      <c r="F24" s="3">
        <v>10</v>
      </c>
      <c r="G24" s="3">
        <v>5</v>
      </c>
      <c r="H24" s="3">
        <v>1967</v>
      </c>
      <c r="I24" s="5">
        <v>73208</v>
      </c>
      <c r="J24" s="6">
        <v>134</v>
      </c>
      <c r="K24" s="7">
        <v>29.951000000000001</v>
      </c>
      <c r="L24" s="7">
        <v>90.081000000000003</v>
      </c>
      <c r="M24" s="7">
        <v>0.97099999999999997</v>
      </c>
      <c r="N24" s="7">
        <v>3.96</v>
      </c>
      <c r="O24" s="5">
        <v>160</v>
      </c>
      <c r="P24" s="5">
        <v>165</v>
      </c>
      <c r="Q24" s="8"/>
    </row>
    <row r="25" spans="1:17" x14ac:dyDescent="0.2">
      <c r="A25" s="2" t="s">
        <v>55</v>
      </c>
      <c r="B25" s="3">
        <v>728</v>
      </c>
      <c r="C25" s="3">
        <v>676</v>
      </c>
      <c r="D25" s="3">
        <v>34</v>
      </c>
      <c r="E25" s="4">
        <v>0.51800000000000002</v>
      </c>
      <c r="F25" s="3">
        <v>25</v>
      </c>
      <c r="G25" s="3">
        <v>21</v>
      </c>
      <c r="H25" s="3">
        <v>1925</v>
      </c>
      <c r="I25" s="5">
        <v>82500</v>
      </c>
      <c r="J25" s="6">
        <v>1600</v>
      </c>
      <c r="K25" s="7">
        <v>40.813000000000002</v>
      </c>
      <c r="L25" s="7">
        <v>74.073999999999998</v>
      </c>
      <c r="M25" s="7">
        <v>20.111999999999998</v>
      </c>
      <c r="N25" s="7">
        <v>4.9969999999999999</v>
      </c>
      <c r="O25" s="5">
        <v>297</v>
      </c>
      <c r="P25" s="5">
        <v>181</v>
      </c>
      <c r="Q25" s="8" t="s">
        <v>56</v>
      </c>
    </row>
    <row r="26" spans="1:17" x14ac:dyDescent="0.2">
      <c r="A26" s="2" t="s">
        <v>57</v>
      </c>
      <c r="B26" s="3">
        <v>436</v>
      </c>
      <c r="C26" s="3">
        <v>573</v>
      </c>
      <c r="D26" s="3">
        <v>8</v>
      </c>
      <c r="E26" s="4">
        <v>0.433</v>
      </c>
      <c r="F26" s="3">
        <v>12</v>
      </c>
      <c r="G26" s="3">
        <v>8</v>
      </c>
      <c r="H26" s="3">
        <v>1960</v>
      </c>
      <c r="I26" s="5">
        <v>82500</v>
      </c>
      <c r="J26" s="6">
        <v>1600</v>
      </c>
      <c r="K26" s="7">
        <v>40.813000000000002</v>
      </c>
      <c r="L26" s="7">
        <v>74.073999999999998</v>
      </c>
      <c r="M26" s="7">
        <v>20.111999999999998</v>
      </c>
      <c r="N26" s="7">
        <v>2.573</v>
      </c>
      <c r="O26" s="5">
        <v>173</v>
      </c>
      <c r="P26" s="5">
        <v>216</v>
      </c>
      <c r="Q26" s="8" t="s">
        <v>58</v>
      </c>
    </row>
    <row r="27" spans="1:17" x14ac:dyDescent="0.2">
      <c r="A27" s="2" t="s">
        <v>59</v>
      </c>
      <c r="B27" s="3">
        <v>649</v>
      </c>
      <c r="C27" s="3">
        <v>645</v>
      </c>
      <c r="D27" s="3">
        <v>27</v>
      </c>
      <c r="E27" s="4">
        <v>0.502</v>
      </c>
      <c r="F27" s="3">
        <v>29</v>
      </c>
      <c r="G27" s="3">
        <v>12</v>
      </c>
      <c r="H27" s="3">
        <v>1933</v>
      </c>
      <c r="I27" s="5">
        <v>69596</v>
      </c>
      <c r="J27" s="6">
        <v>518</v>
      </c>
      <c r="K27" s="7">
        <v>39.901000000000003</v>
      </c>
      <c r="L27" s="7">
        <v>75.168000000000006</v>
      </c>
      <c r="M27" s="7">
        <v>6.3289999999999997</v>
      </c>
      <c r="N27" s="7">
        <v>9.5169999999999995</v>
      </c>
      <c r="O27" s="5">
        <v>917</v>
      </c>
      <c r="P27" s="5">
        <v>154</v>
      </c>
      <c r="Q27" s="8"/>
    </row>
    <row r="28" spans="1:17" x14ac:dyDescent="0.2">
      <c r="A28" s="2" t="s">
        <v>60</v>
      </c>
      <c r="B28" s="3">
        <v>691</v>
      </c>
      <c r="C28" s="3">
        <v>592</v>
      </c>
      <c r="D28" s="3">
        <v>22</v>
      </c>
      <c r="E28" s="4">
        <v>0.53800000000000003</v>
      </c>
      <c r="F28" s="3">
        <v>36</v>
      </c>
      <c r="G28" s="3">
        <v>26</v>
      </c>
      <c r="H28" s="3">
        <v>1933</v>
      </c>
      <c r="I28" s="5">
        <v>68984</v>
      </c>
      <c r="J28" s="6">
        <v>281</v>
      </c>
      <c r="K28" s="7">
        <v>40.447000000000003</v>
      </c>
      <c r="L28" s="7">
        <v>80.016000000000005</v>
      </c>
      <c r="M28" s="7">
        <v>2.4220000000000002</v>
      </c>
      <c r="N28" s="7">
        <v>7.7629999999999999</v>
      </c>
      <c r="O28" s="5">
        <v>363</v>
      </c>
      <c r="P28" s="5">
        <v>74</v>
      </c>
      <c r="Q28" s="8"/>
    </row>
    <row r="29" spans="1:17" x14ac:dyDescent="0.2">
      <c r="A29" s="2" t="s">
        <v>61</v>
      </c>
      <c r="B29" s="3">
        <v>642</v>
      </c>
      <c r="C29" s="3">
        <v>531</v>
      </c>
      <c r="D29" s="3">
        <v>16</v>
      </c>
      <c r="E29" s="4">
        <v>0.54700000000000004</v>
      </c>
      <c r="F29" s="3">
        <v>40</v>
      </c>
      <c r="G29" s="3">
        <v>16</v>
      </c>
      <c r="H29" s="3">
        <v>1946</v>
      </c>
      <c r="I29" s="5">
        <v>68500</v>
      </c>
      <c r="J29" s="6">
        <v>1300</v>
      </c>
      <c r="K29" s="7">
        <v>37.402999999999999</v>
      </c>
      <c r="L29" s="7">
        <v>121.97</v>
      </c>
      <c r="M29" s="7">
        <v>4.63</v>
      </c>
      <c r="N29" s="7">
        <v>6.6449999999999996</v>
      </c>
      <c r="O29" s="5">
        <v>445</v>
      </c>
      <c r="P29" s="5">
        <v>126</v>
      </c>
      <c r="Q29" s="8" t="s">
        <v>62</v>
      </c>
    </row>
    <row r="30" spans="1:17" x14ac:dyDescent="0.2">
      <c r="A30" s="2" t="s">
        <v>63</v>
      </c>
      <c r="B30" s="3">
        <v>416</v>
      </c>
      <c r="C30" s="3">
        <v>376</v>
      </c>
      <c r="D30" s="3">
        <v>1</v>
      </c>
      <c r="E30" s="4">
        <v>0.52500000000000002</v>
      </c>
      <c r="F30" s="3">
        <v>19</v>
      </c>
      <c r="G30" s="3">
        <v>5</v>
      </c>
      <c r="H30" s="3">
        <v>1976</v>
      </c>
      <c r="I30" s="5">
        <v>69000</v>
      </c>
      <c r="J30" s="6">
        <v>360</v>
      </c>
      <c r="K30" s="7">
        <v>47.594999999999999</v>
      </c>
      <c r="L30" s="7">
        <v>122.33199999999999</v>
      </c>
      <c r="M30" s="7">
        <v>4.1619999999999999</v>
      </c>
      <c r="N30" s="7">
        <v>6.3319999999999999</v>
      </c>
      <c r="O30" s="5">
        <v>332</v>
      </c>
      <c r="P30" s="5">
        <v>131</v>
      </c>
      <c r="Q30" s="8" t="s">
        <v>64</v>
      </c>
    </row>
    <row r="31" spans="1:17" x14ac:dyDescent="0.2">
      <c r="A31" s="2" t="s">
        <v>65</v>
      </c>
      <c r="B31" s="3">
        <v>326</v>
      </c>
      <c r="C31" s="3">
        <v>466</v>
      </c>
      <c r="D31" s="3">
        <v>1</v>
      </c>
      <c r="E31" s="4">
        <v>0.41199999999999998</v>
      </c>
      <c r="F31" s="3">
        <v>12</v>
      </c>
      <c r="G31" s="3">
        <v>5</v>
      </c>
      <c r="H31" s="3">
        <v>1976</v>
      </c>
      <c r="I31" s="5">
        <v>65890</v>
      </c>
      <c r="J31" s="6">
        <v>194</v>
      </c>
      <c r="K31" s="7">
        <v>27.975999999999999</v>
      </c>
      <c r="L31" s="7">
        <v>82.503</v>
      </c>
      <c r="M31" s="7">
        <v>3.419</v>
      </c>
      <c r="N31" s="7">
        <v>3.2709999999999999</v>
      </c>
      <c r="O31" s="5">
        <v>271</v>
      </c>
      <c r="P31" s="5">
        <v>95</v>
      </c>
      <c r="Q31" s="8"/>
    </row>
    <row r="32" spans="1:17" x14ac:dyDescent="0.2">
      <c r="A32" s="2" t="s">
        <v>66</v>
      </c>
      <c r="B32" s="3">
        <v>482</v>
      </c>
      <c r="C32" s="3">
        <v>529</v>
      </c>
      <c r="D32" s="3">
        <v>6</v>
      </c>
      <c r="E32" s="4">
        <v>0.47699999999999998</v>
      </c>
      <c r="F32" s="3">
        <v>17</v>
      </c>
      <c r="G32" s="3">
        <v>7</v>
      </c>
      <c r="H32" s="3">
        <v>1997</v>
      </c>
      <c r="I32" s="5">
        <v>69143</v>
      </c>
      <c r="J32" s="6">
        <v>290</v>
      </c>
      <c r="K32" s="7">
        <v>36.165999999999997</v>
      </c>
      <c r="L32" s="7">
        <v>86.771000000000001</v>
      </c>
      <c r="M32" s="7">
        <v>2.1970000000000001</v>
      </c>
      <c r="N32" s="7">
        <v>2.0859999999999999</v>
      </c>
      <c r="O32" s="5">
        <v>85.6</v>
      </c>
      <c r="P32" s="5">
        <v>85</v>
      </c>
      <c r="Q32" s="8" t="s">
        <v>67</v>
      </c>
    </row>
    <row r="33" spans="1:17" x14ac:dyDescent="0.2">
      <c r="A33" s="2" t="s">
        <v>68</v>
      </c>
      <c r="B33" s="3">
        <v>646</v>
      </c>
      <c r="C33" s="3">
        <v>660</v>
      </c>
      <c r="D33" s="3">
        <v>29</v>
      </c>
      <c r="E33" s="4">
        <v>0.495</v>
      </c>
      <c r="F33" s="3">
        <v>25</v>
      </c>
      <c r="G33" s="3">
        <v>17</v>
      </c>
      <c r="H33" s="3">
        <v>1937</v>
      </c>
      <c r="I33" s="5">
        <v>64000</v>
      </c>
      <c r="J33" s="6">
        <v>250</v>
      </c>
      <c r="K33" s="7">
        <v>38.908000000000001</v>
      </c>
      <c r="L33" s="7">
        <v>76.864000000000004</v>
      </c>
      <c r="M33" s="7">
        <v>6.4660000000000002</v>
      </c>
      <c r="N33" s="7">
        <v>3.0169999999999999</v>
      </c>
      <c r="O33" s="5">
        <v>317</v>
      </c>
      <c r="P33" s="5">
        <v>121</v>
      </c>
      <c r="Q33" s="8" t="s">
        <v>69</v>
      </c>
    </row>
  </sheetData>
  <autoFilter ref="A1:Q3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zoomScaleNormal="100" workbookViewId="0">
      <pane xSplit="1" ySplit="1" topLeftCell="B2" activePane="bottomRight" state="frozen"/>
      <selection pane="bottomLeft" activeCell="A2" sqref="A2"/>
      <selection pane="topRight" activeCell="B1" sqref="B1"/>
      <selection pane="bottomRight"/>
    </sheetView>
  </sheetViews>
  <sheetFormatPr defaultColWidth="8.7421875" defaultRowHeight="15" x14ac:dyDescent="0.2"/>
  <cols>
    <col min="1" max="1" width="23.9453125" customWidth="1"/>
    <col min="2" max="16" width="13.046875" customWidth="1"/>
  </cols>
  <sheetData>
    <row r="1" spans="1:16" ht="57.75" customHeight="1" x14ac:dyDescent="0.2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</row>
    <row r="2" spans="1:16" x14ac:dyDescent="0.2">
      <c r="A2" s="2" t="str">
        <f>'NFL Teams'!A2</f>
        <v>Arizona Cardinals</v>
      </c>
      <c r="B2" s="9">
        <f>IF('NFL Teams'!B2="","",RANK('NFL Teams'!B2,'NFL Teams'!$B$2:$B$33,0))</f>
        <v>10</v>
      </c>
      <c r="C2" s="9">
        <f>IF('NFL Teams'!C2="","",RANK('NFL Teams'!C2,'NFL Teams'!$C$2:$C$33,0))</f>
        <v>1</v>
      </c>
      <c r="D2" s="9">
        <f>IF('NFL Teams'!D2="","",RANK('NFL Teams'!D2,'NFL Teams'!$D$2:$D$33,0))</f>
        <v>2</v>
      </c>
      <c r="E2" s="9">
        <f>IF('NFL Teams'!E2="","",RANK('NFL Teams'!E2,'NFL Teams'!$E$2:$E$33,0))</f>
        <v>31</v>
      </c>
      <c r="F2" s="9">
        <f>IF('NFL Teams'!F2="","",RANK('NFL Teams'!F2,'NFL Teams'!$F$2:$F$33,0))</f>
        <v>31</v>
      </c>
      <c r="G2" s="9">
        <f>IF('NFL Teams'!G2="","",RANK('NFL Teams'!G2,'NFL Teams'!$G$2:$G$33,0))</f>
        <v>13</v>
      </c>
      <c r="H2" s="9">
        <f>IF('NFL Teams'!H2="","",RANK('NFL Teams'!H2,'NFL Teams'!$H$2:$H$33,1))</f>
        <v>24</v>
      </c>
      <c r="I2" s="9">
        <f>IF('NFL Teams'!I2="","",RANK('NFL Teams'!I2,'NFL Teams'!$I$2:$I$33,0))</f>
        <v>30</v>
      </c>
      <c r="J2" s="9">
        <f>IF('NFL Teams'!J2="","",RANK('NFL Teams'!J2,'NFL Teams'!$J$2:$J$33,0))</f>
        <v>14</v>
      </c>
      <c r="K2" s="9">
        <f>IF('NFL Teams'!K2="","",RANK('NFL Teams'!K2,'NFL Teams'!$K$2:$K$33,0))</f>
        <v>26</v>
      </c>
      <c r="L2" s="9">
        <f>IF('NFL Teams'!L2="","",RANK('NFL Teams'!L2,'NFL Teams'!$L$2:$L$33,0))</f>
        <v>6</v>
      </c>
      <c r="M2" s="9">
        <f>IF('NFL Teams'!M2="","",RANK('NFL Teams'!M2,'NFL Teams'!$M$2:$M$33,0))</f>
        <v>12</v>
      </c>
      <c r="N2" s="9">
        <f>IF('NFL Teams'!N2="","",RANK('NFL Teams'!N2,'NFL Teams'!$N$2:$N$33,0))</f>
        <v>29</v>
      </c>
      <c r="O2" s="9">
        <f>IF('NFL Teams'!O2="","",RANK('NFL Teams'!O2,'NFL Teams'!$O$2:$O$33,0))</f>
        <v>30</v>
      </c>
      <c r="P2" s="9">
        <f>IF('NFL Teams'!P2="","",RANK('NFL Teams'!P2,'NFL Teams'!$P$2:$P$33,0))</f>
        <v>15</v>
      </c>
    </row>
    <row r="3" spans="1:16" x14ac:dyDescent="0.2">
      <c r="A3" s="2" t="str">
        <f>'NFL Teams'!A3</f>
        <v>Atlanta Falcons</v>
      </c>
      <c r="B3" s="9">
        <f>IF('NFL Teams'!B3="","",RANK('NFL Teams'!B3,'NFL Teams'!$B$2:$B$33,0))</f>
        <v>27</v>
      </c>
      <c r="C3" s="9">
        <f>IF('NFL Teams'!C3="","",RANK('NFL Teams'!C3,'NFL Teams'!$C$2:$C$33,0))</f>
        <v>14</v>
      </c>
      <c r="D3" s="9">
        <f>IF('NFL Teams'!D3="","",RANK('NFL Teams'!D3,'NFL Teams'!$D$2:$D$33,0))</f>
        <v>22</v>
      </c>
      <c r="E3" s="9">
        <f>IF('NFL Teams'!E3="","",RANK('NFL Teams'!E3,'NFL Teams'!$E$2:$E$33,0))</f>
        <v>28</v>
      </c>
      <c r="F3" s="9">
        <f>IF('NFL Teams'!F3="","",RANK('NFL Teams'!F3,'NFL Teams'!$F$2:$F$33,0))</f>
        <v>25</v>
      </c>
      <c r="G3" s="9">
        <f>IF('NFL Teams'!G3="","",RANK('NFL Teams'!G3,'NFL Teams'!$G$2:$G$33,0))</f>
        <v>28</v>
      </c>
      <c r="H3" s="9">
        <f>IF('NFL Teams'!H3="","",RANK('NFL Teams'!H3,'NFL Teams'!$H$2:$H$33,1))</f>
        <v>17</v>
      </c>
      <c r="I3" s="9">
        <f>IF('NFL Teams'!I3="","",RANK('NFL Teams'!I3,'NFL Teams'!$I$2:$I$33,0))</f>
        <v>11</v>
      </c>
      <c r="J3" s="9">
        <f>IF('NFL Teams'!J3="","",RANK('NFL Teams'!J3,'NFL Teams'!$J$2:$J$33,0))</f>
        <v>7</v>
      </c>
      <c r="K3" s="9">
        <f>IF('NFL Teams'!K3="","",RANK('NFL Teams'!K3,'NFL Teams'!$K$2:$K$33,0))</f>
        <v>25</v>
      </c>
      <c r="L3" s="9">
        <f>IF('NFL Teams'!L3="","",RANK('NFL Teams'!L3,'NFL Teams'!$L$2:$L$33,0))</f>
        <v>18</v>
      </c>
      <c r="M3" s="9">
        <f>IF('NFL Teams'!M3="","",RANK('NFL Teams'!M3,'NFL Teams'!$M$2:$M$33,0))</f>
        <v>8</v>
      </c>
      <c r="N3" s="9">
        <f>IF('NFL Teams'!N3="","",RANK('NFL Teams'!N3,'NFL Teams'!$N$2:$N$33,0))</f>
        <v>19</v>
      </c>
      <c r="O3" s="9">
        <f>IF('NFL Teams'!O3="","",RANK('NFL Teams'!O3,'NFL Teams'!$O$2:$O$33,0))</f>
        <v>22</v>
      </c>
      <c r="P3" s="9">
        <f>IF('NFL Teams'!P3="","",RANK('NFL Teams'!P3,'NFL Teams'!$P$2:$P$33,0))</f>
        <v>3</v>
      </c>
    </row>
    <row r="4" spans="1:16" x14ac:dyDescent="0.2">
      <c r="A4" s="2" t="str">
        <f>'NFL Teams'!A4</f>
        <v>Baltimore Ravens</v>
      </c>
      <c r="B4" s="9">
        <f>IF('NFL Teams'!B4="","",RANK('NFL Teams'!B4,'NFL Teams'!$B$2:$B$33,0))</f>
        <v>29</v>
      </c>
      <c r="C4" s="9">
        <f>IF('NFL Teams'!C4="","",RANK('NFL Teams'!C4,'NFL Teams'!$C$2:$C$33,0))</f>
        <v>32</v>
      </c>
      <c r="D4" s="9">
        <f>IF('NFL Teams'!D4="","",RANK('NFL Teams'!D4,'NFL Teams'!$D$2:$D$33,0))</f>
        <v>27</v>
      </c>
      <c r="E4" s="9">
        <f>IF('NFL Teams'!E4="","",RANK('NFL Teams'!E4,'NFL Teams'!$E$2:$E$33,0))</f>
        <v>3</v>
      </c>
      <c r="F4" s="9">
        <f>IF('NFL Teams'!F4="","",RANK('NFL Teams'!F4,'NFL Teams'!$F$2:$F$33,0))</f>
        <v>18</v>
      </c>
      <c r="G4" s="9">
        <f>IF('NFL Teams'!G4="","",RANK('NFL Teams'!G4,'NFL Teams'!$G$2:$G$33,0))</f>
        <v>27</v>
      </c>
      <c r="H4" s="9">
        <f>IF('NFL Teams'!H4="","",RANK('NFL Teams'!H4,'NFL Teams'!$H$2:$H$33,1))</f>
        <v>27</v>
      </c>
      <c r="I4" s="9">
        <f>IF('NFL Teams'!I4="","",RANK('NFL Teams'!I4,'NFL Teams'!$I$2:$I$33,0))</f>
        <v>10</v>
      </c>
      <c r="J4" s="9">
        <f>IF('NFL Teams'!J4="","",RANK('NFL Teams'!J4,'NFL Teams'!$J$2:$J$33,0))</f>
        <v>26</v>
      </c>
      <c r="K4" s="9">
        <f>IF('NFL Teams'!K4="","",RANK('NFL Teams'!K4,'NFL Teams'!$K$2:$K$33,0))</f>
        <v>15</v>
      </c>
      <c r="L4" s="9">
        <f>IF('NFL Teams'!L4="","",RANK('NFL Teams'!L4,'NFL Teams'!$L$2:$L$33,0))</f>
        <v>28</v>
      </c>
      <c r="M4" s="9">
        <f>IF('NFL Teams'!M4="","",RANK('NFL Teams'!M4,'NFL Teams'!$M$2:$M$33,0))</f>
        <v>21</v>
      </c>
      <c r="N4" s="9">
        <f>IF('NFL Teams'!N4="","",RANK('NFL Teams'!N4,'NFL Teams'!$N$2:$N$33,0))</f>
        <v>12</v>
      </c>
      <c r="O4" s="9">
        <f>IF('NFL Teams'!O4="","",RANK('NFL Teams'!O4,'NFL Teams'!$O$2:$O$33,0))</f>
        <v>11</v>
      </c>
      <c r="P4" s="9">
        <f>IF('NFL Teams'!P4="","",RANK('NFL Teams'!P4,'NFL Teams'!$P$2:$P$33,0))</f>
        <v>22</v>
      </c>
    </row>
    <row r="5" spans="1:16" x14ac:dyDescent="0.2">
      <c r="A5" s="2" t="str">
        <f>'NFL Teams'!A5</f>
        <v>Buffalo Bills</v>
      </c>
      <c r="B5" s="9">
        <f>IF('NFL Teams'!B5="","",RANK('NFL Teams'!B5,'NFL Teams'!$B$2:$B$33,0))</f>
        <v>21</v>
      </c>
      <c r="C5" s="9">
        <f>IF('NFL Teams'!C5="","",RANK('NFL Teams'!C5,'NFL Teams'!$C$2:$C$33,0))</f>
        <v>16</v>
      </c>
      <c r="D5" s="9">
        <f>IF('NFL Teams'!D5="","",RANK('NFL Teams'!D5,'NFL Teams'!$D$2:$D$33,0))</f>
        <v>18</v>
      </c>
      <c r="E5" s="9">
        <f>IF('NFL Teams'!E5="","",RANK('NFL Teams'!E5,'NFL Teams'!$E$2:$E$33,0))</f>
        <v>21</v>
      </c>
      <c r="F5" s="9">
        <f>IF('NFL Teams'!F5="","",RANK('NFL Teams'!F5,'NFL Teams'!$F$2:$F$33,0))</f>
        <v>14</v>
      </c>
      <c r="G5" s="9">
        <f>IF('NFL Teams'!G5="","",RANK('NFL Teams'!G5,'NFL Teams'!$G$2:$G$33,0))</f>
        <v>19</v>
      </c>
      <c r="H5" s="9">
        <f>IF('NFL Teams'!H5="","",RANK('NFL Teams'!H5,'NFL Teams'!$H$2:$H$33,1))</f>
        <v>10</v>
      </c>
      <c r="I5" s="9">
        <f>IF('NFL Teams'!I5="","",RANK('NFL Teams'!I5,'NFL Teams'!$I$2:$I$33,0))</f>
        <v>32</v>
      </c>
      <c r="J5" s="9">
        <f>IF('NFL Teams'!J5="","",RANK('NFL Teams'!J5,'NFL Teams'!$J$2:$J$33,0))</f>
        <v>3</v>
      </c>
      <c r="K5" s="9">
        <f>IF('NFL Teams'!K5="","",RANK('NFL Teams'!K5,'NFL Teams'!$K$2:$K$33,0))</f>
        <v>4</v>
      </c>
      <c r="L5" s="9">
        <f>IF('NFL Teams'!L5="","",RANK('NFL Teams'!L5,'NFL Teams'!$L$2:$L$33,0))</f>
        <v>26</v>
      </c>
      <c r="M5" s="9">
        <f>IF('NFL Teams'!M5="","",RANK('NFL Teams'!M5,'NFL Teams'!$M$2:$M$33,0))</f>
        <v>30</v>
      </c>
      <c r="N5" s="9">
        <f>IF('NFL Teams'!N5="","",RANK('NFL Teams'!N5,'NFL Teams'!$N$2:$N$33,0))</f>
        <v>11</v>
      </c>
      <c r="O5" s="9">
        <f>IF('NFL Teams'!O5="","",RANK('NFL Teams'!O5,'NFL Teams'!$O$2:$O$33,0))</f>
        <v>19</v>
      </c>
      <c r="P5" s="9">
        <f>IF('NFL Teams'!P5="","",RANK('NFL Teams'!P5,'NFL Teams'!$P$2:$P$33,0))</f>
        <v>27</v>
      </c>
    </row>
    <row r="6" spans="1:16" x14ac:dyDescent="0.2">
      <c r="A6" s="2" t="str">
        <f>'NFL Teams'!A6</f>
        <v>Carolina Panthers</v>
      </c>
      <c r="B6" s="9">
        <f>IF('NFL Teams'!B6="","",RANK('NFL Teams'!B6,'NFL Teams'!$B$2:$B$33,0))</f>
        <v>30</v>
      </c>
      <c r="C6" s="9">
        <f>IF('NFL Teams'!C6="","",RANK('NFL Teams'!C6,'NFL Teams'!$C$2:$C$33,0))</f>
        <v>30</v>
      </c>
      <c r="D6" s="9">
        <f>IF('NFL Teams'!D6="","",RANK('NFL Teams'!D6,'NFL Teams'!$D$2:$D$33,0))</f>
        <v>27</v>
      </c>
      <c r="E6" s="9">
        <f>IF('NFL Teams'!E6="","",RANK('NFL Teams'!E6,'NFL Teams'!$E$2:$E$33,0))</f>
        <v>26</v>
      </c>
      <c r="F6" s="9">
        <f>IF('NFL Teams'!F6="","",RANK('NFL Teams'!F6,'NFL Teams'!$F$2:$F$33,0))</f>
        <v>28</v>
      </c>
      <c r="G6" s="9">
        <f>IF('NFL Teams'!G6="","",RANK('NFL Teams'!G6,'NFL Teams'!$G$2:$G$33,0))</f>
        <v>28</v>
      </c>
      <c r="H6" s="9">
        <f>IF('NFL Teams'!H6="","",RANK('NFL Teams'!H6,'NFL Teams'!$H$2:$H$33,1))</f>
        <v>25</v>
      </c>
      <c r="I6" s="9">
        <f>IF('NFL Teams'!I6="","",RANK('NFL Teams'!I6,'NFL Teams'!$I$2:$I$33,0))</f>
        <v>6</v>
      </c>
      <c r="J6" s="9">
        <f>IF('NFL Teams'!J6="","",RANK('NFL Teams'!J6,'NFL Teams'!$J$2:$J$33,0))</f>
        <v>25</v>
      </c>
      <c r="K6" s="9">
        <f>IF('NFL Teams'!K6="","",RANK('NFL Teams'!K6,'NFL Teams'!$K$2:$K$33,0))</f>
        <v>22</v>
      </c>
      <c r="L6" s="9">
        <f>IF('NFL Teams'!L6="","",RANK('NFL Teams'!L6,'NFL Teams'!$L$2:$L$33,0))</f>
        <v>23</v>
      </c>
      <c r="M6" s="9">
        <f>IF('NFL Teams'!M6="","",RANK('NFL Teams'!M6,'NFL Teams'!$M$2:$M$33,0))</f>
        <v>20</v>
      </c>
      <c r="N6" s="9">
        <f>IF('NFL Teams'!N6="","",RANK('NFL Teams'!N6,'NFL Teams'!$N$2:$N$33,0))</f>
        <v>9</v>
      </c>
      <c r="O6" s="9">
        <f>IF('NFL Teams'!O6="","",RANK('NFL Teams'!O6,'NFL Teams'!$O$2:$O$33,0))</f>
        <v>24</v>
      </c>
      <c r="P6" s="9">
        <f>IF('NFL Teams'!P6="","",RANK('NFL Teams'!P6,'NFL Teams'!$P$2:$P$33,0))</f>
        <v>19</v>
      </c>
    </row>
    <row r="7" spans="1:16" x14ac:dyDescent="0.2">
      <c r="A7" s="2" t="str">
        <f>'NFL Teams'!A7</f>
        <v>Chicago Bears</v>
      </c>
      <c r="B7" s="9">
        <f>IF('NFL Teams'!B7="","",RANK('NFL Teams'!B7,'NFL Teams'!$B$2:$B$33,0))</f>
        <v>2</v>
      </c>
      <c r="C7" s="9">
        <f>IF('NFL Teams'!C7="","",RANK('NFL Teams'!C7,'NFL Teams'!$C$2:$C$33,0))</f>
        <v>5</v>
      </c>
      <c r="D7" s="9">
        <f>IF('NFL Teams'!D7="","",RANK('NFL Teams'!D7,'NFL Teams'!$D$2:$D$33,0))</f>
        <v>1</v>
      </c>
      <c r="E7" s="9">
        <f>IF('NFL Teams'!E7="","",RANK('NFL Teams'!E7,'NFL Teams'!$E$2:$E$33,0))</f>
        <v>5</v>
      </c>
      <c r="F7" s="9">
        <f>IF('NFL Teams'!F7="","",RANK('NFL Teams'!F7,'NFL Teams'!$F$2:$F$33,0))</f>
        <v>18</v>
      </c>
      <c r="G7" s="9">
        <f>IF('NFL Teams'!G7="","",RANK('NFL Teams'!G7,'NFL Teams'!$G$2:$G$33,0))</f>
        <v>1</v>
      </c>
      <c r="H7" s="9">
        <f>IF('NFL Teams'!H7="","",RANK('NFL Teams'!H7,'NFL Teams'!$H$2:$H$33,1))</f>
        <v>1</v>
      </c>
      <c r="I7" s="9">
        <f>IF('NFL Teams'!I7="","",RANK('NFL Teams'!I7,'NFL Teams'!$I$2:$I$33,0))</f>
        <v>31</v>
      </c>
      <c r="J7" s="9">
        <f>IF('NFL Teams'!J7="","",RANK('NFL Teams'!J7,'NFL Teams'!$J$2:$J$33,0))</f>
        <v>12</v>
      </c>
      <c r="K7" s="9">
        <f>IF('NFL Teams'!K7="","",RANK('NFL Teams'!K7,'NFL Teams'!$K$2:$K$33,0))</f>
        <v>7</v>
      </c>
      <c r="L7" s="9">
        <f>IF('NFL Teams'!L7="","",RANK('NFL Teams'!L7,'NFL Teams'!$L$2:$L$33,0))</f>
        <v>14</v>
      </c>
      <c r="M7" s="9">
        <f>IF('NFL Teams'!M7="","",RANK('NFL Teams'!M7,'NFL Teams'!$M$2:$M$33,0))</f>
        <v>5</v>
      </c>
      <c r="N7" s="9">
        <f>IF('NFL Teams'!N7="","",RANK('NFL Teams'!N7,'NFL Teams'!$N$2:$N$33,0))</f>
        <v>14</v>
      </c>
      <c r="O7" s="9">
        <f>IF('NFL Teams'!O7="","",RANK('NFL Teams'!O7,'NFL Teams'!$O$2:$O$33,0))</f>
        <v>16</v>
      </c>
      <c r="P7" s="9">
        <f>IF('NFL Teams'!P7="","",RANK('NFL Teams'!P7,'NFL Teams'!$P$2:$P$33,0))</f>
        <v>24</v>
      </c>
    </row>
    <row r="8" spans="1:16" x14ac:dyDescent="0.2">
      <c r="A8" s="2" t="str">
        <f>'NFL Teams'!A8</f>
        <v>Cincinnati Bengals</v>
      </c>
      <c r="B8" s="9">
        <f>IF('NFL Teams'!B8="","",RANK('NFL Teams'!B8,'NFL Teams'!$B$2:$B$33,0))</f>
        <v>26</v>
      </c>
      <c r="C8" s="9">
        <f>IF('NFL Teams'!C8="","",RANK('NFL Teams'!C8,'NFL Teams'!$C$2:$C$33,0))</f>
        <v>20</v>
      </c>
      <c r="D8" s="9">
        <f>IF('NFL Teams'!D8="","",RANK('NFL Teams'!D8,'NFL Teams'!$D$2:$D$33,0))</f>
        <v>24</v>
      </c>
      <c r="E8" s="9">
        <f>IF('NFL Teams'!E8="","",RANK('NFL Teams'!E8,'NFL Teams'!$E$2:$E$33,0))</f>
        <v>25</v>
      </c>
      <c r="F8" s="9">
        <f>IF('NFL Teams'!F8="","",RANK('NFL Teams'!F8,'NFL Teams'!$F$2:$F$33,0))</f>
        <v>25</v>
      </c>
      <c r="G8" s="9">
        <f>IF('NFL Teams'!G8="","",RANK('NFL Teams'!G8,'NFL Teams'!$G$2:$G$33,0))</f>
        <v>28</v>
      </c>
      <c r="H8" s="9">
        <f>IF('NFL Teams'!H8="","",RANK('NFL Teams'!H8,'NFL Teams'!$H$2:$H$33,1))</f>
        <v>20</v>
      </c>
      <c r="I8" s="9">
        <f>IF('NFL Teams'!I8="","",RANK('NFL Teams'!I8,'NFL Teams'!$I$2:$I$33,0))</f>
        <v>26</v>
      </c>
      <c r="J8" s="9">
        <f>IF('NFL Teams'!J8="","",RANK('NFL Teams'!J8,'NFL Teams'!$J$2:$J$33,0))</f>
        <v>15</v>
      </c>
      <c r="K8" s="9">
        <f>IF('NFL Teams'!K8="","",RANK('NFL Teams'!K8,'NFL Teams'!$K$2:$K$33,0))</f>
        <v>16</v>
      </c>
      <c r="L8" s="9">
        <f>IF('NFL Teams'!L8="","",RANK('NFL Teams'!L8,'NFL Teams'!$L$2:$L$33,0))</f>
        <v>17</v>
      </c>
      <c r="M8" s="9">
        <f>IF('NFL Teams'!M8="","",RANK('NFL Teams'!M8,'NFL Teams'!$M$2:$M$33,0))</f>
        <v>24</v>
      </c>
      <c r="N8" s="9">
        <f>IF('NFL Teams'!N8="","",RANK('NFL Teams'!N8,'NFL Teams'!$N$2:$N$33,0))</f>
        <v>20</v>
      </c>
      <c r="O8" s="9">
        <f>IF('NFL Teams'!O8="","",RANK('NFL Teams'!O8,'NFL Teams'!$O$2:$O$33,0))</f>
        <v>26</v>
      </c>
      <c r="P8" s="9">
        <f>IF('NFL Teams'!P8="","",RANK('NFL Teams'!P8,'NFL Teams'!$P$2:$P$33,0))</f>
        <v>26</v>
      </c>
    </row>
    <row r="9" spans="1:16" x14ac:dyDescent="0.2">
      <c r="A9" s="2" t="str">
        <f>'NFL Teams'!A9</f>
        <v>Cleveland Browns</v>
      </c>
      <c r="B9" s="9">
        <f>IF('NFL Teams'!B9="","",RANK('NFL Teams'!B9,'NFL Teams'!$B$2:$B$33,0))</f>
        <v>13</v>
      </c>
      <c r="C9" s="9">
        <f>IF('NFL Teams'!C9="","",RANK('NFL Teams'!C9,'NFL Teams'!$C$2:$C$33,0))</f>
        <v>11</v>
      </c>
      <c r="D9" s="9">
        <f>IF('NFL Teams'!D9="","",RANK('NFL Teams'!D9,'NFL Teams'!$D$2:$D$33,0))</f>
        <v>11</v>
      </c>
      <c r="E9" s="9">
        <f>IF('NFL Teams'!E9="","",RANK('NFL Teams'!E9,'NFL Teams'!$E$2:$E$33,0))</f>
        <v>17</v>
      </c>
      <c r="F9" s="9">
        <f>IF('NFL Teams'!F9="","",RANK('NFL Teams'!F9,'NFL Teams'!$F$2:$F$33,0))</f>
        <v>20</v>
      </c>
      <c r="G9" s="9">
        <f>IF('NFL Teams'!G9="","",RANK('NFL Teams'!G9,'NFL Teams'!$G$2:$G$33,0))</f>
        <v>8</v>
      </c>
      <c r="H9" s="9">
        <f>IF('NFL Teams'!H9="","",RANK('NFL Teams'!H9,'NFL Teams'!$H$2:$H$33,1))</f>
        <v>8</v>
      </c>
      <c r="I9" s="9">
        <f>IF('NFL Teams'!I9="","",RANK('NFL Teams'!I9,'NFL Teams'!$I$2:$I$33,0))</f>
        <v>20</v>
      </c>
      <c r="J9" s="9">
        <f>IF('NFL Teams'!J9="","",RANK('NFL Teams'!J9,'NFL Teams'!$J$2:$J$33,0))</f>
        <v>21</v>
      </c>
      <c r="K9" s="9">
        <f>IF('NFL Teams'!K9="","",RANK('NFL Teams'!K9,'NFL Teams'!$K$2:$K$33,0))</f>
        <v>8</v>
      </c>
      <c r="L9" s="9">
        <f>IF('NFL Teams'!L9="","",RANK('NFL Teams'!L9,'NFL Teams'!$L$2:$L$33,0))</f>
        <v>21</v>
      </c>
      <c r="M9" s="9">
        <f>IF('NFL Teams'!M9="","",RANK('NFL Teams'!M9,'NFL Teams'!$M$2:$M$33,0))</f>
        <v>28</v>
      </c>
      <c r="N9" s="9">
        <f>IF('NFL Teams'!N9="","",RANK('NFL Teams'!N9,'NFL Teams'!$N$2:$N$33,0))</f>
        <v>22</v>
      </c>
      <c r="O9" s="9">
        <f>IF('NFL Teams'!O9="","",RANK('NFL Teams'!O9,'NFL Teams'!$O$2:$O$33,0))</f>
        <v>10</v>
      </c>
      <c r="P9" s="9">
        <f>IF('NFL Teams'!P9="","",RANK('NFL Teams'!P9,'NFL Teams'!$P$2:$P$33,0))</f>
        <v>16</v>
      </c>
    </row>
    <row r="10" spans="1:16" x14ac:dyDescent="0.2">
      <c r="A10" s="2" t="str">
        <f>'NFL Teams'!A10</f>
        <v>Dallas Cowboys</v>
      </c>
      <c r="B10" s="9">
        <f>IF('NFL Teams'!B10="","",RANK('NFL Teams'!B10,'NFL Teams'!$B$2:$B$33,0))</f>
        <v>11</v>
      </c>
      <c r="C10" s="9">
        <f>IF('NFL Teams'!C10="","",RANK('NFL Teams'!C10,'NFL Teams'!$C$2:$C$33,0))</f>
        <v>26</v>
      </c>
      <c r="D10" s="9">
        <f>IF('NFL Teams'!D10="","",RANK('NFL Teams'!D10,'NFL Teams'!$D$2:$D$33,0))</f>
        <v>21</v>
      </c>
      <c r="E10" s="9">
        <f>IF('NFL Teams'!E10="","",RANK('NFL Teams'!E10,'NFL Teams'!$E$2:$E$33,0))</f>
        <v>1</v>
      </c>
      <c r="F10" s="9">
        <f>IF('NFL Teams'!F10="","",RANK('NFL Teams'!F10,'NFL Teams'!$F$2:$F$33,0))</f>
        <v>4</v>
      </c>
      <c r="G10" s="9">
        <f>IF('NFL Teams'!G10="","",RANK('NFL Teams'!G10,'NFL Teams'!$G$2:$G$33,0))</f>
        <v>4</v>
      </c>
      <c r="H10" s="9">
        <f>IF('NFL Teams'!H10="","",RANK('NFL Teams'!H10,'NFL Teams'!$H$2:$H$33,1))</f>
        <v>10</v>
      </c>
      <c r="I10" s="9">
        <f>IF('NFL Teams'!I10="","",RANK('NFL Teams'!I10,'NFL Teams'!$I$2:$I$33,0))</f>
        <v>4</v>
      </c>
      <c r="J10" s="9">
        <f>IF('NFL Teams'!J10="","",RANK('NFL Teams'!J10,'NFL Teams'!$J$2:$J$33,0))</f>
        <v>8</v>
      </c>
      <c r="K10" s="9">
        <f>IF('NFL Teams'!K10="","",RANK('NFL Teams'!K10,'NFL Teams'!$K$2:$K$33,0))</f>
        <v>27</v>
      </c>
      <c r="L10" s="9">
        <f>IF('NFL Teams'!L10="","",RANK('NFL Teams'!L10,'NFL Teams'!$L$2:$L$33,0))</f>
        <v>8</v>
      </c>
      <c r="M10" s="9">
        <f>IF('NFL Teams'!M10="","",RANK('NFL Teams'!M10,'NFL Teams'!$M$2:$M$33,0))</f>
        <v>6</v>
      </c>
      <c r="N10" s="9">
        <f>IF('NFL Teams'!N10="","",RANK('NFL Teams'!N10,'NFL Teams'!$N$2:$N$33,0))</f>
        <v>2</v>
      </c>
      <c r="O10" s="9">
        <f>IF('NFL Teams'!O10="","",RANK('NFL Teams'!O10,'NFL Teams'!$O$2:$O$33,0))</f>
        <v>3</v>
      </c>
      <c r="P10" s="9">
        <f>IF('NFL Teams'!P10="","",RANK('NFL Teams'!P10,'NFL Teams'!$P$2:$P$33,0))</f>
        <v>1</v>
      </c>
    </row>
    <row r="11" spans="1:16" x14ac:dyDescent="0.2">
      <c r="A11" s="2" t="str">
        <f>'NFL Teams'!A11</f>
        <v>Denver Broncos</v>
      </c>
      <c r="B11" s="9">
        <f>IF('NFL Teams'!B11="","",RANK('NFL Teams'!B11,'NFL Teams'!$B$2:$B$33,0))</f>
        <v>17</v>
      </c>
      <c r="C11" s="9">
        <f>IF('NFL Teams'!C11="","",RANK('NFL Teams'!C11,'NFL Teams'!$C$2:$C$33,0))</f>
        <v>21</v>
      </c>
      <c r="D11" s="9">
        <f>IF('NFL Teams'!D11="","",RANK('NFL Teams'!D11,'NFL Teams'!$D$2:$D$33,0))</f>
        <v>16</v>
      </c>
      <c r="E11" s="9">
        <f>IF('NFL Teams'!E11="","",RANK('NFL Teams'!E11,'NFL Teams'!$E$2:$E$33,0))</f>
        <v>11</v>
      </c>
      <c r="F11" s="9">
        <f>IF('NFL Teams'!F11="","",RANK('NFL Teams'!F11,'NFL Teams'!$F$2:$F$33,0))</f>
        <v>12</v>
      </c>
      <c r="G11" s="9">
        <f>IF('NFL Teams'!G11="","",RANK('NFL Teams'!G11,'NFL Teams'!$G$2:$G$33,0))</f>
        <v>19</v>
      </c>
      <c r="H11" s="9">
        <f>IF('NFL Teams'!H11="","",RANK('NFL Teams'!H11,'NFL Teams'!$H$2:$H$33,1))</f>
        <v>10</v>
      </c>
      <c r="I11" s="9">
        <f>IF('NFL Teams'!I11="","",RANK('NFL Teams'!I11,'NFL Teams'!$I$2:$I$33,0))</f>
        <v>5</v>
      </c>
      <c r="J11" s="9">
        <f>IF('NFL Teams'!J11="","",RANK('NFL Teams'!J11,'NFL Teams'!$J$2:$J$33,0))</f>
        <v>17</v>
      </c>
      <c r="K11" s="9">
        <f>IF('NFL Teams'!K11="","",RANK('NFL Teams'!K11,'NFL Teams'!$K$2:$K$33,0))</f>
        <v>14</v>
      </c>
      <c r="L11" s="9">
        <f>IF('NFL Teams'!L11="","",RANK('NFL Teams'!L11,'NFL Teams'!$L$2:$L$33,0))</f>
        <v>7</v>
      </c>
      <c r="M11" s="9">
        <f>IF('NFL Teams'!M11="","",RANK('NFL Teams'!M11,'NFL Teams'!$M$2:$M$33,0))</f>
        <v>19</v>
      </c>
      <c r="N11" s="9">
        <f>IF('NFL Teams'!N11="","",RANK('NFL Teams'!N11,'NFL Teams'!$N$2:$N$33,0))</f>
        <v>15</v>
      </c>
      <c r="O11" s="9">
        <f>IF('NFL Teams'!O11="","",RANK('NFL Teams'!O11,'NFL Teams'!$O$2:$O$33,0))</f>
        <v>20</v>
      </c>
      <c r="P11" s="9">
        <f>IF('NFL Teams'!P11="","",RANK('NFL Teams'!P11,'NFL Teams'!$P$2:$P$33,0))</f>
        <v>17</v>
      </c>
    </row>
    <row r="12" spans="1:16" x14ac:dyDescent="0.2">
      <c r="A12" s="2" t="str">
        <f>'NFL Teams'!A12</f>
        <v>Detroit Lions</v>
      </c>
      <c r="B12" s="9">
        <f>IF('NFL Teams'!B12="","",RANK('NFL Teams'!B12,'NFL Teams'!$B$2:$B$33,0))</f>
        <v>9</v>
      </c>
      <c r="C12" s="9">
        <f>IF('NFL Teams'!C12="","",RANK('NFL Teams'!C12,'NFL Teams'!$C$2:$C$33,0))</f>
        <v>2</v>
      </c>
      <c r="D12" s="9">
        <f>IF('NFL Teams'!D12="","",RANK('NFL Teams'!D12,'NFL Teams'!$D$2:$D$33,0))</f>
        <v>4</v>
      </c>
      <c r="E12" s="9">
        <f>IF('NFL Teams'!E12="","",RANK('NFL Teams'!E12,'NFL Teams'!$E$2:$E$33,0))</f>
        <v>23</v>
      </c>
      <c r="F12" s="9">
        <f>IF('NFL Teams'!F12="","",RANK('NFL Teams'!F12,'NFL Teams'!$F$2:$F$33,0))</f>
        <v>28</v>
      </c>
      <c r="G12" s="9">
        <f>IF('NFL Teams'!G12="","",RANK('NFL Teams'!G12,'NFL Teams'!$G$2:$G$33,0))</f>
        <v>8</v>
      </c>
      <c r="H12" s="9">
        <f>IF('NFL Teams'!H12="","",RANK('NFL Teams'!H12,'NFL Teams'!$H$2:$H$33,1))</f>
        <v>6</v>
      </c>
      <c r="I12" s="9">
        <f>IF('NFL Teams'!I12="","",RANK('NFL Teams'!I12,'NFL Teams'!$I$2:$I$33,0))</f>
        <v>28</v>
      </c>
      <c r="J12" s="9">
        <f>IF('NFL Teams'!J12="","",RANK('NFL Teams'!J12,'NFL Teams'!$J$2:$J$33,0))</f>
        <v>16</v>
      </c>
      <c r="K12" s="9">
        <f>IF('NFL Teams'!K12="","",RANK('NFL Teams'!K12,'NFL Teams'!$K$2:$K$33,0))</f>
        <v>5</v>
      </c>
      <c r="L12" s="9">
        <f>IF('NFL Teams'!L12="","",RANK('NFL Teams'!L12,'NFL Teams'!$L$2:$L$33,0))</f>
        <v>19</v>
      </c>
      <c r="M12" s="9">
        <f>IF('NFL Teams'!M12="","",RANK('NFL Teams'!M12,'NFL Teams'!$M$2:$M$33,0))</f>
        <v>15</v>
      </c>
      <c r="N12" s="9">
        <f>IF('NFL Teams'!N12="","",RANK('NFL Teams'!N12,'NFL Teams'!$N$2:$N$33,0))</f>
        <v>16</v>
      </c>
      <c r="O12" s="9">
        <f>IF('NFL Teams'!O12="","",RANK('NFL Teams'!O12,'NFL Teams'!$O$2:$O$33,0))</f>
        <v>14</v>
      </c>
      <c r="P12" s="9">
        <f>IF('NFL Teams'!P12="","",RANK('NFL Teams'!P12,'NFL Teams'!$P$2:$P$33,0))</f>
        <v>29</v>
      </c>
    </row>
    <row r="13" spans="1:16" x14ac:dyDescent="0.2">
      <c r="A13" s="2" t="str">
        <f>'NFL Teams'!A13</f>
        <v>Green Bay Packers</v>
      </c>
      <c r="B13" s="9">
        <f>IF('NFL Teams'!B13="","",RANK('NFL Teams'!B13,'NFL Teams'!$B$2:$B$33,0))</f>
        <v>1</v>
      </c>
      <c r="C13" s="9">
        <f>IF('NFL Teams'!C13="","",RANK('NFL Teams'!C13,'NFL Teams'!$C$2:$C$33,0))</f>
        <v>7</v>
      </c>
      <c r="D13" s="9">
        <f>IF('NFL Teams'!D13="","",RANK('NFL Teams'!D13,'NFL Teams'!$D$2:$D$33,0))</f>
        <v>3</v>
      </c>
      <c r="E13" s="9">
        <f>IF('NFL Teams'!E13="","",RANK('NFL Teams'!E13,'NFL Teams'!$E$2:$E$33,0))</f>
        <v>1</v>
      </c>
      <c r="F13" s="9">
        <f>IF('NFL Teams'!F13="","",RANK('NFL Teams'!F13,'NFL Teams'!$F$2:$F$33,0))</f>
        <v>3</v>
      </c>
      <c r="G13" s="9">
        <f>IF('NFL Teams'!G13="","",RANK('NFL Teams'!G13,'NFL Teams'!$G$2:$G$33,0))</f>
        <v>2</v>
      </c>
      <c r="H13" s="9">
        <f>IF('NFL Teams'!H13="","",RANK('NFL Teams'!H13,'NFL Teams'!$H$2:$H$33,1))</f>
        <v>1</v>
      </c>
      <c r="I13" s="9">
        <f>IF('NFL Teams'!I13="","",RANK('NFL Teams'!I13,'NFL Teams'!$I$2:$I$33,0))</f>
        <v>3</v>
      </c>
      <c r="J13" s="9">
        <f>IF('NFL Teams'!J13="","",RANK('NFL Teams'!J13,'NFL Teams'!$J$2:$J$33,0))</f>
        <v>32</v>
      </c>
      <c r="K13" s="9">
        <f>IF('NFL Teams'!K13="","",RANK('NFL Teams'!K13,'NFL Teams'!$K$2:$K$33,0))</f>
        <v>3</v>
      </c>
      <c r="L13" s="9">
        <f>IF('NFL Teams'!L13="","",RANK('NFL Teams'!L13,'NFL Teams'!$L$2:$L$33,0))</f>
        <v>13</v>
      </c>
      <c r="M13" s="9">
        <f>IF('NFL Teams'!M13="","",RANK('NFL Teams'!M13,'NFL Teams'!$M$2:$M$33,0))</f>
        <v>32</v>
      </c>
      <c r="N13" s="9">
        <f>IF('NFL Teams'!N13="","",RANK('NFL Teams'!N13,'NFL Teams'!$N$2:$N$33,0))</f>
        <v>8</v>
      </c>
      <c r="O13" s="9">
        <f>IF('NFL Teams'!O13="","",RANK('NFL Teams'!O13,'NFL Teams'!$O$2:$O$33,0))</f>
        <v>21</v>
      </c>
      <c r="P13" s="9">
        <f>IF('NFL Teams'!P13="","",RANK('NFL Teams'!P13,'NFL Teams'!$P$2:$P$33,0))</f>
        <v>24</v>
      </c>
    </row>
    <row r="14" spans="1:16" x14ac:dyDescent="0.2">
      <c r="A14" s="2" t="str">
        <f>'NFL Teams'!A14</f>
        <v>Houston Texans</v>
      </c>
      <c r="B14" s="9">
        <f>IF('NFL Teams'!B14="","",RANK('NFL Teams'!B14,'NFL Teams'!$B$2:$B$33,0))</f>
        <v>32</v>
      </c>
      <c r="C14" s="9">
        <f>IF('NFL Teams'!C14="","",RANK('NFL Teams'!C14,'NFL Teams'!$C$2:$C$33,0))</f>
        <v>31</v>
      </c>
      <c r="D14" s="9">
        <f>IF('NFL Teams'!D14="","",RANK('NFL Teams'!D14,'NFL Teams'!$D$2:$D$33,0))</f>
        <v>27</v>
      </c>
      <c r="E14" s="9">
        <f>IF('NFL Teams'!E14="","",RANK('NFL Teams'!E14,'NFL Teams'!$E$2:$E$33,0))</f>
        <v>27</v>
      </c>
      <c r="F14" s="9">
        <f>IF('NFL Teams'!F14="","",RANK('NFL Teams'!F14,'NFL Teams'!$F$2:$F$33,0))</f>
        <v>31</v>
      </c>
      <c r="G14" s="9">
        <f>IF('NFL Teams'!G14="","",RANK('NFL Teams'!G14,'NFL Teams'!$G$2:$G$33,0))</f>
        <v>31</v>
      </c>
      <c r="H14" s="9">
        <f>IF('NFL Teams'!H14="","",RANK('NFL Teams'!H14,'NFL Teams'!$H$2:$H$33,1))</f>
        <v>29</v>
      </c>
      <c r="I14" s="9">
        <f>IF('NFL Teams'!I14="","",RANK('NFL Teams'!I14,'NFL Teams'!$I$2:$I$33,0))</f>
        <v>9</v>
      </c>
      <c r="J14" s="9">
        <f>IF('NFL Teams'!J14="","",RANK('NFL Teams'!J14,'NFL Teams'!$J$2:$J$33,0))</f>
        <v>19</v>
      </c>
      <c r="K14" s="9">
        <f>IF('NFL Teams'!K14="","",RANK('NFL Teams'!K14,'NFL Teams'!$K$2:$K$33,0))</f>
        <v>30</v>
      </c>
      <c r="L14" s="9">
        <f>IF('NFL Teams'!L14="","",RANK('NFL Teams'!L14,'NFL Teams'!$L$2:$L$33,0))</f>
        <v>9</v>
      </c>
      <c r="M14" s="9">
        <f>IF('NFL Teams'!M14="","",RANK('NFL Teams'!M14,'NFL Teams'!$M$2:$M$33,0))</f>
        <v>7</v>
      </c>
      <c r="N14" s="9">
        <f>IF('NFL Teams'!N14="","",RANK('NFL Teams'!N14,'NFL Teams'!$N$2:$N$33,0))</f>
        <v>17</v>
      </c>
      <c r="O14" s="9">
        <f>IF('NFL Teams'!O14="","",RANK('NFL Teams'!O14,'NFL Teams'!$O$2:$O$33,0))</f>
        <v>27</v>
      </c>
      <c r="P14" s="9">
        <f>IF('NFL Teams'!P14="","",RANK('NFL Teams'!P14,'NFL Teams'!$P$2:$P$33,0))</f>
        <v>10</v>
      </c>
    </row>
    <row r="15" spans="1:16" x14ac:dyDescent="0.2">
      <c r="A15" s="2" t="str">
        <f>'NFL Teams'!A15</f>
        <v>Indianapolis Colts</v>
      </c>
      <c r="B15" s="9">
        <f>IF('NFL Teams'!B15="","",RANK('NFL Teams'!B15,'NFL Teams'!$B$2:$B$33,0))</f>
        <v>12</v>
      </c>
      <c r="C15" s="9">
        <f>IF('NFL Teams'!C15="","",RANK('NFL Teams'!C15,'NFL Teams'!$C$2:$C$33,0))</f>
        <v>15</v>
      </c>
      <c r="D15" s="9">
        <f>IF('NFL Teams'!D15="","",RANK('NFL Teams'!D15,'NFL Teams'!$D$2:$D$33,0))</f>
        <v>18</v>
      </c>
      <c r="E15" s="9">
        <f>IF('NFL Teams'!E15="","",RANK('NFL Teams'!E15,'NFL Teams'!$E$2:$E$33,0))</f>
        <v>13</v>
      </c>
      <c r="F15" s="9">
        <f>IF('NFL Teams'!F15="","",RANK('NFL Teams'!F15,'NFL Teams'!$F$2:$F$33,0))</f>
        <v>13</v>
      </c>
      <c r="G15" s="9">
        <f>IF('NFL Teams'!G15="","",RANK('NFL Teams'!G15,'NFL Teams'!$G$2:$G$33,0))</f>
        <v>13</v>
      </c>
      <c r="H15" s="9">
        <f>IF('NFL Teams'!H15="","",RANK('NFL Teams'!H15,'NFL Teams'!$H$2:$H$33,1))</f>
        <v>23</v>
      </c>
      <c r="I15" s="9">
        <f>IF('NFL Teams'!I15="","",RANK('NFL Teams'!I15,'NFL Teams'!$I$2:$I$33,0))</f>
        <v>21</v>
      </c>
      <c r="J15" s="9">
        <f>IF('NFL Teams'!J15="","",RANK('NFL Teams'!J15,'NFL Teams'!$J$2:$J$33,0))</f>
        <v>11</v>
      </c>
      <c r="K15" s="9">
        <f>IF('NFL Teams'!K15="","",RANK('NFL Teams'!K15,'NFL Teams'!$K$2:$K$33,0))</f>
        <v>13</v>
      </c>
      <c r="L15" s="9">
        <f>IF('NFL Teams'!L15="","",RANK('NFL Teams'!L15,'NFL Teams'!$L$2:$L$33,0))</f>
        <v>16</v>
      </c>
      <c r="M15" s="9">
        <f>IF('NFL Teams'!M15="","",RANK('NFL Teams'!M15,'NFL Teams'!$M$2:$M$33,0))</f>
        <v>26</v>
      </c>
      <c r="N15" s="9">
        <f>IF('NFL Teams'!N15="","",RANK('NFL Teams'!N15,'NFL Teams'!$N$2:$N$33,0))</f>
        <v>30</v>
      </c>
      <c r="O15" s="9">
        <f>IF('NFL Teams'!O15="","",RANK('NFL Teams'!O15,'NFL Teams'!$O$2:$O$33,0))</f>
        <v>31</v>
      </c>
      <c r="P15" s="9">
        <f>IF('NFL Teams'!P15="","",RANK('NFL Teams'!P15,'NFL Teams'!$P$2:$P$33,0))</f>
        <v>21</v>
      </c>
    </row>
    <row r="16" spans="1:16" x14ac:dyDescent="0.2">
      <c r="A16" s="2" t="str">
        <f>'NFL Teams'!A16</f>
        <v>Jacksonville Jaguars</v>
      </c>
      <c r="B16" s="9">
        <f>IF('NFL Teams'!B16="","",RANK('NFL Teams'!B16,'NFL Teams'!$B$2:$B$33,0))</f>
        <v>31</v>
      </c>
      <c r="C16" s="9">
        <f>IF('NFL Teams'!C16="","",RANK('NFL Teams'!C16,'NFL Teams'!$C$2:$C$33,0))</f>
        <v>29</v>
      </c>
      <c r="D16" s="9">
        <f>IF('NFL Teams'!D16="","",RANK('NFL Teams'!D16,'NFL Teams'!$D$2:$D$33,0))</f>
        <v>32</v>
      </c>
      <c r="E16" s="9">
        <f>IF('NFL Teams'!E16="","",RANK('NFL Teams'!E16,'NFL Teams'!$E$2:$E$33,0))</f>
        <v>30</v>
      </c>
      <c r="F16" s="9">
        <f>IF('NFL Teams'!F16="","",RANK('NFL Teams'!F16,'NFL Teams'!$F$2:$F$33,0))</f>
        <v>30</v>
      </c>
      <c r="G16" s="9">
        <f>IF('NFL Teams'!G16="","",RANK('NFL Teams'!G16,'NFL Teams'!$G$2:$G$33,0))</f>
        <v>31</v>
      </c>
      <c r="H16" s="9">
        <f>IF('NFL Teams'!H16="","",RANK('NFL Teams'!H16,'NFL Teams'!$H$2:$H$33,1))</f>
        <v>25</v>
      </c>
      <c r="I16" s="9">
        <f>IF('NFL Teams'!I16="","",RANK('NFL Teams'!I16,'NFL Teams'!$I$2:$I$33,0))</f>
        <v>16</v>
      </c>
      <c r="J16" s="9">
        <f>IF('NFL Teams'!J16="","",RANK('NFL Teams'!J16,'NFL Teams'!$J$2:$J$33,0))</f>
        <v>28</v>
      </c>
      <c r="K16" s="9">
        <f>IF('NFL Teams'!K16="","",RANK('NFL Teams'!K16,'NFL Teams'!$K$2:$K$33,0))</f>
        <v>28</v>
      </c>
      <c r="L16" s="9">
        <f>IF('NFL Teams'!L16="","",RANK('NFL Teams'!L16,'NFL Teams'!$L$2:$L$33,0))</f>
        <v>22</v>
      </c>
      <c r="M16" s="9">
        <f>IF('NFL Teams'!M16="","",RANK('NFL Teams'!M16,'NFL Teams'!$M$2:$M$33,0))</f>
        <v>29</v>
      </c>
      <c r="N16" s="9">
        <f>IF('NFL Teams'!N16="","",RANK('NFL Teams'!N16,'NFL Teams'!$N$2:$N$33,0))</f>
        <v>32</v>
      </c>
      <c r="O16" s="9">
        <f>IF('NFL Teams'!O16="","",RANK('NFL Teams'!O16,'NFL Teams'!$O$2:$O$33,0))</f>
        <v>29</v>
      </c>
      <c r="P16" s="9">
        <f>IF('NFL Teams'!P16="","",RANK('NFL Teams'!P16,'NFL Teams'!$P$2:$P$33,0))</f>
        <v>31</v>
      </c>
    </row>
    <row r="17" spans="1:16" x14ac:dyDescent="0.2">
      <c r="A17" s="2" t="str">
        <f>'NFL Teams'!A17</f>
        <v>Kansas City Chiefs</v>
      </c>
      <c r="B17" s="9">
        <f>IF('NFL Teams'!B17="","",RANK('NFL Teams'!B17,'NFL Teams'!$B$2:$B$33,0))</f>
        <v>15</v>
      </c>
      <c r="C17" s="9">
        <f>IF('NFL Teams'!C17="","",RANK('NFL Teams'!C17,'NFL Teams'!$C$2:$C$33,0))</f>
        <v>23</v>
      </c>
      <c r="D17" s="9">
        <f>IF('NFL Teams'!D17="","",RANK('NFL Teams'!D17,'NFL Teams'!$D$2:$D$33,0))</f>
        <v>12</v>
      </c>
      <c r="E17" s="9">
        <f>IF('NFL Teams'!E17="","",RANK('NFL Teams'!E17,'NFL Teams'!$E$2:$E$33,0))</f>
        <v>6</v>
      </c>
      <c r="F17" s="9">
        <f>IF('NFL Teams'!F17="","",RANK('NFL Teams'!F17,'NFL Teams'!$F$2:$F$33,0))</f>
        <v>8</v>
      </c>
      <c r="G17" s="9">
        <f>IF('NFL Teams'!G17="","",RANK('NFL Teams'!G17,'NFL Teams'!$G$2:$G$33,0))</f>
        <v>13</v>
      </c>
      <c r="H17" s="9">
        <f>IF('NFL Teams'!H17="","",RANK('NFL Teams'!H17,'NFL Teams'!$H$2:$H$33,1))</f>
        <v>16</v>
      </c>
      <c r="I17" s="9">
        <f>IF('NFL Teams'!I17="","",RANK('NFL Teams'!I17,'NFL Teams'!$I$2:$I$33,0))</f>
        <v>7</v>
      </c>
      <c r="J17" s="9">
        <f>IF('NFL Teams'!J17="","",RANK('NFL Teams'!J17,'NFL Teams'!$J$2:$J$33,0))</f>
        <v>31</v>
      </c>
      <c r="K17" s="9">
        <f>IF('NFL Teams'!K17="","",RANK('NFL Teams'!K17,'NFL Teams'!$K$2:$K$33,0))</f>
        <v>17</v>
      </c>
      <c r="L17" s="9">
        <f>IF('NFL Teams'!L17="","",RANK('NFL Teams'!L17,'NFL Teams'!$L$2:$L$33,0))</f>
        <v>10</v>
      </c>
      <c r="M17" s="9">
        <f>IF('NFL Teams'!M17="","",RANK('NFL Teams'!M17,'NFL Teams'!$M$2:$M$33,0))</f>
        <v>25</v>
      </c>
      <c r="N17" s="9">
        <f>IF('NFL Teams'!N17="","",RANK('NFL Teams'!N17,'NFL Teams'!$N$2:$N$33,0))</f>
        <v>4</v>
      </c>
      <c r="O17" s="9">
        <f>IF('NFL Teams'!O17="","",RANK('NFL Teams'!O17,'NFL Teams'!$O$2:$O$33,0))</f>
        <v>1</v>
      </c>
      <c r="P17" s="9">
        <f>IF('NFL Teams'!P17="","",RANK('NFL Teams'!P17,'NFL Teams'!$P$2:$P$33,0))</f>
        <v>30</v>
      </c>
    </row>
    <row r="18" spans="1:16" x14ac:dyDescent="0.2">
      <c r="A18" s="2" t="str">
        <f>'NFL Teams'!A18</f>
        <v>Las Vegas Raiders</v>
      </c>
      <c r="B18" s="9">
        <f>IF('NFL Teams'!B18="","",RANK('NFL Teams'!B18,'NFL Teams'!$B$2:$B$33,0))</f>
        <v>18</v>
      </c>
      <c r="C18" s="9">
        <f>IF('NFL Teams'!C18="","",RANK('NFL Teams'!C18,'NFL Teams'!$C$2:$C$33,0))</f>
        <v>18</v>
      </c>
      <c r="D18" s="9">
        <f>IF('NFL Teams'!D18="","",RANK('NFL Teams'!D18,'NFL Teams'!$D$2:$D$33,0))</f>
        <v>13</v>
      </c>
      <c r="E18" s="9">
        <f>IF('NFL Teams'!E18="","",RANK('NFL Teams'!E18,'NFL Teams'!$E$2:$E$33,0))</f>
        <v>16</v>
      </c>
      <c r="F18" s="9">
        <f>IF('NFL Teams'!F18="","",RANK('NFL Teams'!F18,'NFL Teams'!$F$2:$F$33,0))</f>
        <v>9</v>
      </c>
      <c r="G18" s="9">
        <f>IF('NFL Teams'!G18="","",RANK('NFL Teams'!G18,'NFL Teams'!$G$2:$G$33,0))</f>
        <v>6</v>
      </c>
      <c r="H18" s="9">
        <f>IF('NFL Teams'!H18="","",RANK('NFL Teams'!H18,'NFL Teams'!$H$2:$H$33,1))</f>
        <v>32</v>
      </c>
      <c r="I18" s="9">
        <f>IF('NFL Teams'!I18="","",RANK('NFL Teams'!I18,'NFL Teams'!$I$2:$I$33,0))</f>
        <v>24</v>
      </c>
      <c r="J18" s="9">
        <f>IF('NFL Teams'!J18="","",RANK('NFL Teams'!J18,'NFL Teams'!$J$2:$J$33,0))</f>
        <v>4</v>
      </c>
      <c r="K18" s="9">
        <f>IF('NFL Teams'!K18="","",RANK('NFL Teams'!K18,'NFL Teams'!$K$2:$K$33,0))</f>
        <v>21</v>
      </c>
      <c r="L18" s="9">
        <f>IF('NFL Teams'!L18="","",RANK('NFL Teams'!L18,'NFL Teams'!$L$2:$L$33,0))</f>
        <v>5</v>
      </c>
      <c r="M18" s="9">
        <f>IF('NFL Teams'!M18="","",RANK('NFL Teams'!M18,'NFL Teams'!$M$2:$M$33,0))</f>
        <v>23</v>
      </c>
      <c r="N18" s="9">
        <f>IF('NFL Teams'!N18="","",RANK('NFL Teams'!N18,'NFL Teams'!$N$2:$N$33,0))</f>
        <v>13</v>
      </c>
      <c r="O18" s="9">
        <f>IF('NFL Teams'!O18="","",RANK('NFL Teams'!O18,'NFL Teams'!$O$2:$O$33,0))</f>
        <v>12</v>
      </c>
      <c r="P18" s="9">
        <f>IF('NFL Teams'!P18="","",RANK('NFL Teams'!P18,'NFL Teams'!$P$2:$P$33,0))</f>
        <v>6</v>
      </c>
    </row>
    <row r="19" spans="1:16" x14ac:dyDescent="0.2">
      <c r="A19" s="2" t="str">
        <f>'NFL Teams'!A19</f>
        <v>Los Angeles Chargers</v>
      </c>
      <c r="B19" s="9">
        <f>IF('NFL Teams'!B19="","",RANK('NFL Teams'!B19,'NFL Teams'!$B$2:$B$33,0))</f>
        <v>20</v>
      </c>
      <c r="C19" s="9">
        <f>IF('NFL Teams'!C19="","",RANK('NFL Teams'!C19,'NFL Teams'!$C$2:$C$33,0))</f>
        <v>17</v>
      </c>
      <c r="D19" s="9">
        <f>IF('NFL Teams'!D19="","",RANK('NFL Teams'!D19,'NFL Teams'!$D$2:$D$33,0))</f>
        <v>13</v>
      </c>
      <c r="E19" s="9">
        <f>IF('NFL Teams'!E19="","",RANK('NFL Teams'!E19,'NFL Teams'!$E$2:$E$33,0))</f>
        <v>18</v>
      </c>
      <c r="F19" s="9">
        <f>IF('NFL Teams'!F19="","",RANK('NFL Teams'!F19,'NFL Teams'!$F$2:$F$33,0))</f>
        <v>22</v>
      </c>
      <c r="G19" s="9">
        <f>IF('NFL Teams'!G19="","",RANK('NFL Teams'!G19,'NFL Teams'!$G$2:$G$33,0))</f>
        <v>17</v>
      </c>
      <c r="H19" s="9">
        <f>IF('NFL Teams'!H19="","",RANK('NFL Teams'!H19,'NFL Teams'!$H$2:$H$33,1))</f>
        <v>31</v>
      </c>
      <c r="I19" s="9">
        <f>IF('NFL Teams'!I19="","",RANK('NFL Teams'!I19,'NFL Teams'!$I$2:$I$33,0))</f>
        <v>12</v>
      </c>
      <c r="J19" s="9">
        <f>IF('NFL Teams'!J19="","",RANK('NFL Teams'!J19,'NFL Teams'!$J$2:$J$33,0))</f>
        <v>1</v>
      </c>
      <c r="K19" s="9">
        <f>IF('NFL Teams'!K19="","",RANK('NFL Teams'!K19,'NFL Teams'!$K$2:$K$33,0))</f>
        <v>23</v>
      </c>
      <c r="L19" s="9">
        <f>IF('NFL Teams'!L19="","",RANK('NFL Teams'!L19,'NFL Teams'!$L$2:$L$33,0))</f>
        <v>3</v>
      </c>
      <c r="M19" s="9">
        <f>IF('NFL Teams'!M19="","",RANK('NFL Teams'!M19,'NFL Teams'!$M$2:$M$33,0))</f>
        <v>3</v>
      </c>
      <c r="N19" s="9">
        <f>IF('NFL Teams'!N19="","",RANK('NFL Teams'!N19,'NFL Teams'!$N$2:$N$33,0))</f>
        <v>27</v>
      </c>
      <c r="O19" s="9">
        <f>IF('NFL Teams'!O19="","",RANK('NFL Teams'!O19,'NFL Teams'!$O$2:$O$33,0))</f>
        <v>4</v>
      </c>
      <c r="P19" s="9">
        <f>IF('NFL Teams'!P19="","",RANK('NFL Teams'!P19,'NFL Teams'!$P$2:$P$33,0))</f>
        <v>28</v>
      </c>
    </row>
    <row r="20" spans="1:16" x14ac:dyDescent="0.2">
      <c r="A20" s="2" t="str">
        <f>'NFL Teams'!A20</f>
        <v>Los Angeles Rams</v>
      </c>
      <c r="B20" s="9">
        <f>IF('NFL Teams'!B20="","",RANK('NFL Teams'!B20,'NFL Teams'!$B$2:$B$33,0))</f>
        <v>8</v>
      </c>
      <c r="C20" s="9">
        <f>IF('NFL Teams'!C20="","",RANK('NFL Teams'!C20,'NFL Teams'!$C$2:$C$33,0))</f>
        <v>7</v>
      </c>
      <c r="D20" s="9">
        <f>IF('NFL Teams'!D20="","",RANK('NFL Teams'!D20,'NFL Teams'!$D$2:$D$33,0))</f>
        <v>9</v>
      </c>
      <c r="E20" s="9">
        <f>IF('NFL Teams'!E20="","",RANK('NFL Teams'!E20,'NFL Teams'!$E$2:$E$33,0))</f>
        <v>15</v>
      </c>
      <c r="F20" s="9">
        <f>IF('NFL Teams'!F20="","",RANK('NFL Teams'!F20,'NFL Teams'!$F$2:$F$33,0))</f>
        <v>6</v>
      </c>
      <c r="G20" s="9">
        <f>IF('NFL Teams'!G20="","",RANK('NFL Teams'!G20,'NFL Teams'!$G$2:$G$33,0))</f>
        <v>8</v>
      </c>
      <c r="H20" s="9">
        <f>IF('NFL Teams'!H20="","",RANK('NFL Teams'!H20,'NFL Teams'!$H$2:$H$33,1))</f>
        <v>30</v>
      </c>
      <c r="I20" s="9">
        <f>IF('NFL Teams'!I20="","",RANK('NFL Teams'!I20,'NFL Teams'!$I$2:$I$33,0))</f>
        <v>12</v>
      </c>
      <c r="J20" s="9">
        <f>IF('NFL Teams'!J20="","",RANK('NFL Teams'!J20,'NFL Teams'!$J$2:$J$33,0))</f>
        <v>1</v>
      </c>
      <c r="K20" s="9">
        <f>IF('NFL Teams'!K20="","",RANK('NFL Teams'!K20,'NFL Teams'!$K$2:$K$33,0))</f>
        <v>23</v>
      </c>
      <c r="L20" s="9">
        <f>IF('NFL Teams'!L20="","",RANK('NFL Teams'!L20,'NFL Teams'!$L$2:$L$33,0))</f>
        <v>3</v>
      </c>
      <c r="M20" s="9">
        <f>IF('NFL Teams'!M20="","",RANK('NFL Teams'!M20,'NFL Teams'!$M$2:$M$33,0))</f>
        <v>3</v>
      </c>
      <c r="N20" s="9">
        <f>IF('NFL Teams'!N20="","",RANK('NFL Teams'!N20,'NFL Teams'!$N$2:$N$33,0))</f>
        <v>23</v>
      </c>
      <c r="O20" s="9">
        <f>IF('NFL Teams'!O20="","",RANK('NFL Teams'!O20,'NFL Teams'!$O$2:$O$33,0))</f>
        <v>8</v>
      </c>
      <c r="P20" s="9">
        <f>IF('NFL Teams'!P20="","",RANK('NFL Teams'!P20,'NFL Teams'!$P$2:$P$33,0))</f>
        <v>2</v>
      </c>
    </row>
    <row r="21" spans="1:16" x14ac:dyDescent="0.2">
      <c r="A21" s="2" t="str">
        <f>'NFL Teams'!A21</f>
        <v>Miami Dolphins</v>
      </c>
      <c r="B21" s="9">
        <f>IF('NFL Teams'!B21="","",RANK('NFL Teams'!B21,'NFL Teams'!$B$2:$B$33,0))</f>
        <v>19</v>
      </c>
      <c r="C21" s="9">
        <f>IF('NFL Teams'!C21="","",RANK('NFL Teams'!C21,'NFL Teams'!$C$2:$C$33,0))</f>
        <v>27</v>
      </c>
      <c r="D21" s="9">
        <f>IF('NFL Teams'!D21="","",RANK('NFL Teams'!D21,'NFL Teams'!$D$2:$D$33,0))</f>
        <v>26</v>
      </c>
      <c r="E21" s="9">
        <f>IF('NFL Teams'!E21="","",RANK('NFL Teams'!E21,'NFL Teams'!$E$2:$E$33,0))</f>
        <v>6</v>
      </c>
      <c r="F21" s="9">
        <f>IF('NFL Teams'!F21="","",RANK('NFL Teams'!F21,'NFL Teams'!$F$2:$F$33,0))</f>
        <v>16</v>
      </c>
      <c r="G21" s="9">
        <f>IF('NFL Teams'!G21="","",RANK('NFL Teams'!G21,'NFL Teams'!$G$2:$G$33,0))</f>
        <v>18</v>
      </c>
      <c r="H21" s="9">
        <f>IF('NFL Teams'!H21="","",RANK('NFL Teams'!H21,'NFL Teams'!$H$2:$H$33,1))</f>
        <v>17</v>
      </c>
      <c r="I21" s="9">
        <f>IF('NFL Teams'!I21="","",RANK('NFL Teams'!I21,'NFL Teams'!$I$2:$I$33,0))</f>
        <v>27</v>
      </c>
      <c r="J21" s="9">
        <f>IF('NFL Teams'!J21="","",RANK('NFL Teams'!J21,'NFL Teams'!$J$2:$J$33,0))</f>
        <v>30</v>
      </c>
      <c r="K21" s="9">
        <f>IF('NFL Teams'!K21="","",RANK('NFL Teams'!K21,'NFL Teams'!$K$2:$K$33,0))</f>
        <v>32</v>
      </c>
      <c r="L21" s="9">
        <f>IF('NFL Teams'!L21="","",RANK('NFL Teams'!L21,'NFL Teams'!$L$2:$L$33,0))</f>
        <v>24</v>
      </c>
      <c r="M21" s="9">
        <f>IF('NFL Teams'!M21="","",RANK('NFL Teams'!M21,'NFL Teams'!$M$2:$M$33,0))</f>
        <v>10</v>
      </c>
      <c r="N21" s="9">
        <f>IF('NFL Teams'!N21="","",RANK('NFL Teams'!N21,'NFL Teams'!$N$2:$N$33,0))</f>
        <v>24</v>
      </c>
      <c r="O21" s="9">
        <f>IF('NFL Teams'!O21="","",RANK('NFL Teams'!O21,'NFL Teams'!$O$2:$O$33,0))</f>
        <v>23</v>
      </c>
      <c r="P21" s="9">
        <f>IF('NFL Teams'!P21="","",RANK('NFL Teams'!P21,'NFL Teams'!$P$2:$P$33,0))</f>
        <v>5</v>
      </c>
    </row>
    <row r="22" spans="1:16" x14ac:dyDescent="0.2">
      <c r="A22" s="2" t="str">
        <f>'NFL Teams'!A22</f>
        <v>Minnesota Vikings</v>
      </c>
      <c r="B22" s="9">
        <f>IF('NFL Teams'!B22="","",RANK('NFL Teams'!B22,'NFL Teams'!$B$2:$B$33,0))</f>
        <v>16</v>
      </c>
      <c r="C22" s="9">
        <f>IF('NFL Teams'!C22="","",RANK('NFL Teams'!C22,'NFL Teams'!$C$2:$C$33,0))</f>
        <v>25</v>
      </c>
      <c r="D22" s="9">
        <f>IF('NFL Teams'!D22="","",RANK('NFL Teams'!D22,'NFL Teams'!$D$2:$D$33,0))</f>
        <v>13</v>
      </c>
      <c r="E22" s="9">
        <f>IF('NFL Teams'!E22="","",RANK('NFL Teams'!E22,'NFL Teams'!$E$2:$E$33,0))</f>
        <v>6</v>
      </c>
      <c r="F22" s="9">
        <f>IF('NFL Teams'!F22="","",RANK('NFL Teams'!F22,'NFL Teams'!$F$2:$F$33,0))</f>
        <v>15</v>
      </c>
      <c r="G22" s="9">
        <f>IF('NFL Teams'!G22="","",RANK('NFL Teams'!G22,'NFL Teams'!$G$2:$G$33,0))</f>
        <v>12</v>
      </c>
      <c r="H22" s="9">
        <f>IF('NFL Teams'!H22="","",RANK('NFL Teams'!H22,'NFL Teams'!$H$2:$H$33,1))</f>
        <v>15</v>
      </c>
      <c r="I22" s="9">
        <f>IF('NFL Teams'!I22="","",RANK('NFL Teams'!I22,'NFL Teams'!$I$2:$I$33,0))</f>
        <v>23</v>
      </c>
      <c r="J22" s="9">
        <f>IF('NFL Teams'!J22="","",RANK('NFL Teams'!J22,'NFL Teams'!$J$2:$J$33,0))</f>
        <v>10</v>
      </c>
      <c r="K22" s="9">
        <f>IF('NFL Teams'!K22="","",RANK('NFL Teams'!K22,'NFL Teams'!$K$2:$K$33,0))</f>
        <v>2</v>
      </c>
      <c r="L22" s="9">
        <f>IF('NFL Teams'!L22="","",RANK('NFL Teams'!L22,'NFL Teams'!$L$2:$L$33,0))</f>
        <v>11</v>
      </c>
      <c r="M22" s="9">
        <f>IF('NFL Teams'!M22="","",RANK('NFL Teams'!M22,'NFL Teams'!$M$2:$M$33,0))</f>
        <v>17</v>
      </c>
      <c r="N22" s="9">
        <f>IF('NFL Teams'!N22="","",RANK('NFL Teams'!N22,'NFL Teams'!$N$2:$N$33,0))</f>
        <v>21</v>
      </c>
      <c r="O22" s="9">
        <f>IF('NFL Teams'!O22="","",RANK('NFL Teams'!O22,'NFL Teams'!$O$2:$O$33,0))</f>
        <v>6</v>
      </c>
      <c r="P22" s="9">
        <f>IF('NFL Teams'!P22="","",RANK('NFL Teams'!P22,'NFL Teams'!$P$2:$P$33,0))</f>
        <v>32</v>
      </c>
    </row>
    <row r="23" spans="1:16" x14ac:dyDescent="0.2">
      <c r="A23" s="2" t="str">
        <f>'NFL Teams'!A23</f>
        <v>New England Patriots</v>
      </c>
      <c r="B23" s="9">
        <f>IF('NFL Teams'!B23="","",RANK('NFL Teams'!B23,'NFL Teams'!$B$2:$B$33,0))</f>
        <v>14</v>
      </c>
      <c r="C23" s="9">
        <f>IF('NFL Teams'!C23="","",RANK('NFL Teams'!C23,'NFL Teams'!$C$2:$C$33,0))</f>
        <v>24</v>
      </c>
      <c r="D23" s="9">
        <f>IF('NFL Teams'!D23="","",RANK('NFL Teams'!D23,'NFL Teams'!$D$2:$D$33,0))</f>
        <v>17</v>
      </c>
      <c r="E23" s="9">
        <f>IF('NFL Teams'!E23="","",RANK('NFL Teams'!E23,'NFL Teams'!$E$2:$E$33,0))</f>
        <v>4</v>
      </c>
      <c r="F23" s="9">
        <f>IF('NFL Teams'!F23="","",RANK('NFL Teams'!F23,'NFL Teams'!$F$2:$F$33,0))</f>
        <v>1</v>
      </c>
      <c r="G23" s="9">
        <f>IF('NFL Teams'!G23="","",RANK('NFL Teams'!G23,'NFL Teams'!$G$2:$G$33,0))</f>
        <v>23</v>
      </c>
      <c r="H23" s="9">
        <f>IF('NFL Teams'!H23="","",RANK('NFL Teams'!H23,'NFL Teams'!$H$2:$H$33,1))</f>
        <v>10</v>
      </c>
      <c r="I23" s="9">
        <f>IF('NFL Teams'!I23="","",RANK('NFL Teams'!I23,'NFL Teams'!$I$2:$I$33,0))</f>
        <v>22</v>
      </c>
      <c r="J23" s="9">
        <f>IF('NFL Teams'!J23="","",RANK('NFL Teams'!J23,'NFL Teams'!$J$2:$J$33,0))</f>
        <v>20</v>
      </c>
      <c r="K23" s="9">
        <f>IF('NFL Teams'!K23="","",RANK('NFL Teams'!K23,'NFL Teams'!$K$2:$K$33,0))</f>
        <v>6</v>
      </c>
      <c r="L23" s="9">
        <f>IF('NFL Teams'!L23="","",RANK('NFL Teams'!L23,'NFL Teams'!$L$2:$L$33,0))</f>
        <v>32</v>
      </c>
      <c r="M23" s="9">
        <f>IF('NFL Teams'!M23="","",RANK('NFL Teams'!M23,'NFL Teams'!$M$2:$M$33,0))</f>
        <v>13</v>
      </c>
      <c r="N23" s="9">
        <f>IF('NFL Teams'!N23="","",RANK('NFL Teams'!N23,'NFL Teams'!$N$2:$N$33,0))</f>
        <v>1</v>
      </c>
      <c r="O23" s="9">
        <f>IF('NFL Teams'!O23="","",RANK('NFL Teams'!O23,'NFL Teams'!$O$2:$O$33,0))</f>
        <v>7</v>
      </c>
      <c r="P23" s="9">
        <f>IF('NFL Teams'!P23="","",RANK('NFL Teams'!P23,'NFL Teams'!$P$2:$P$33,0))</f>
        <v>7</v>
      </c>
    </row>
    <row r="24" spans="1:16" x14ac:dyDescent="0.2">
      <c r="A24" s="2" t="str">
        <f>'NFL Teams'!A24</f>
        <v>New Orleans Saints</v>
      </c>
      <c r="B24" s="9">
        <f>IF('NFL Teams'!B24="","",RANK('NFL Teams'!B24,'NFL Teams'!$B$2:$B$33,0))</f>
        <v>24</v>
      </c>
      <c r="C24" s="9">
        <f>IF('NFL Teams'!C24="","",RANK('NFL Teams'!C24,'NFL Teams'!$C$2:$C$33,0))</f>
        <v>19</v>
      </c>
      <c r="D24" s="9">
        <f>IF('NFL Teams'!D24="","",RANK('NFL Teams'!D24,'NFL Teams'!$D$2:$D$33,0))</f>
        <v>24</v>
      </c>
      <c r="E24" s="9">
        <f>IF('NFL Teams'!E24="","",RANK('NFL Teams'!E24,'NFL Teams'!$E$2:$E$33,0))</f>
        <v>23</v>
      </c>
      <c r="F24" s="9">
        <f>IF('NFL Teams'!F24="","",RANK('NFL Teams'!F24,'NFL Teams'!$F$2:$F$33,0))</f>
        <v>25</v>
      </c>
      <c r="G24" s="9">
        <f>IF('NFL Teams'!G24="","",RANK('NFL Teams'!G24,'NFL Teams'!$G$2:$G$33,0))</f>
        <v>24</v>
      </c>
      <c r="H24" s="9">
        <f>IF('NFL Teams'!H24="","",RANK('NFL Teams'!H24,'NFL Teams'!$H$2:$H$33,1))</f>
        <v>19</v>
      </c>
      <c r="I24" s="9">
        <f>IF('NFL Teams'!I24="","",RANK('NFL Teams'!I24,'NFL Teams'!$I$2:$I$33,0))</f>
        <v>8</v>
      </c>
      <c r="J24" s="9">
        <f>IF('NFL Teams'!J24="","",RANK('NFL Teams'!J24,'NFL Teams'!$J$2:$J$33,0))</f>
        <v>28</v>
      </c>
      <c r="K24" s="9">
        <f>IF('NFL Teams'!K24="","",RANK('NFL Teams'!K24,'NFL Teams'!$K$2:$K$33,0))</f>
        <v>29</v>
      </c>
      <c r="L24" s="9">
        <f>IF('NFL Teams'!L24="","",RANK('NFL Teams'!L24,'NFL Teams'!$L$2:$L$33,0))</f>
        <v>12</v>
      </c>
      <c r="M24" s="9">
        <f>IF('NFL Teams'!M24="","",RANK('NFL Teams'!M24,'NFL Teams'!$M$2:$M$33,0))</f>
        <v>31</v>
      </c>
      <c r="N24" s="9">
        <f>IF('NFL Teams'!N24="","",RANK('NFL Teams'!N24,'NFL Teams'!$N$2:$N$33,0))</f>
        <v>18</v>
      </c>
      <c r="O24" s="9">
        <f>IF('NFL Teams'!O24="","",RANK('NFL Teams'!O24,'NFL Teams'!$O$2:$O$33,0))</f>
        <v>28</v>
      </c>
      <c r="P24" s="9">
        <f>IF('NFL Teams'!P24="","",RANK('NFL Teams'!P24,'NFL Teams'!$P$2:$P$33,0))</f>
        <v>9</v>
      </c>
    </row>
    <row r="25" spans="1:16" x14ac:dyDescent="0.2">
      <c r="A25" s="2" t="str">
        <f>'NFL Teams'!A25</f>
        <v>New York Giants</v>
      </c>
      <c r="B25" s="9">
        <f>IF('NFL Teams'!B25="","",RANK('NFL Teams'!B25,'NFL Teams'!$B$2:$B$33,0))</f>
        <v>3</v>
      </c>
      <c r="C25" s="9">
        <f>IF('NFL Teams'!C25="","",RANK('NFL Teams'!C25,'NFL Teams'!$C$2:$C$33,0))</f>
        <v>3</v>
      </c>
      <c r="D25" s="9">
        <f>IF('NFL Teams'!D25="","",RANK('NFL Teams'!D25,'NFL Teams'!$D$2:$D$33,0))</f>
        <v>4</v>
      </c>
      <c r="E25" s="9">
        <f>IF('NFL Teams'!E25="","",RANK('NFL Teams'!E25,'NFL Teams'!$E$2:$E$33,0))</f>
        <v>14</v>
      </c>
      <c r="F25" s="9">
        <f>IF('NFL Teams'!F25="","",RANK('NFL Teams'!F25,'NFL Teams'!$F$2:$F$33,0))</f>
        <v>9</v>
      </c>
      <c r="G25" s="9">
        <f>IF('NFL Teams'!G25="","",RANK('NFL Teams'!G25,'NFL Teams'!$G$2:$G$33,0))</f>
        <v>4</v>
      </c>
      <c r="H25" s="9">
        <f>IF('NFL Teams'!H25="","",RANK('NFL Teams'!H25,'NFL Teams'!$H$2:$H$33,1))</f>
        <v>3</v>
      </c>
      <c r="I25" s="9">
        <f>IF('NFL Teams'!I25="","",RANK('NFL Teams'!I25,'NFL Teams'!$I$2:$I$33,0))</f>
        <v>1</v>
      </c>
      <c r="J25" s="9">
        <f>IF('NFL Teams'!J25="","",RANK('NFL Teams'!J25,'NFL Teams'!$J$2:$J$33,0))</f>
        <v>5</v>
      </c>
      <c r="K25" s="9">
        <f>IF('NFL Teams'!K25="","",RANK('NFL Teams'!K25,'NFL Teams'!$K$2:$K$33,0))</f>
        <v>9</v>
      </c>
      <c r="L25" s="9">
        <f>IF('NFL Teams'!L25="","",RANK('NFL Teams'!L25,'NFL Teams'!$L$2:$L$33,0))</f>
        <v>30</v>
      </c>
      <c r="M25" s="9">
        <f>IF('NFL Teams'!M25="","",RANK('NFL Teams'!M25,'NFL Teams'!$M$2:$M$33,0))</f>
        <v>1</v>
      </c>
      <c r="N25" s="9">
        <f>IF('NFL Teams'!N25="","",RANK('NFL Teams'!N25,'NFL Teams'!$N$2:$N$33,0))</f>
        <v>10</v>
      </c>
      <c r="O25" s="9">
        <f>IF('NFL Teams'!O25="","",RANK('NFL Teams'!O25,'NFL Teams'!$O$2:$O$33,0))</f>
        <v>17</v>
      </c>
      <c r="P25" s="9">
        <f>IF('NFL Teams'!P25="","",RANK('NFL Teams'!P25,'NFL Teams'!$P$2:$P$33,0))</f>
        <v>8</v>
      </c>
    </row>
    <row r="26" spans="1:16" x14ac:dyDescent="0.2">
      <c r="A26" s="2" t="str">
        <f>'NFL Teams'!A26</f>
        <v>New York Jets</v>
      </c>
      <c r="B26" s="9">
        <f>IF('NFL Teams'!B26="","",RANK('NFL Teams'!B26,'NFL Teams'!$B$2:$B$33,0))</f>
        <v>23</v>
      </c>
      <c r="C26" s="9">
        <f>IF('NFL Teams'!C26="","",RANK('NFL Teams'!C26,'NFL Teams'!$C$2:$C$33,0))</f>
        <v>10</v>
      </c>
      <c r="D26" s="9">
        <f>IF('NFL Teams'!D26="","",RANK('NFL Teams'!D26,'NFL Teams'!$D$2:$D$33,0))</f>
        <v>18</v>
      </c>
      <c r="E26" s="9">
        <f>IF('NFL Teams'!E26="","",RANK('NFL Teams'!E26,'NFL Teams'!$E$2:$E$33,0))</f>
        <v>29</v>
      </c>
      <c r="F26" s="9">
        <f>IF('NFL Teams'!F26="","",RANK('NFL Teams'!F26,'NFL Teams'!$F$2:$F$33,0))</f>
        <v>22</v>
      </c>
      <c r="G26" s="9">
        <f>IF('NFL Teams'!G26="","",RANK('NFL Teams'!G26,'NFL Teams'!$G$2:$G$33,0))</f>
        <v>21</v>
      </c>
      <c r="H26" s="9">
        <f>IF('NFL Teams'!H26="","",RANK('NFL Teams'!H26,'NFL Teams'!$H$2:$H$33,1))</f>
        <v>10</v>
      </c>
      <c r="I26" s="9">
        <f>IF('NFL Teams'!I26="","",RANK('NFL Teams'!I26,'NFL Teams'!$I$2:$I$33,0))</f>
        <v>1</v>
      </c>
      <c r="J26" s="9">
        <f>IF('NFL Teams'!J26="","",RANK('NFL Teams'!J26,'NFL Teams'!$J$2:$J$33,0))</f>
        <v>5</v>
      </c>
      <c r="K26" s="9">
        <f>IF('NFL Teams'!K26="","",RANK('NFL Teams'!K26,'NFL Teams'!$K$2:$K$33,0))</f>
        <v>9</v>
      </c>
      <c r="L26" s="9">
        <f>IF('NFL Teams'!L26="","",RANK('NFL Teams'!L26,'NFL Teams'!$L$2:$L$33,0))</f>
        <v>30</v>
      </c>
      <c r="M26" s="9">
        <f>IF('NFL Teams'!M26="","",RANK('NFL Teams'!M26,'NFL Teams'!$M$2:$M$33,0))</f>
        <v>1</v>
      </c>
      <c r="N26" s="9">
        <f>IF('NFL Teams'!N26="","",RANK('NFL Teams'!N26,'NFL Teams'!$N$2:$N$33,0))</f>
        <v>28</v>
      </c>
      <c r="O26" s="9">
        <f>IF('NFL Teams'!O26="","",RANK('NFL Teams'!O26,'NFL Teams'!$O$2:$O$33,0))</f>
        <v>24</v>
      </c>
      <c r="P26" s="9">
        <f>IF('NFL Teams'!P26="","",RANK('NFL Teams'!P26,'NFL Teams'!$P$2:$P$33,0))</f>
        <v>4</v>
      </c>
    </row>
    <row r="27" spans="1:16" x14ac:dyDescent="0.2">
      <c r="A27" s="2" t="str">
        <f>'NFL Teams'!A27</f>
        <v>Philadelphia Eagles</v>
      </c>
      <c r="B27" s="9">
        <f>IF('NFL Teams'!B27="","",RANK('NFL Teams'!B27,'NFL Teams'!$B$2:$B$33,0))</f>
        <v>5</v>
      </c>
      <c r="C27" s="9">
        <f>IF('NFL Teams'!C27="","",RANK('NFL Teams'!C27,'NFL Teams'!$C$2:$C$33,0))</f>
        <v>6</v>
      </c>
      <c r="D27" s="9">
        <f>IF('NFL Teams'!D27="","",RANK('NFL Teams'!D27,'NFL Teams'!$D$2:$D$33,0))</f>
        <v>7</v>
      </c>
      <c r="E27" s="9">
        <f>IF('NFL Teams'!E27="","",RANK('NFL Teams'!E27,'NFL Teams'!$E$2:$E$33,0))</f>
        <v>18</v>
      </c>
      <c r="F27" s="9">
        <f>IF('NFL Teams'!F27="","",RANK('NFL Teams'!F27,'NFL Teams'!$F$2:$F$33,0))</f>
        <v>6</v>
      </c>
      <c r="G27" s="9">
        <f>IF('NFL Teams'!G27="","",RANK('NFL Teams'!G27,'NFL Teams'!$G$2:$G$33,0))</f>
        <v>16</v>
      </c>
      <c r="H27" s="9">
        <f>IF('NFL Teams'!H27="","",RANK('NFL Teams'!H27,'NFL Teams'!$H$2:$H$33,1))</f>
        <v>4</v>
      </c>
      <c r="I27" s="9">
        <f>IF('NFL Teams'!I27="","",RANK('NFL Teams'!I27,'NFL Teams'!$I$2:$I$33,0))</f>
        <v>14</v>
      </c>
      <c r="J27" s="9">
        <f>IF('NFL Teams'!J27="","",RANK('NFL Teams'!J27,'NFL Teams'!$J$2:$J$33,0))</f>
        <v>13</v>
      </c>
      <c r="K27" s="9">
        <f>IF('NFL Teams'!K27="","",RANK('NFL Teams'!K27,'NFL Teams'!$K$2:$K$33,0))</f>
        <v>12</v>
      </c>
      <c r="L27" s="9">
        <f>IF('NFL Teams'!L27="","",RANK('NFL Teams'!L27,'NFL Teams'!$L$2:$L$33,0))</f>
        <v>29</v>
      </c>
      <c r="M27" s="9">
        <f>IF('NFL Teams'!M27="","",RANK('NFL Teams'!M27,'NFL Teams'!$M$2:$M$33,0))</f>
        <v>11</v>
      </c>
      <c r="N27" s="9">
        <f>IF('NFL Teams'!N27="","",RANK('NFL Teams'!N27,'NFL Teams'!$N$2:$N$33,0))</f>
        <v>3</v>
      </c>
      <c r="O27" s="9">
        <f>IF('NFL Teams'!O27="","",RANK('NFL Teams'!O27,'NFL Teams'!$O$2:$O$33,0))</f>
        <v>2</v>
      </c>
      <c r="P27" s="9">
        <f>IF('NFL Teams'!P27="","",RANK('NFL Teams'!P27,'NFL Teams'!$P$2:$P$33,0))</f>
        <v>11</v>
      </c>
    </row>
    <row r="28" spans="1:16" x14ac:dyDescent="0.2">
      <c r="A28" s="2" t="str">
        <f>'NFL Teams'!A28</f>
        <v>Pittsburgh Steelers</v>
      </c>
      <c r="B28" s="9">
        <f>IF('NFL Teams'!B28="","",RANK('NFL Teams'!B28,'NFL Teams'!$B$2:$B$33,0))</f>
        <v>4</v>
      </c>
      <c r="C28" s="9">
        <f>IF('NFL Teams'!C28="","",RANK('NFL Teams'!C28,'NFL Teams'!$C$2:$C$33,0))</f>
        <v>9</v>
      </c>
      <c r="D28" s="9">
        <f>IF('NFL Teams'!D28="","",RANK('NFL Teams'!D28,'NFL Teams'!$D$2:$D$33,0))</f>
        <v>8</v>
      </c>
      <c r="E28" s="9">
        <f>IF('NFL Teams'!E28="","",RANK('NFL Teams'!E28,'NFL Teams'!$E$2:$E$33,0))</f>
        <v>10</v>
      </c>
      <c r="F28" s="9">
        <f>IF('NFL Teams'!F28="","",RANK('NFL Teams'!F28,'NFL Teams'!$F$2:$F$33,0))</f>
        <v>4</v>
      </c>
      <c r="G28" s="9">
        <f>IF('NFL Teams'!G28="","",RANK('NFL Teams'!G28,'NFL Teams'!$G$2:$G$33,0))</f>
        <v>3</v>
      </c>
      <c r="H28" s="9">
        <f>IF('NFL Teams'!H28="","",RANK('NFL Teams'!H28,'NFL Teams'!$H$2:$H$33,1))</f>
        <v>4</v>
      </c>
      <c r="I28" s="9">
        <f>IF('NFL Teams'!I28="","",RANK('NFL Teams'!I28,'NFL Teams'!$I$2:$I$33,0))</f>
        <v>18</v>
      </c>
      <c r="J28" s="9">
        <f>IF('NFL Teams'!J28="","",RANK('NFL Teams'!J28,'NFL Teams'!$J$2:$J$33,0))</f>
        <v>23</v>
      </c>
      <c r="K28" s="9">
        <f>IF('NFL Teams'!K28="","",RANK('NFL Teams'!K28,'NFL Teams'!$K$2:$K$33,0))</f>
        <v>11</v>
      </c>
      <c r="L28" s="9">
        <f>IF('NFL Teams'!L28="","",RANK('NFL Teams'!L28,'NFL Teams'!$L$2:$L$33,0))</f>
        <v>25</v>
      </c>
      <c r="M28" s="9">
        <f>IF('NFL Teams'!M28="","",RANK('NFL Teams'!M28,'NFL Teams'!$M$2:$M$33,0))</f>
        <v>22</v>
      </c>
      <c r="N28" s="9">
        <f>IF('NFL Teams'!N28="","",RANK('NFL Teams'!N28,'NFL Teams'!$N$2:$N$33,0))</f>
        <v>5</v>
      </c>
      <c r="O28" s="9">
        <f>IF('NFL Teams'!O28="","",RANK('NFL Teams'!O28,'NFL Teams'!$O$2:$O$33,0))</f>
        <v>9</v>
      </c>
      <c r="P28" s="9">
        <f>IF('NFL Teams'!P28="","",RANK('NFL Teams'!P28,'NFL Teams'!$P$2:$P$33,0))</f>
        <v>23</v>
      </c>
    </row>
    <row r="29" spans="1:16" x14ac:dyDescent="0.2">
      <c r="A29" s="2" t="str">
        <f>'NFL Teams'!A29</f>
        <v>San Francisco 49ers</v>
      </c>
      <c r="B29" s="9">
        <f>IF('NFL Teams'!B29="","",RANK('NFL Teams'!B29,'NFL Teams'!$B$2:$B$33,0))</f>
        <v>7</v>
      </c>
      <c r="C29" s="9">
        <f>IF('NFL Teams'!C29="","",RANK('NFL Teams'!C29,'NFL Teams'!$C$2:$C$33,0))</f>
        <v>12</v>
      </c>
      <c r="D29" s="9">
        <f>IF('NFL Teams'!D29="","",RANK('NFL Teams'!D29,'NFL Teams'!$D$2:$D$33,0))</f>
        <v>10</v>
      </c>
      <c r="E29" s="9">
        <f>IF('NFL Teams'!E29="","",RANK('NFL Teams'!E29,'NFL Teams'!$E$2:$E$33,0))</f>
        <v>9</v>
      </c>
      <c r="F29" s="9">
        <f>IF('NFL Teams'!F29="","",RANK('NFL Teams'!F29,'NFL Teams'!$F$2:$F$33,0))</f>
        <v>1</v>
      </c>
      <c r="G29" s="9">
        <f>IF('NFL Teams'!G29="","",RANK('NFL Teams'!G29,'NFL Teams'!$G$2:$G$33,0))</f>
        <v>8</v>
      </c>
      <c r="H29" s="9">
        <f>IF('NFL Teams'!H29="","",RANK('NFL Teams'!H29,'NFL Teams'!$H$2:$H$33,1))</f>
        <v>8</v>
      </c>
      <c r="I29" s="9">
        <f>IF('NFL Teams'!I29="","",RANK('NFL Teams'!I29,'NFL Teams'!$I$2:$I$33,0))</f>
        <v>19</v>
      </c>
      <c r="J29" s="9">
        <f>IF('NFL Teams'!J29="","",RANK('NFL Teams'!J29,'NFL Teams'!$J$2:$J$33,0))</f>
        <v>8</v>
      </c>
      <c r="K29" s="9">
        <f>IF('NFL Teams'!K29="","",RANK('NFL Teams'!K29,'NFL Teams'!$K$2:$K$33,0))</f>
        <v>19</v>
      </c>
      <c r="L29" s="9">
        <f>IF('NFL Teams'!L29="","",RANK('NFL Teams'!L29,'NFL Teams'!$L$2:$L$33,0))</f>
        <v>2</v>
      </c>
      <c r="M29" s="9">
        <f>IF('NFL Teams'!M29="","",RANK('NFL Teams'!M29,'NFL Teams'!$M$2:$M$33,0))</f>
        <v>14</v>
      </c>
      <c r="N29" s="9">
        <f>IF('NFL Teams'!N29="","",RANK('NFL Teams'!N29,'NFL Teams'!$N$2:$N$33,0))</f>
        <v>6</v>
      </c>
      <c r="O29" s="9">
        <f>IF('NFL Teams'!O29="","",RANK('NFL Teams'!O29,'NFL Teams'!$O$2:$O$33,0))</f>
        <v>5</v>
      </c>
      <c r="P29" s="9">
        <f>IF('NFL Teams'!P29="","",RANK('NFL Teams'!P29,'NFL Teams'!$P$2:$P$33,0))</f>
        <v>13</v>
      </c>
    </row>
    <row r="30" spans="1:16" x14ac:dyDescent="0.2">
      <c r="A30" s="2" t="str">
        <f>'NFL Teams'!A30</f>
        <v>Seattle Seahawks</v>
      </c>
      <c r="B30" s="9">
        <f>IF('NFL Teams'!B30="","",RANK('NFL Teams'!B30,'NFL Teams'!$B$2:$B$33,0))</f>
        <v>25</v>
      </c>
      <c r="C30" s="9">
        <f>IF('NFL Teams'!C30="","",RANK('NFL Teams'!C30,'NFL Teams'!$C$2:$C$33,0))</f>
        <v>28</v>
      </c>
      <c r="D30" s="9">
        <f>IF('NFL Teams'!D30="","",RANK('NFL Teams'!D30,'NFL Teams'!$D$2:$D$33,0))</f>
        <v>27</v>
      </c>
      <c r="E30" s="9">
        <f>IF('NFL Teams'!E30="","",RANK('NFL Teams'!E30,'NFL Teams'!$E$2:$E$33,0))</f>
        <v>12</v>
      </c>
      <c r="F30" s="9">
        <f>IF('NFL Teams'!F30="","",RANK('NFL Teams'!F30,'NFL Teams'!$F$2:$F$33,0))</f>
        <v>17</v>
      </c>
      <c r="G30" s="9">
        <f>IF('NFL Teams'!G30="","",RANK('NFL Teams'!G30,'NFL Teams'!$G$2:$G$33,0))</f>
        <v>24</v>
      </c>
      <c r="H30" s="9">
        <f>IF('NFL Teams'!H30="","",RANK('NFL Teams'!H30,'NFL Teams'!$H$2:$H$33,1))</f>
        <v>21</v>
      </c>
      <c r="I30" s="9">
        <f>IF('NFL Teams'!I30="","",RANK('NFL Teams'!I30,'NFL Teams'!$I$2:$I$33,0))</f>
        <v>17</v>
      </c>
      <c r="J30" s="9">
        <f>IF('NFL Teams'!J30="","",RANK('NFL Teams'!J30,'NFL Teams'!$J$2:$J$33,0))</f>
        <v>18</v>
      </c>
      <c r="K30" s="9">
        <f>IF('NFL Teams'!K30="","",RANK('NFL Teams'!K30,'NFL Teams'!$K$2:$K$33,0))</f>
        <v>1</v>
      </c>
      <c r="L30" s="9">
        <f>IF('NFL Teams'!L30="","",RANK('NFL Teams'!L30,'NFL Teams'!$L$2:$L$33,0))</f>
        <v>1</v>
      </c>
      <c r="M30" s="9">
        <f>IF('NFL Teams'!M30="","",RANK('NFL Teams'!M30,'NFL Teams'!$M$2:$M$33,0))</f>
        <v>16</v>
      </c>
      <c r="N30" s="9">
        <f>IF('NFL Teams'!N30="","",RANK('NFL Teams'!N30,'NFL Teams'!$N$2:$N$33,0))</f>
        <v>7</v>
      </c>
      <c r="O30" s="9">
        <f>IF('NFL Teams'!O30="","",RANK('NFL Teams'!O30,'NFL Teams'!$O$2:$O$33,0))</f>
        <v>13</v>
      </c>
      <c r="P30" s="9">
        <f>IF('NFL Teams'!P30="","",RANK('NFL Teams'!P30,'NFL Teams'!$P$2:$P$33,0))</f>
        <v>12</v>
      </c>
    </row>
    <row r="31" spans="1:16" x14ac:dyDescent="0.2">
      <c r="A31" s="2" t="str">
        <f>'NFL Teams'!A31</f>
        <v>Tampa Bay Buccaneers</v>
      </c>
      <c r="B31" s="9">
        <f>IF('NFL Teams'!B31="","",RANK('NFL Teams'!B31,'NFL Teams'!$B$2:$B$33,0))</f>
        <v>28</v>
      </c>
      <c r="C31" s="9">
        <f>IF('NFL Teams'!C31="","",RANK('NFL Teams'!C31,'NFL Teams'!$C$2:$C$33,0))</f>
        <v>22</v>
      </c>
      <c r="D31" s="9">
        <f>IF('NFL Teams'!D31="","",RANK('NFL Teams'!D31,'NFL Teams'!$D$2:$D$33,0))</f>
        <v>27</v>
      </c>
      <c r="E31" s="9">
        <f>IF('NFL Teams'!E31="","",RANK('NFL Teams'!E31,'NFL Teams'!$E$2:$E$33,0))</f>
        <v>32</v>
      </c>
      <c r="F31" s="9">
        <f>IF('NFL Teams'!F31="","",RANK('NFL Teams'!F31,'NFL Teams'!$F$2:$F$33,0))</f>
        <v>22</v>
      </c>
      <c r="G31" s="9">
        <f>IF('NFL Teams'!G31="","",RANK('NFL Teams'!G31,'NFL Teams'!$G$2:$G$33,0))</f>
        <v>24</v>
      </c>
      <c r="H31" s="9">
        <f>IF('NFL Teams'!H31="","",RANK('NFL Teams'!H31,'NFL Teams'!$H$2:$H$33,1))</f>
        <v>21</v>
      </c>
      <c r="I31" s="9">
        <f>IF('NFL Teams'!I31="","",RANK('NFL Teams'!I31,'NFL Teams'!$I$2:$I$33,0))</f>
        <v>25</v>
      </c>
      <c r="J31" s="9">
        <f>IF('NFL Teams'!J31="","",RANK('NFL Teams'!J31,'NFL Teams'!$J$2:$J$33,0))</f>
        <v>27</v>
      </c>
      <c r="K31" s="9">
        <f>IF('NFL Teams'!K31="","",RANK('NFL Teams'!K31,'NFL Teams'!$K$2:$K$33,0))</f>
        <v>31</v>
      </c>
      <c r="L31" s="9">
        <f>IF('NFL Teams'!L31="","",RANK('NFL Teams'!L31,'NFL Teams'!$L$2:$L$33,0))</f>
        <v>20</v>
      </c>
      <c r="M31" s="9">
        <f>IF('NFL Teams'!M31="","",RANK('NFL Teams'!M31,'NFL Teams'!$M$2:$M$33,0))</f>
        <v>18</v>
      </c>
      <c r="N31" s="9">
        <f>IF('NFL Teams'!N31="","",RANK('NFL Teams'!N31,'NFL Teams'!$N$2:$N$33,0))</f>
        <v>25</v>
      </c>
      <c r="O31" s="9">
        <f>IF('NFL Teams'!O31="","",RANK('NFL Teams'!O31,'NFL Teams'!$O$2:$O$33,0))</f>
        <v>18</v>
      </c>
      <c r="P31" s="9">
        <f>IF('NFL Teams'!P31="","",RANK('NFL Teams'!P31,'NFL Teams'!$P$2:$P$33,0))</f>
        <v>18</v>
      </c>
    </row>
    <row r="32" spans="1:16" x14ac:dyDescent="0.2">
      <c r="A32" s="2" t="str">
        <f>'NFL Teams'!A32</f>
        <v>Tennessee Titans</v>
      </c>
      <c r="B32" s="9">
        <f>IF('NFL Teams'!B32="","",RANK('NFL Teams'!B32,'NFL Teams'!$B$2:$B$33,0))</f>
        <v>22</v>
      </c>
      <c r="C32" s="9">
        <f>IF('NFL Teams'!C32="","",RANK('NFL Teams'!C32,'NFL Teams'!$C$2:$C$33,0))</f>
        <v>13</v>
      </c>
      <c r="D32" s="9">
        <f>IF('NFL Teams'!D32="","",RANK('NFL Teams'!D32,'NFL Teams'!$D$2:$D$33,0))</f>
        <v>22</v>
      </c>
      <c r="E32" s="9">
        <f>IF('NFL Teams'!E32="","",RANK('NFL Teams'!E32,'NFL Teams'!$E$2:$E$33,0))</f>
        <v>22</v>
      </c>
      <c r="F32" s="9">
        <f>IF('NFL Teams'!F32="","",RANK('NFL Teams'!F32,'NFL Teams'!$F$2:$F$33,0))</f>
        <v>20</v>
      </c>
      <c r="G32" s="9">
        <f>IF('NFL Teams'!G32="","",RANK('NFL Teams'!G32,'NFL Teams'!$G$2:$G$33,0))</f>
        <v>22</v>
      </c>
      <c r="H32" s="9">
        <f>IF('NFL Teams'!H32="","",RANK('NFL Teams'!H32,'NFL Teams'!$H$2:$H$33,1))</f>
        <v>28</v>
      </c>
      <c r="I32" s="9">
        <f>IF('NFL Teams'!I32="","",RANK('NFL Teams'!I32,'NFL Teams'!$I$2:$I$33,0))</f>
        <v>15</v>
      </c>
      <c r="J32" s="9">
        <f>IF('NFL Teams'!J32="","",RANK('NFL Teams'!J32,'NFL Teams'!$J$2:$J$33,0))</f>
        <v>21</v>
      </c>
      <c r="K32" s="9">
        <f>IF('NFL Teams'!K32="","",RANK('NFL Teams'!K32,'NFL Teams'!$K$2:$K$33,0))</f>
        <v>20</v>
      </c>
      <c r="L32" s="9">
        <f>IF('NFL Teams'!L32="","",RANK('NFL Teams'!L32,'NFL Teams'!$L$2:$L$33,0))</f>
        <v>15</v>
      </c>
      <c r="M32" s="9">
        <f>IF('NFL Teams'!M32="","",RANK('NFL Teams'!M32,'NFL Teams'!$M$2:$M$33,0))</f>
        <v>27</v>
      </c>
      <c r="N32" s="9">
        <f>IF('NFL Teams'!N32="","",RANK('NFL Teams'!N32,'NFL Teams'!$N$2:$N$33,0))</f>
        <v>31</v>
      </c>
      <c r="O32" s="9">
        <f>IF('NFL Teams'!O32="","",RANK('NFL Teams'!O32,'NFL Teams'!$O$2:$O$33,0))</f>
        <v>32</v>
      </c>
      <c r="P32" s="9">
        <f>IF('NFL Teams'!P32="","",RANK('NFL Teams'!P32,'NFL Teams'!$P$2:$P$33,0))</f>
        <v>20</v>
      </c>
    </row>
    <row r="33" spans="1:16" x14ac:dyDescent="0.2">
      <c r="A33" s="2" t="str">
        <f>'NFL Teams'!A33</f>
        <v>Washington Commanders</v>
      </c>
      <c r="B33" s="9">
        <f>IF('NFL Teams'!B33="","",RANK('NFL Teams'!B33,'NFL Teams'!$B$2:$B$33,0))</f>
        <v>6</v>
      </c>
      <c r="C33" s="9">
        <f>IF('NFL Teams'!C33="","",RANK('NFL Teams'!C33,'NFL Teams'!$C$2:$C$33,0))</f>
        <v>4</v>
      </c>
      <c r="D33" s="9">
        <f>IF('NFL Teams'!D33="","",RANK('NFL Teams'!D33,'NFL Teams'!$D$2:$D$33,0))</f>
        <v>6</v>
      </c>
      <c r="E33" s="9">
        <f>IF('NFL Teams'!E33="","",RANK('NFL Teams'!E33,'NFL Teams'!$E$2:$E$33,0))</f>
        <v>20</v>
      </c>
      <c r="F33" s="9">
        <f>IF('NFL Teams'!F33="","",RANK('NFL Teams'!F33,'NFL Teams'!$F$2:$F$33,0))</f>
        <v>9</v>
      </c>
      <c r="G33" s="9">
        <f>IF('NFL Teams'!G33="","",RANK('NFL Teams'!G33,'NFL Teams'!$G$2:$G$33,0))</f>
        <v>7</v>
      </c>
      <c r="H33" s="9">
        <f>IF('NFL Teams'!H33="","",RANK('NFL Teams'!H33,'NFL Teams'!$H$2:$H$33,1))</f>
        <v>7</v>
      </c>
      <c r="I33" s="9">
        <f>IF('NFL Teams'!I33="","",RANK('NFL Teams'!I33,'NFL Teams'!$I$2:$I$33,0))</f>
        <v>29</v>
      </c>
      <c r="J33" s="9">
        <f>IF('NFL Teams'!J33="","",RANK('NFL Teams'!J33,'NFL Teams'!$J$2:$J$33,0))</f>
        <v>24</v>
      </c>
      <c r="K33" s="9">
        <f>IF('NFL Teams'!K33="","",RANK('NFL Teams'!K33,'NFL Teams'!$K$2:$K$33,0))</f>
        <v>18</v>
      </c>
      <c r="L33" s="9">
        <f>IF('NFL Teams'!L33="","",RANK('NFL Teams'!L33,'NFL Teams'!$L$2:$L$33,0))</f>
        <v>27</v>
      </c>
      <c r="M33" s="9">
        <f>IF('NFL Teams'!M33="","",RANK('NFL Teams'!M33,'NFL Teams'!$M$2:$M$33,0))</f>
        <v>9</v>
      </c>
      <c r="N33" s="9">
        <f>IF('NFL Teams'!N33="","",RANK('NFL Teams'!N33,'NFL Teams'!$N$2:$N$33,0))</f>
        <v>26</v>
      </c>
      <c r="O33" s="9">
        <f>IF('NFL Teams'!O33="","",RANK('NFL Teams'!O33,'NFL Teams'!$O$2:$O$33,0))</f>
        <v>15</v>
      </c>
      <c r="P33" s="9">
        <f>IF('NFL Teams'!P33="","",RANK('NFL Teams'!P33,'NFL Teams'!$P$2:$P$33,0))</f>
        <v>14</v>
      </c>
    </row>
    <row r="35" spans="1:16" x14ac:dyDescent="0.2">
      <c r="A35" s="10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zoomScaleNormal="100" workbookViewId="0"/>
  </sheetViews>
  <sheetFormatPr defaultColWidth="8.7421875" defaultRowHeight="15" x14ac:dyDescent="0.2"/>
  <cols>
    <col min="1" max="1" width="4.03515625" customWidth="1"/>
    <col min="2" max="2" width="34.03125" customWidth="1"/>
    <col min="3" max="3" width="11.02734375" customWidth="1"/>
    <col min="4" max="4" width="13.98828125" customWidth="1"/>
    <col min="5" max="5" width="13.046875" customWidth="1"/>
    <col min="6" max="6" width="20.04296875" customWidth="1"/>
    <col min="7" max="7" width="11.02734375" customWidth="1"/>
    <col min="8" max="8" width="69.94921875" customWidth="1"/>
    <col min="9" max="9" width="48.0234375" customWidth="1"/>
  </cols>
  <sheetData>
    <row r="1" spans="1:9" ht="30" customHeight="1" x14ac:dyDescent="0.2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</row>
    <row r="2" spans="1:9" x14ac:dyDescent="0.2">
      <c r="A2" s="11">
        <v>1</v>
      </c>
      <c r="B2" s="11" t="s">
        <v>70</v>
      </c>
      <c r="C2" s="11" t="s">
        <v>95</v>
      </c>
      <c r="D2" s="11" t="s">
        <v>96</v>
      </c>
      <c r="E2" s="11" t="s">
        <v>97</v>
      </c>
      <c r="F2" s="11" t="s">
        <v>98</v>
      </c>
      <c r="G2" s="11">
        <f>COUNTIF('Paar-Check'!$A:$A,B2)</f>
        <v>35</v>
      </c>
      <c r="H2" s="11" t="s">
        <v>99</v>
      </c>
      <c r="I2" s="11" t="s">
        <v>100</v>
      </c>
    </row>
    <row r="3" spans="1:9" ht="27" x14ac:dyDescent="0.2">
      <c r="A3" s="11">
        <v>2</v>
      </c>
      <c r="B3" s="11" t="s">
        <v>71</v>
      </c>
      <c r="C3" s="11" t="s">
        <v>101</v>
      </c>
      <c r="D3" s="11" t="s">
        <v>96</v>
      </c>
      <c r="E3" s="11" t="s">
        <v>97</v>
      </c>
      <c r="F3" s="11" t="s">
        <v>102</v>
      </c>
      <c r="G3" s="11">
        <f>COUNTIF('Paar-Check'!$A:$A,B3)</f>
        <v>42</v>
      </c>
      <c r="H3" s="11" t="s">
        <v>103</v>
      </c>
      <c r="I3" s="11" t="s">
        <v>100</v>
      </c>
    </row>
    <row r="4" spans="1:9" x14ac:dyDescent="0.2">
      <c r="A4" s="11">
        <v>3</v>
      </c>
      <c r="B4" s="11" t="s">
        <v>72</v>
      </c>
      <c r="C4" s="11" t="s">
        <v>104</v>
      </c>
      <c r="D4" s="11" t="s">
        <v>96</v>
      </c>
      <c r="E4" s="11" t="s">
        <v>97</v>
      </c>
      <c r="F4" s="11" t="s">
        <v>105</v>
      </c>
      <c r="G4" s="11">
        <f>COUNTIF('Paar-Check'!$A:$A,B4)</f>
        <v>47</v>
      </c>
      <c r="H4" s="11" t="s">
        <v>106</v>
      </c>
      <c r="I4" s="11" t="s">
        <v>100</v>
      </c>
    </row>
    <row r="5" spans="1:9" x14ac:dyDescent="0.2">
      <c r="A5" s="11">
        <v>4</v>
      </c>
      <c r="B5" s="11" t="s">
        <v>73</v>
      </c>
      <c r="C5" s="11" t="s">
        <v>107</v>
      </c>
      <c r="D5" s="11" t="s">
        <v>108</v>
      </c>
      <c r="E5" s="11" t="s">
        <v>97</v>
      </c>
      <c r="F5" s="11" t="s">
        <v>109</v>
      </c>
      <c r="G5" s="11">
        <f>COUNTIF('Paar-Check'!$A:$A,B5)</f>
        <v>56</v>
      </c>
      <c r="H5" s="11" t="s">
        <v>110</v>
      </c>
      <c r="I5" s="11" t="s">
        <v>100</v>
      </c>
    </row>
    <row r="6" spans="1:9" ht="27" x14ac:dyDescent="0.2">
      <c r="A6" s="11">
        <v>5</v>
      </c>
      <c r="B6" s="11" t="s">
        <v>74</v>
      </c>
      <c r="C6" s="11" t="s">
        <v>95</v>
      </c>
      <c r="D6" s="11" t="s">
        <v>96</v>
      </c>
      <c r="E6" s="11" t="s">
        <v>97</v>
      </c>
      <c r="F6" s="11" t="s">
        <v>111</v>
      </c>
      <c r="G6" s="11">
        <f>COUNTIF('Paar-Check'!$A:$A,B6)</f>
        <v>45</v>
      </c>
      <c r="H6" s="11" t="s">
        <v>112</v>
      </c>
      <c r="I6" s="11" t="s">
        <v>113</v>
      </c>
    </row>
    <row r="7" spans="1:9" ht="27" x14ac:dyDescent="0.2">
      <c r="A7" s="11">
        <v>6</v>
      </c>
      <c r="B7" s="11" t="s">
        <v>75</v>
      </c>
      <c r="C7" s="11" t="s">
        <v>114</v>
      </c>
      <c r="D7" s="11" t="s">
        <v>96</v>
      </c>
      <c r="E7" s="11" t="s">
        <v>115</v>
      </c>
      <c r="F7" s="11" t="s">
        <v>116</v>
      </c>
      <c r="G7" s="11">
        <f>COUNTIF('Paar-Check'!$A:$A,B7)</f>
        <v>50</v>
      </c>
      <c r="H7" s="11" t="s">
        <v>117</v>
      </c>
      <c r="I7" s="11" t="s">
        <v>118</v>
      </c>
    </row>
    <row r="8" spans="1:9" x14ac:dyDescent="0.2">
      <c r="A8" s="11">
        <v>7</v>
      </c>
      <c r="B8" s="11" t="s">
        <v>76</v>
      </c>
      <c r="C8" s="11" t="s">
        <v>119</v>
      </c>
      <c r="D8" s="11" t="s">
        <v>120</v>
      </c>
      <c r="E8" s="11" t="s">
        <v>97</v>
      </c>
      <c r="F8" s="11" t="s">
        <v>121</v>
      </c>
      <c r="G8" s="11">
        <f>COUNTIF('Paar-Check'!$A:$A,B8)</f>
        <v>35</v>
      </c>
      <c r="H8" s="11" t="s">
        <v>122</v>
      </c>
      <c r="I8" s="11" t="s">
        <v>123</v>
      </c>
    </row>
    <row r="9" spans="1:9" x14ac:dyDescent="0.2">
      <c r="A9" s="11">
        <v>8</v>
      </c>
      <c r="B9" s="11" t="s">
        <v>77</v>
      </c>
      <c r="C9" s="11" t="s">
        <v>124</v>
      </c>
      <c r="D9" s="11" t="s">
        <v>125</v>
      </c>
      <c r="E9" s="11" t="s">
        <v>97</v>
      </c>
      <c r="F9" s="11" t="s">
        <v>126</v>
      </c>
      <c r="G9" s="11">
        <f>COUNTIF('Paar-Check'!$A:$A,B9)</f>
        <v>78</v>
      </c>
      <c r="H9" s="11" t="s">
        <v>127</v>
      </c>
      <c r="I9" s="11" t="s">
        <v>128</v>
      </c>
    </row>
    <row r="10" spans="1:9" ht="27" x14ac:dyDescent="0.2">
      <c r="A10" s="11">
        <v>9</v>
      </c>
      <c r="B10" s="11" t="s">
        <v>78</v>
      </c>
      <c r="C10" s="11" t="s">
        <v>129</v>
      </c>
      <c r="D10" s="11" t="s">
        <v>108</v>
      </c>
      <c r="E10" s="11" t="s">
        <v>115</v>
      </c>
      <c r="F10" s="11" t="s">
        <v>130</v>
      </c>
      <c r="G10" s="11">
        <f>COUNTIF('Paar-Check'!$A:$A,B10)</f>
        <v>37</v>
      </c>
      <c r="H10" s="11" t="s">
        <v>131</v>
      </c>
      <c r="I10" s="11" t="s">
        <v>132</v>
      </c>
    </row>
    <row r="11" spans="1:9" x14ac:dyDescent="0.2">
      <c r="A11" s="11">
        <v>10</v>
      </c>
      <c r="B11" s="11" t="s">
        <v>79</v>
      </c>
      <c r="C11" s="11" t="s">
        <v>133</v>
      </c>
      <c r="D11" s="11" t="s">
        <v>134</v>
      </c>
      <c r="E11" s="11" t="s">
        <v>97</v>
      </c>
      <c r="F11" s="11" t="s">
        <v>135</v>
      </c>
      <c r="G11" s="11">
        <f>COUNTIF('Paar-Check'!$A:$A,B11)</f>
        <v>42</v>
      </c>
      <c r="H11" s="11" t="s">
        <v>136</v>
      </c>
      <c r="I11" s="11" t="s">
        <v>137</v>
      </c>
    </row>
    <row r="12" spans="1:9" x14ac:dyDescent="0.2">
      <c r="A12" s="11">
        <v>11</v>
      </c>
      <c r="B12" s="11" t="s">
        <v>80</v>
      </c>
      <c r="C12" s="11" t="s">
        <v>138</v>
      </c>
      <c r="D12" s="11" t="s">
        <v>139</v>
      </c>
      <c r="E12" s="11" t="s">
        <v>97</v>
      </c>
      <c r="F12" s="11" t="s">
        <v>140</v>
      </c>
      <c r="G12" s="11">
        <f>COUNTIF('Paar-Check'!$A:$A,B12)</f>
        <v>18</v>
      </c>
      <c r="H12" s="11" t="s">
        <v>141</v>
      </c>
      <c r="I12" s="11" t="s">
        <v>137</v>
      </c>
    </row>
    <row r="13" spans="1:9" ht="27" x14ac:dyDescent="0.2">
      <c r="A13" s="11">
        <v>12</v>
      </c>
      <c r="B13" s="11" t="s">
        <v>81</v>
      </c>
      <c r="C13" s="11" t="s">
        <v>142</v>
      </c>
      <c r="D13" s="11" t="s">
        <v>125</v>
      </c>
      <c r="E13" s="11" t="s">
        <v>97</v>
      </c>
      <c r="F13" s="11" t="s">
        <v>143</v>
      </c>
      <c r="G13" s="11">
        <f>COUNTIF('Paar-Check'!$A:$A,B13)</f>
        <v>38</v>
      </c>
      <c r="H13" s="11" t="s">
        <v>144</v>
      </c>
      <c r="I13" s="11" t="s">
        <v>145</v>
      </c>
    </row>
    <row r="14" spans="1:9" x14ac:dyDescent="0.2">
      <c r="A14" s="11">
        <v>13</v>
      </c>
      <c r="B14" s="11" t="s">
        <v>82</v>
      </c>
      <c r="C14" s="11" t="s">
        <v>142</v>
      </c>
      <c r="D14" s="11" t="s">
        <v>96</v>
      </c>
      <c r="E14" s="11" t="s">
        <v>115</v>
      </c>
      <c r="F14" s="11" t="s">
        <v>143</v>
      </c>
      <c r="G14" s="11">
        <f>COUNTIF('Paar-Check'!$A:$A,B14)</f>
        <v>63</v>
      </c>
      <c r="H14" s="11" t="s">
        <v>146</v>
      </c>
      <c r="I14" s="11" t="s">
        <v>147</v>
      </c>
    </row>
    <row r="15" spans="1:9" x14ac:dyDescent="0.2">
      <c r="A15" s="11">
        <v>14</v>
      </c>
      <c r="B15" s="11" t="s">
        <v>83</v>
      </c>
      <c r="C15" s="11" t="s">
        <v>148</v>
      </c>
      <c r="D15" s="11" t="s">
        <v>96</v>
      </c>
      <c r="E15" s="11" t="s">
        <v>115</v>
      </c>
      <c r="F15" s="11" t="s">
        <v>143</v>
      </c>
      <c r="G15" s="11">
        <f>COUNTIF('Paar-Check'!$A:$A,B15)</f>
        <v>57</v>
      </c>
      <c r="H15" s="11" t="s">
        <v>149</v>
      </c>
      <c r="I15" s="11" t="s">
        <v>147</v>
      </c>
    </row>
    <row r="16" spans="1:9" ht="27" x14ac:dyDescent="0.2">
      <c r="A16" s="11">
        <v>15</v>
      </c>
      <c r="B16" s="11" t="s">
        <v>84</v>
      </c>
      <c r="C16" s="11" t="s">
        <v>129</v>
      </c>
      <c r="D16" s="11" t="s">
        <v>150</v>
      </c>
      <c r="E16" s="11" t="s">
        <v>115</v>
      </c>
      <c r="F16" s="11" t="s">
        <v>143</v>
      </c>
      <c r="G16" s="11">
        <f>COUNTIF('Paar-Check'!$A:$A,B16)</f>
        <v>44</v>
      </c>
      <c r="H16" s="11" t="s">
        <v>151</v>
      </c>
      <c r="I16" s="11" t="s">
        <v>152</v>
      </c>
    </row>
    <row r="19" spans="1:1" x14ac:dyDescent="0.2">
      <c r="A19" s="12" t="s">
        <v>153</v>
      </c>
    </row>
    <row r="20" spans="1:1" x14ac:dyDescent="0.2">
      <c r="A20" s="13" t="s">
        <v>154</v>
      </c>
    </row>
    <row r="21" spans="1:1" x14ac:dyDescent="0.2">
      <c r="A21" s="13" t="s">
        <v>155</v>
      </c>
    </row>
    <row r="22" spans="1:1" x14ac:dyDescent="0.2">
      <c r="A22" s="13" t="s">
        <v>156</v>
      </c>
    </row>
    <row r="23" spans="1:1" x14ac:dyDescent="0.2">
      <c r="A23" s="13" t="s">
        <v>157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88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36.05078125" customWidth="1"/>
    <col min="2" max="2" width="23.9453125" customWidth="1"/>
    <col min="3" max="3" width="11.97265625" customWidth="1"/>
    <col min="4" max="4" width="23.9453125" customWidth="1"/>
    <col min="5" max="6" width="11.97265625" customWidth="1"/>
  </cols>
  <sheetData>
    <row r="1" spans="1:6" ht="30" customHeight="1" x14ac:dyDescent="0.2">
      <c r="A1" s="1" t="s">
        <v>87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</row>
    <row r="2" spans="1:6" x14ac:dyDescent="0.2">
      <c r="A2" s="8" t="s">
        <v>70</v>
      </c>
      <c r="B2" s="8" t="s">
        <v>17</v>
      </c>
      <c r="C2" s="14">
        <v>596</v>
      </c>
      <c r="D2" s="8" t="s">
        <v>33</v>
      </c>
      <c r="E2" s="14">
        <v>615</v>
      </c>
      <c r="F2" s="14">
        <v>19</v>
      </c>
    </row>
    <row r="3" spans="1:6" x14ac:dyDescent="0.2">
      <c r="A3" s="8" t="s">
        <v>70</v>
      </c>
      <c r="B3" s="8" t="s">
        <v>19</v>
      </c>
      <c r="C3" s="14">
        <v>406</v>
      </c>
      <c r="D3" s="8" t="s">
        <v>27</v>
      </c>
      <c r="E3" s="14">
        <v>409</v>
      </c>
      <c r="F3" s="14">
        <v>3</v>
      </c>
    </row>
    <row r="4" spans="1:6" x14ac:dyDescent="0.2">
      <c r="A4" s="8" t="s">
        <v>70</v>
      </c>
      <c r="B4" s="8" t="s">
        <v>19</v>
      </c>
      <c r="C4" s="14">
        <v>406</v>
      </c>
      <c r="D4" s="8" t="s">
        <v>54</v>
      </c>
      <c r="E4" s="14">
        <v>423</v>
      </c>
      <c r="F4" s="14">
        <v>17</v>
      </c>
    </row>
    <row r="5" spans="1:6" x14ac:dyDescent="0.2">
      <c r="A5" s="8" t="s">
        <v>70</v>
      </c>
      <c r="B5" s="8" t="s">
        <v>19</v>
      </c>
      <c r="C5" s="14">
        <v>406</v>
      </c>
      <c r="D5" s="8" t="s">
        <v>63</v>
      </c>
      <c r="E5" s="14">
        <v>416</v>
      </c>
      <c r="F5" s="14">
        <v>10</v>
      </c>
    </row>
    <row r="6" spans="1:6" x14ac:dyDescent="0.2">
      <c r="A6" s="8" t="s">
        <v>70</v>
      </c>
      <c r="B6" s="8" t="s">
        <v>22</v>
      </c>
      <c r="C6" s="14">
        <v>498</v>
      </c>
      <c r="D6" s="8" t="s">
        <v>44</v>
      </c>
      <c r="E6" s="14">
        <v>512</v>
      </c>
      <c r="F6" s="14">
        <v>14</v>
      </c>
    </row>
    <row r="7" spans="1:6" x14ac:dyDescent="0.2">
      <c r="A7" s="8" t="s">
        <v>70</v>
      </c>
      <c r="B7" s="8" t="s">
        <v>22</v>
      </c>
      <c r="C7" s="14">
        <v>498</v>
      </c>
      <c r="D7" s="8" t="s">
        <v>46</v>
      </c>
      <c r="E7" s="14">
        <v>505</v>
      </c>
      <c r="F7" s="14">
        <v>7</v>
      </c>
    </row>
    <row r="8" spans="1:6" x14ac:dyDescent="0.2">
      <c r="A8" s="8" t="s">
        <v>70</v>
      </c>
      <c r="B8" s="8" t="s">
        <v>22</v>
      </c>
      <c r="C8" s="14">
        <v>498</v>
      </c>
      <c r="D8" s="8" t="s">
        <v>50</v>
      </c>
      <c r="E8" s="14">
        <v>511</v>
      </c>
      <c r="F8" s="14">
        <v>13</v>
      </c>
    </row>
    <row r="9" spans="1:6" x14ac:dyDescent="0.2">
      <c r="A9" s="8" t="s">
        <v>70</v>
      </c>
      <c r="B9" s="8" t="s">
        <v>22</v>
      </c>
      <c r="C9" s="14">
        <v>498</v>
      </c>
      <c r="D9" s="8" t="s">
        <v>66</v>
      </c>
      <c r="E9" s="14">
        <v>482</v>
      </c>
      <c r="F9" s="14">
        <v>16</v>
      </c>
    </row>
    <row r="10" spans="1:6" x14ac:dyDescent="0.2">
      <c r="A10" s="8" t="s">
        <v>70</v>
      </c>
      <c r="B10" s="8" t="s">
        <v>24</v>
      </c>
      <c r="C10" s="14">
        <v>227</v>
      </c>
      <c r="D10" s="8" t="s">
        <v>40</v>
      </c>
      <c r="E10" s="14">
        <v>215</v>
      </c>
      <c r="F10" s="14">
        <v>12</v>
      </c>
    </row>
    <row r="11" spans="1:6" x14ac:dyDescent="0.2">
      <c r="A11" s="8" t="s">
        <v>70</v>
      </c>
      <c r="B11" s="8" t="s">
        <v>25</v>
      </c>
      <c r="C11" s="14">
        <v>809</v>
      </c>
      <c r="D11" s="8" t="s">
        <v>34</v>
      </c>
      <c r="E11" s="14">
        <v>819</v>
      </c>
      <c r="F11" s="14">
        <v>10</v>
      </c>
    </row>
    <row r="12" spans="1:6" x14ac:dyDescent="0.2">
      <c r="A12" s="8" t="s">
        <v>70</v>
      </c>
      <c r="B12" s="8" t="s">
        <v>27</v>
      </c>
      <c r="C12" s="14">
        <v>409</v>
      </c>
      <c r="D12" s="8" t="s">
        <v>54</v>
      </c>
      <c r="E12" s="14">
        <v>423</v>
      </c>
      <c r="F12" s="14">
        <v>14</v>
      </c>
    </row>
    <row r="13" spans="1:6" x14ac:dyDescent="0.2">
      <c r="A13" s="8" t="s">
        <v>70</v>
      </c>
      <c r="B13" s="8" t="s">
        <v>27</v>
      </c>
      <c r="C13" s="14">
        <v>409</v>
      </c>
      <c r="D13" s="8" t="s">
        <v>63</v>
      </c>
      <c r="E13" s="14">
        <v>416</v>
      </c>
      <c r="F13" s="14">
        <v>7</v>
      </c>
    </row>
    <row r="14" spans="1:6" x14ac:dyDescent="0.2">
      <c r="A14" s="8" t="s">
        <v>70</v>
      </c>
      <c r="B14" s="8" t="s">
        <v>28</v>
      </c>
      <c r="C14" s="14">
        <v>567</v>
      </c>
      <c r="D14" s="8" t="s">
        <v>30</v>
      </c>
      <c r="E14" s="14">
        <v>576</v>
      </c>
      <c r="F14" s="14">
        <v>9</v>
      </c>
    </row>
    <row r="15" spans="1:6" x14ac:dyDescent="0.2">
      <c r="A15" s="8" t="s">
        <v>70</v>
      </c>
      <c r="B15" s="8" t="s">
        <v>28</v>
      </c>
      <c r="C15" s="14">
        <v>567</v>
      </c>
      <c r="D15" s="8" t="s">
        <v>38</v>
      </c>
      <c r="E15" s="14">
        <v>572</v>
      </c>
      <c r="F15" s="14">
        <v>5</v>
      </c>
    </row>
    <row r="16" spans="1:6" x14ac:dyDescent="0.2">
      <c r="A16" s="8" t="s">
        <v>70</v>
      </c>
      <c r="B16" s="8" t="s">
        <v>28</v>
      </c>
      <c r="C16" s="14">
        <v>567</v>
      </c>
      <c r="D16" s="8" t="s">
        <v>42</v>
      </c>
      <c r="E16" s="14">
        <v>553</v>
      </c>
      <c r="F16" s="14">
        <v>14</v>
      </c>
    </row>
    <row r="17" spans="1:6" x14ac:dyDescent="0.2">
      <c r="A17" s="8" t="s">
        <v>70</v>
      </c>
      <c r="B17" s="8" t="s">
        <v>28</v>
      </c>
      <c r="C17" s="14">
        <v>567</v>
      </c>
      <c r="D17" s="8" t="s">
        <v>52</v>
      </c>
      <c r="E17" s="14">
        <v>559</v>
      </c>
      <c r="F17" s="14">
        <v>8</v>
      </c>
    </row>
    <row r="18" spans="1:6" x14ac:dyDescent="0.2">
      <c r="A18" s="8" t="s">
        <v>70</v>
      </c>
      <c r="B18" s="8" t="s">
        <v>30</v>
      </c>
      <c r="C18" s="14">
        <v>576</v>
      </c>
      <c r="D18" s="8" t="s">
        <v>38</v>
      </c>
      <c r="E18" s="14">
        <v>572</v>
      </c>
      <c r="F18" s="14">
        <v>4</v>
      </c>
    </row>
    <row r="19" spans="1:6" x14ac:dyDescent="0.2">
      <c r="A19" s="8" t="s">
        <v>70</v>
      </c>
      <c r="B19" s="8" t="s">
        <v>30</v>
      </c>
      <c r="C19" s="14">
        <v>576</v>
      </c>
      <c r="D19" s="8" t="s">
        <v>52</v>
      </c>
      <c r="E19" s="14">
        <v>559</v>
      </c>
      <c r="F19" s="14">
        <v>17</v>
      </c>
    </row>
    <row r="20" spans="1:6" x14ac:dyDescent="0.2">
      <c r="A20" s="8" t="s">
        <v>70</v>
      </c>
      <c r="B20" s="8" t="s">
        <v>32</v>
      </c>
      <c r="C20" s="14">
        <v>532</v>
      </c>
      <c r="D20" s="8" t="s">
        <v>51</v>
      </c>
      <c r="E20" s="14">
        <v>546</v>
      </c>
      <c r="F20" s="14">
        <v>14</v>
      </c>
    </row>
    <row r="21" spans="1:6" x14ac:dyDescent="0.2">
      <c r="A21" s="8" t="s">
        <v>70</v>
      </c>
      <c r="B21" s="8" t="s">
        <v>38</v>
      </c>
      <c r="C21" s="14">
        <v>572</v>
      </c>
      <c r="D21" s="8" t="s">
        <v>42</v>
      </c>
      <c r="E21" s="14">
        <v>553</v>
      </c>
      <c r="F21" s="14">
        <v>19</v>
      </c>
    </row>
    <row r="22" spans="1:6" x14ac:dyDescent="0.2">
      <c r="A22" s="8" t="s">
        <v>70</v>
      </c>
      <c r="B22" s="8" t="s">
        <v>38</v>
      </c>
      <c r="C22" s="14">
        <v>572</v>
      </c>
      <c r="D22" s="8" t="s">
        <v>52</v>
      </c>
      <c r="E22" s="14">
        <v>559</v>
      </c>
      <c r="F22" s="14">
        <v>13</v>
      </c>
    </row>
    <row r="23" spans="1:6" x14ac:dyDescent="0.2">
      <c r="A23" s="8" t="s">
        <v>70</v>
      </c>
      <c r="B23" s="8" t="s">
        <v>42</v>
      </c>
      <c r="C23" s="14">
        <v>553</v>
      </c>
      <c r="D23" s="8" t="s">
        <v>51</v>
      </c>
      <c r="E23" s="14">
        <v>546</v>
      </c>
      <c r="F23" s="14">
        <v>7</v>
      </c>
    </row>
    <row r="24" spans="1:6" x14ac:dyDescent="0.2">
      <c r="A24" s="8" t="s">
        <v>70</v>
      </c>
      <c r="B24" s="8" t="s">
        <v>42</v>
      </c>
      <c r="C24" s="14">
        <v>553</v>
      </c>
      <c r="D24" s="8" t="s">
        <v>52</v>
      </c>
      <c r="E24" s="14">
        <v>559</v>
      </c>
      <c r="F24" s="14">
        <v>6</v>
      </c>
    </row>
    <row r="25" spans="1:6" x14ac:dyDescent="0.2">
      <c r="A25" s="8" t="s">
        <v>70</v>
      </c>
      <c r="B25" s="8" t="s">
        <v>44</v>
      </c>
      <c r="C25" s="14">
        <v>512</v>
      </c>
      <c r="D25" s="8" t="s">
        <v>46</v>
      </c>
      <c r="E25" s="14">
        <v>505</v>
      </c>
      <c r="F25" s="14">
        <v>7</v>
      </c>
    </row>
    <row r="26" spans="1:6" x14ac:dyDescent="0.2">
      <c r="A26" s="8" t="s">
        <v>70</v>
      </c>
      <c r="B26" s="8" t="s">
        <v>44</v>
      </c>
      <c r="C26" s="14">
        <v>512</v>
      </c>
      <c r="D26" s="8" t="s">
        <v>50</v>
      </c>
      <c r="E26" s="14">
        <v>511</v>
      </c>
      <c r="F26" s="14">
        <v>1</v>
      </c>
    </row>
    <row r="27" spans="1:6" x14ac:dyDescent="0.2">
      <c r="A27" s="8" t="s">
        <v>70</v>
      </c>
      <c r="B27" s="8" t="s">
        <v>46</v>
      </c>
      <c r="C27" s="14">
        <v>505</v>
      </c>
      <c r="D27" s="8" t="s">
        <v>50</v>
      </c>
      <c r="E27" s="14">
        <v>511</v>
      </c>
      <c r="F27" s="14">
        <v>6</v>
      </c>
    </row>
    <row r="28" spans="1:6" x14ac:dyDescent="0.2">
      <c r="A28" s="8" t="s">
        <v>70</v>
      </c>
      <c r="B28" s="8" t="s">
        <v>48</v>
      </c>
      <c r="C28" s="14">
        <v>636</v>
      </c>
      <c r="D28" s="8" t="s">
        <v>59</v>
      </c>
      <c r="E28" s="14">
        <v>649</v>
      </c>
      <c r="F28" s="14">
        <v>13</v>
      </c>
    </row>
    <row r="29" spans="1:6" x14ac:dyDescent="0.2">
      <c r="A29" s="8" t="s">
        <v>70</v>
      </c>
      <c r="B29" s="8" t="s">
        <v>48</v>
      </c>
      <c r="C29" s="14">
        <v>636</v>
      </c>
      <c r="D29" s="8" t="s">
        <v>61</v>
      </c>
      <c r="E29" s="14">
        <v>642</v>
      </c>
      <c r="F29" s="14">
        <v>6</v>
      </c>
    </row>
    <row r="30" spans="1:6" x14ac:dyDescent="0.2">
      <c r="A30" s="8" t="s">
        <v>70</v>
      </c>
      <c r="B30" s="8" t="s">
        <v>48</v>
      </c>
      <c r="C30" s="14">
        <v>636</v>
      </c>
      <c r="D30" s="8" t="s">
        <v>68</v>
      </c>
      <c r="E30" s="14">
        <v>646</v>
      </c>
      <c r="F30" s="14">
        <v>10</v>
      </c>
    </row>
    <row r="31" spans="1:6" x14ac:dyDescent="0.2">
      <c r="A31" s="8" t="s">
        <v>70</v>
      </c>
      <c r="B31" s="8" t="s">
        <v>51</v>
      </c>
      <c r="C31" s="14">
        <v>546</v>
      </c>
      <c r="D31" s="8" t="s">
        <v>52</v>
      </c>
      <c r="E31" s="14">
        <v>559</v>
      </c>
      <c r="F31" s="14">
        <v>13</v>
      </c>
    </row>
    <row r="32" spans="1:6" x14ac:dyDescent="0.2">
      <c r="A32" s="8" t="s">
        <v>70</v>
      </c>
      <c r="B32" s="8" t="s">
        <v>54</v>
      </c>
      <c r="C32" s="14">
        <v>423</v>
      </c>
      <c r="D32" s="8" t="s">
        <v>57</v>
      </c>
      <c r="E32" s="14">
        <v>436</v>
      </c>
      <c r="F32" s="14">
        <v>13</v>
      </c>
    </row>
    <row r="33" spans="1:6" x14ac:dyDescent="0.2">
      <c r="A33" s="8" t="s">
        <v>70</v>
      </c>
      <c r="B33" s="8" t="s">
        <v>54</v>
      </c>
      <c r="C33" s="14">
        <v>423</v>
      </c>
      <c r="D33" s="8" t="s">
        <v>63</v>
      </c>
      <c r="E33" s="14">
        <v>416</v>
      </c>
      <c r="F33" s="14">
        <v>7</v>
      </c>
    </row>
    <row r="34" spans="1:6" x14ac:dyDescent="0.2">
      <c r="A34" s="8" t="s">
        <v>70</v>
      </c>
      <c r="B34" s="8" t="s">
        <v>59</v>
      </c>
      <c r="C34" s="14">
        <v>649</v>
      </c>
      <c r="D34" s="8" t="s">
        <v>61</v>
      </c>
      <c r="E34" s="14">
        <v>642</v>
      </c>
      <c r="F34" s="14">
        <v>7</v>
      </c>
    </row>
    <row r="35" spans="1:6" x14ac:dyDescent="0.2">
      <c r="A35" s="8" t="s">
        <v>70</v>
      </c>
      <c r="B35" s="8" t="s">
        <v>59</v>
      </c>
      <c r="C35" s="14">
        <v>649</v>
      </c>
      <c r="D35" s="8" t="s">
        <v>68</v>
      </c>
      <c r="E35" s="14">
        <v>646</v>
      </c>
      <c r="F35" s="14">
        <v>3</v>
      </c>
    </row>
    <row r="36" spans="1:6" x14ac:dyDescent="0.2">
      <c r="A36" s="8" t="s">
        <v>70</v>
      </c>
      <c r="B36" s="8" t="s">
        <v>61</v>
      </c>
      <c r="C36" s="14">
        <v>642</v>
      </c>
      <c r="D36" s="8" t="s">
        <v>68</v>
      </c>
      <c r="E36" s="14">
        <v>646</v>
      </c>
      <c r="F36" s="14">
        <v>4</v>
      </c>
    </row>
    <row r="37" spans="1:6" x14ac:dyDescent="0.2">
      <c r="A37" s="8" t="s">
        <v>71</v>
      </c>
      <c r="B37" s="8" t="s">
        <v>19</v>
      </c>
      <c r="C37" s="14">
        <v>521</v>
      </c>
      <c r="D37" s="8" t="s">
        <v>22</v>
      </c>
      <c r="E37" s="14">
        <v>510</v>
      </c>
      <c r="F37" s="14">
        <v>11</v>
      </c>
    </row>
    <row r="38" spans="1:6" x14ac:dyDescent="0.2">
      <c r="A38" s="8" t="s">
        <v>71</v>
      </c>
      <c r="B38" s="8" t="s">
        <v>19</v>
      </c>
      <c r="C38" s="14">
        <v>521</v>
      </c>
      <c r="D38" s="8" t="s">
        <v>38</v>
      </c>
      <c r="E38" s="14">
        <v>519</v>
      </c>
      <c r="F38" s="14">
        <v>2</v>
      </c>
    </row>
    <row r="39" spans="1:6" x14ac:dyDescent="0.2">
      <c r="A39" s="8" t="s">
        <v>71</v>
      </c>
      <c r="B39" s="8" t="s">
        <v>19</v>
      </c>
      <c r="C39" s="14">
        <v>521</v>
      </c>
      <c r="D39" s="8" t="s">
        <v>61</v>
      </c>
      <c r="E39" s="14">
        <v>531</v>
      </c>
      <c r="F39" s="14">
        <v>10</v>
      </c>
    </row>
    <row r="40" spans="1:6" x14ac:dyDescent="0.2">
      <c r="A40" s="8" t="s">
        <v>71</v>
      </c>
      <c r="B40" s="8" t="s">
        <v>19</v>
      </c>
      <c r="C40" s="14">
        <v>521</v>
      </c>
      <c r="D40" s="8" t="s">
        <v>66</v>
      </c>
      <c r="E40" s="14">
        <v>529</v>
      </c>
      <c r="F40" s="14">
        <v>8</v>
      </c>
    </row>
    <row r="41" spans="1:6" x14ac:dyDescent="0.2">
      <c r="A41" s="8" t="s">
        <v>71</v>
      </c>
      <c r="B41" s="8" t="s">
        <v>20</v>
      </c>
      <c r="C41" s="14">
        <v>208</v>
      </c>
      <c r="D41" s="8" t="s">
        <v>36</v>
      </c>
      <c r="E41" s="14">
        <v>214</v>
      </c>
      <c r="F41" s="14">
        <v>6</v>
      </c>
    </row>
    <row r="42" spans="1:6" x14ac:dyDescent="0.2">
      <c r="A42" s="8" t="s">
        <v>71</v>
      </c>
      <c r="B42" s="8" t="s">
        <v>22</v>
      </c>
      <c r="C42" s="14">
        <v>510</v>
      </c>
      <c r="D42" s="8" t="s">
        <v>38</v>
      </c>
      <c r="E42" s="14">
        <v>519</v>
      </c>
      <c r="F42" s="14">
        <v>9</v>
      </c>
    </row>
    <row r="43" spans="1:6" x14ac:dyDescent="0.2">
      <c r="A43" s="8" t="s">
        <v>71</v>
      </c>
      <c r="B43" s="8" t="s">
        <v>22</v>
      </c>
      <c r="C43" s="14">
        <v>510</v>
      </c>
      <c r="D43" s="8" t="s">
        <v>44</v>
      </c>
      <c r="E43" s="14">
        <v>494</v>
      </c>
      <c r="F43" s="14">
        <v>16</v>
      </c>
    </row>
    <row r="44" spans="1:6" x14ac:dyDescent="0.2">
      <c r="A44" s="8" t="s">
        <v>71</v>
      </c>
      <c r="B44" s="8" t="s">
        <v>22</v>
      </c>
      <c r="C44" s="14">
        <v>510</v>
      </c>
      <c r="D44" s="8" t="s">
        <v>46</v>
      </c>
      <c r="E44" s="14">
        <v>501</v>
      </c>
      <c r="F44" s="14">
        <v>9</v>
      </c>
    </row>
    <row r="45" spans="1:6" x14ac:dyDescent="0.2">
      <c r="A45" s="8" t="s">
        <v>71</v>
      </c>
      <c r="B45" s="8" t="s">
        <v>22</v>
      </c>
      <c r="C45" s="14">
        <v>510</v>
      </c>
      <c r="D45" s="8" t="s">
        <v>54</v>
      </c>
      <c r="E45" s="14">
        <v>491</v>
      </c>
      <c r="F45" s="14">
        <v>19</v>
      </c>
    </row>
    <row r="46" spans="1:6" x14ac:dyDescent="0.2">
      <c r="A46" s="8" t="s">
        <v>71</v>
      </c>
      <c r="B46" s="8" t="s">
        <v>22</v>
      </c>
      <c r="C46" s="14">
        <v>510</v>
      </c>
      <c r="D46" s="8" t="s">
        <v>66</v>
      </c>
      <c r="E46" s="14">
        <v>529</v>
      </c>
      <c r="F46" s="14">
        <v>19</v>
      </c>
    </row>
    <row r="47" spans="1:6" x14ac:dyDescent="0.2">
      <c r="A47" s="8" t="s">
        <v>71</v>
      </c>
      <c r="B47" s="8" t="s">
        <v>24</v>
      </c>
      <c r="C47" s="14">
        <v>273</v>
      </c>
      <c r="D47" s="8" t="s">
        <v>40</v>
      </c>
      <c r="E47" s="14">
        <v>286</v>
      </c>
      <c r="F47" s="14">
        <v>13</v>
      </c>
    </row>
    <row r="48" spans="1:6" x14ac:dyDescent="0.2">
      <c r="A48" s="8" t="s">
        <v>71</v>
      </c>
      <c r="B48" s="8" t="s">
        <v>25</v>
      </c>
      <c r="C48" s="14">
        <v>652</v>
      </c>
      <c r="D48" s="8" t="s">
        <v>59</v>
      </c>
      <c r="E48" s="14">
        <v>645</v>
      </c>
      <c r="F48" s="14">
        <v>7</v>
      </c>
    </row>
    <row r="49" spans="1:6" x14ac:dyDescent="0.2">
      <c r="A49" s="8" t="s">
        <v>71</v>
      </c>
      <c r="B49" s="8" t="s">
        <v>25</v>
      </c>
      <c r="C49" s="14">
        <v>652</v>
      </c>
      <c r="D49" s="8" t="s">
        <v>68</v>
      </c>
      <c r="E49" s="14">
        <v>660</v>
      </c>
      <c r="F49" s="14">
        <v>8</v>
      </c>
    </row>
    <row r="50" spans="1:6" x14ac:dyDescent="0.2">
      <c r="A50" s="8" t="s">
        <v>71</v>
      </c>
      <c r="B50" s="8" t="s">
        <v>27</v>
      </c>
      <c r="C50" s="14">
        <v>490</v>
      </c>
      <c r="D50" s="8" t="s">
        <v>32</v>
      </c>
      <c r="E50" s="14">
        <v>475</v>
      </c>
      <c r="F50" s="14">
        <v>15</v>
      </c>
    </row>
    <row r="51" spans="1:6" x14ac:dyDescent="0.2">
      <c r="A51" s="8" t="s">
        <v>71</v>
      </c>
      <c r="B51" s="8" t="s">
        <v>27</v>
      </c>
      <c r="C51" s="14">
        <v>490</v>
      </c>
      <c r="D51" s="8" t="s">
        <v>44</v>
      </c>
      <c r="E51" s="14">
        <v>494</v>
      </c>
      <c r="F51" s="14">
        <v>4</v>
      </c>
    </row>
    <row r="52" spans="1:6" x14ac:dyDescent="0.2">
      <c r="A52" s="8" t="s">
        <v>71</v>
      </c>
      <c r="B52" s="8" t="s">
        <v>27</v>
      </c>
      <c r="C52" s="14">
        <v>490</v>
      </c>
      <c r="D52" s="8" t="s">
        <v>46</v>
      </c>
      <c r="E52" s="14">
        <v>501</v>
      </c>
      <c r="F52" s="14">
        <v>11</v>
      </c>
    </row>
    <row r="53" spans="1:6" x14ac:dyDescent="0.2">
      <c r="A53" s="8" t="s">
        <v>71</v>
      </c>
      <c r="B53" s="8" t="s">
        <v>27</v>
      </c>
      <c r="C53" s="14">
        <v>490</v>
      </c>
      <c r="D53" s="8" t="s">
        <v>54</v>
      </c>
      <c r="E53" s="14">
        <v>491</v>
      </c>
      <c r="F53" s="14">
        <v>1</v>
      </c>
    </row>
    <row r="54" spans="1:6" x14ac:dyDescent="0.2">
      <c r="A54" s="8" t="s">
        <v>71</v>
      </c>
      <c r="B54" s="8" t="s">
        <v>28</v>
      </c>
      <c r="C54" s="14">
        <v>560</v>
      </c>
      <c r="D54" s="8" t="s">
        <v>57</v>
      </c>
      <c r="E54" s="14">
        <v>573</v>
      </c>
      <c r="F54" s="14">
        <v>13</v>
      </c>
    </row>
    <row r="55" spans="1:6" x14ac:dyDescent="0.2">
      <c r="A55" s="8" t="s">
        <v>71</v>
      </c>
      <c r="B55" s="8" t="s">
        <v>30</v>
      </c>
      <c r="C55" s="14">
        <v>432</v>
      </c>
      <c r="D55" s="8" t="s">
        <v>50</v>
      </c>
      <c r="E55" s="14">
        <v>418</v>
      </c>
      <c r="F55" s="14">
        <v>14</v>
      </c>
    </row>
    <row r="56" spans="1:6" x14ac:dyDescent="0.2">
      <c r="A56" s="8" t="s">
        <v>71</v>
      </c>
      <c r="B56" s="8" t="s">
        <v>30</v>
      </c>
      <c r="C56" s="14">
        <v>432</v>
      </c>
      <c r="D56" s="8" t="s">
        <v>51</v>
      </c>
      <c r="E56" s="14">
        <v>446</v>
      </c>
      <c r="F56" s="14">
        <v>14</v>
      </c>
    </row>
    <row r="57" spans="1:6" x14ac:dyDescent="0.2">
      <c r="A57" s="8" t="s">
        <v>71</v>
      </c>
      <c r="B57" s="8" t="s">
        <v>30</v>
      </c>
      <c r="C57" s="14">
        <v>432</v>
      </c>
      <c r="D57" s="8" t="s">
        <v>52</v>
      </c>
      <c r="E57" s="14">
        <v>449</v>
      </c>
      <c r="F57" s="14">
        <v>17</v>
      </c>
    </row>
    <row r="58" spans="1:6" x14ac:dyDescent="0.2">
      <c r="A58" s="8" t="s">
        <v>71</v>
      </c>
      <c r="B58" s="8" t="s">
        <v>32</v>
      </c>
      <c r="C58" s="14">
        <v>475</v>
      </c>
      <c r="D58" s="8" t="s">
        <v>44</v>
      </c>
      <c r="E58" s="14">
        <v>494</v>
      </c>
      <c r="F58" s="14">
        <v>19</v>
      </c>
    </row>
    <row r="59" spans="1:6" x14ac:dyDescent="0.2">
      <c r="A59" s="8" t="s">
        <v>71</v>
      </c>
      <c r="B59" s="8" t="s">
        <v>32</v>
      </c>
      <c r="C59" s="14">
        <v>475</v>
      </c>
      <c r="D59" s="8" t="s">
        <v>54</v>
      </c>
      <c r="E59" s="14">
        <v>491</v>
      </c>
      <c r="F59" s="14">
        <v>16</v>
      </c>
    </row>
    <row r="60" spans="1:6" x14ac:dyDescent="0.2">
      <c r="A60" s="8" t="s">
        <v>71</v>
      </c>
      <c r="B60" s="8" t="s">
        <v>32</v>
      </c>
      <c r="C60" s="14">
        <v>475</v>
      </c>
      <c r="D60" s="8" t="s">
        <v>65</v>
      </c>
      <c r="E60" s="14">
        <v>466</v>
      </c>
      <c r="F60" s="14">
        <v>9</v>
      </c>
    </row>
    <row r="61" spans="1:6" x14ac:dyDescent="0.2">
      <c r="A61" s="8" t="s">
        <v>71</v>
      </c>
      <c r="B61" s="8" t="s">
        <v>34</v>
      </c>
      <c r="C61" s="14">
        <v>611</v>
      </c>
      <c r="D61" s="8" t="s">
        <v>48</v>
      </c>
      <c r="E61" s="14">
        <v>611</v>
      </c>
      <c r="F61" s="14">
        <v>0</v>
      </c>
    </row>
    <row r="62" spans="1:6" x14ac:dyDescent="0.2">
      <c r="A62" s="8" t="s">
        <v>71</v>
      </c>
      <c r="B62" s="8" t="s">
        <v>34</v>
      </c>
      <c r="C62" s="14">
        <v>611</v>
      </c>
      <c r="D62" s="8" t="s">
        <v>60</v>
      </c>
      <c r="E62" s="14">
        <v>592</v>
      </c>
      <c r="F62" s="14">
        <v>19</v>
      </c>
    </row>
    <row r="63" spans="1:6" x14ac:dyDescent="0.2">
      <c r="A63" s="8" t="s">
        <v>71</v>
      </c>
      <c r="B63" s="8" t="s">
        <v>38</v>
      </c>
      <c r="C63" s="14">
        <v>519</v>
      </c>
      <c r="D63" s="8" t="s">
        <v>46</v>
      </c>
      <c r="E63" s="14">
        <v>501</v>
      </c>
      <c r="F63" s="14">
        <v>18</v>
      </c>
    </row>
    <row r="64" spans="1:6" x14ac:dyDescent="0.2">
      <c r="A64" s="8" t="s">
        <v>71</v>
      </c>
      <c r="B64" s="8" t="s">
        <v>38</v>
      </c>
      <c r="C64" s="14">
        <v>519</v>
      </c>
      <c r="D64" s="8" t="s">
        <v>61</v>
      </c>
      <c r="E64" s="14">
        <v>531</v>
      </c>
      <c r="F64" s="14">
        <v>12</v>
      </c>
    </row>
    <row r="65" spans="1:6" x14ac:dyDescent="0.2">
      <c r="A65" s="8" t="s">
        <v>71</v>
      </c>
      <c r="B65" s="8" t="s">
        <v>38</v>
      </c>
      <c r="C65" s="14">
        <v>519</v>
      </c>
      <c r="D65" s="8" t="s">
        <v>66</v>
      </c>
      <c r="E65" s="14">
        <v>529</v>
      </c>
      <c r="F65" s="14">
        <v>10</v>
      </c>
    </row>
    <row r="66" spans="1:6" x14ac:dyDescent="0.2">
      <c r="A66" s="8" t="s">
        <v>71</v>
      </c>
      <c r="B66" s="8" t="s">
        <v>42</v>
      </c>
      <c r="C66" s="14">
        <v>452</v>
      </c>
      <c r="D66" s="8" t="s">
        <v>51</v>
      </c>
      <c r="E66" s="14">
        <v>446</v>
      </c>
      <c r="F66" s="14">
        <v>6</v>
      </c>
    </row>
    <row r="67" spans="1:6" x14ac:dyDescent="0.2">
      <c r="A67" s="8" t="s">
        <v>71</v>
      </c>
      <c r="B67" s="8" t="s">
        <v>42</v>
      </c>
      <c r="C67" s="14">
        <v>452</v>
      </c>
      <c r="D67" s="8" t="s">
        <v>52</v>
      </c>
      <c r="E67" s="14">
        <v>449</v>
      </c>
      <c r="F67" s="14">
        <v>3</v>
      </c>
    </row>
    <row r="68" spans="1:6" x14ac:dyDescent="0.2">
      <c r="A68" s="8" t="s">
        <v>71</v>
      </c>
      <c r="B68" s="8" t="s">
        <v>42</v>
      </c>
      <c r="C68" s="14">
        <v>452</v>
      </c>
      <c r="D68" s="8" t="s">
        <v>65</v>
      </c>
      <c r="E68" s="14">
        <v>466</v>
      </c>
      <c r="F68" s="14">
        <v>14</v>
      </c>
    </row>
    <row r="69" spans="1:6" x14ac:dyDescent="0.2">
      <c r="A69" s="8" t="s">
        <v>71</v>
      </c>
      <c r="B69" s="8" t="s">
        <v>44</v>
      </c>
      <c r="C69" s="14">
        <v>494</v>
      </c>
      <c r="D69" s="8" t="s">
        <v>46</v>
      </c>
      <c r="E69" s="14">
        <v>501</v>
      </c>
      <c r="F69" s="14">
        <v>7</v>
      </c>
    </row>
    <row r="70" spans="1:6" x14ac:dyDescent="0.2">
      <c r="A70" s="8" t="s">
        <v>71</v>
      </c>
      <c r="B70" s="8" t="s">
        <v>44</v>
      </c>
      <c r="C70" s="14">
        <v>494</v>
      </c>
      <c r="D70" s="8" t="s">
        <v>54</v>
      </c>
      <c r="E70" s="14">
        <v>491</v>
      </c>
      <c r="F70" s="14">
        <v>3</v>
      </c>
    </row>
    <row r="71" spans="1:6" x14ac:dyDescent="0.2">
      <c r="A71" s="8" t="s">
        <v>71</v>
      </c>
      <c r="B71" s="8" t="s">
        <v>46</v>
      </c>
      <c r="C71" s="14">
        <v>501</v>
      </c>
      <c r="D71" s="8" t="s">
        <v>54</v>
      </c>
      <c r="E71" s="14">
        <v>491</v>
      </c>
      <c r="F71" s="14">
        <v>10</v>
      </c>
    </row>
    <row r="72" spans="1:6" x14ac:dyDescent="0.2">
      <c r="A72" s="8" t="s">
        <v>71</v>
      </c>
      <c r="B72" s="8" t="s">
        <v>48</v>
      </c>
      <c r="C72" s="14">
        <v>611</v>
      </c>
      <c r="D72" s="8" t="s">
        <v>60</v>
      </c>
      <c r="E72" s="14">
        <v>592</v>
      </c>
      <c r="F72" s="14">
        <v>19</v>
      </c>
    </row>
    <row r="73" spans="1:6" x14ac:dyDescent="0.2">
      <c r="A73" s="8" t="s">
        <v>71</v>
      </c>
      <c r="B73" s="8" t="s">
        <v>51</v>
      </c>
      <c r="C73" s="14">
        <v>446</v>
      </c>
      <c r="D73" s="8" t="s">
        <v>52</v>
      </c>
      <c r="E73" s="14">
        <v>449</v>
      </c>
      <c r="F73" s="14">
        <v>3</v>
      </c>
    </row>
    <row r="74" spans="1:6" x14ac:dyDescent="0.2">
      <c r="A74" s="8" t="s">
        <v>71</v>
      </c>
      <c r="B74" s="8" t="s">
        <v>52</v>
      </c>
      <c r="C74" s="14">
        <v>449</v>
      </c>
      <c r="D74" s="8" t="s">
        <v>65</v>
      </c>
      <c r="E74" s="14">
        <v>466</v>
      </c>
      <c r="F74" s="14">
        <v>17</v>
      </c>
    </row>
    <row r="75" spans="1:6" x14ac:dyDescent="0.2">
      <c r="A75" s="8" t="s">
        <v>71</v>
      </c>
      <c r="B75" s="8" t="s">
        <v>55</v>
      </c>
      <c r="C75" s="14">
        <v>676</v>
      </c>
      <c r="D75" s="8" t="s">
        <v>68</v>
      </c>
      <c r="E75" s="14">
        <v>660</v>
      </c>
      <c r="F75" s="14">
        <v>16</v>
      </c>
    </row>
    <row r="76" spans="1:6" x14ac:dyDescent="0.2">
      <c r="A76" s="8" t="s">
        <v>71</v>
      </c>
      <c r="B76" s="8" t="s">
        <v>57</v>
      </c>
      <c r="C76" s="14">
        <v>573</v>
      </c>
      <c r="D76" s="8" t="s">
        <v>60</v>
      </c>
      <c r="E76" s="14">
        <v>592</v>
      </c>
      <c r="F76" s="14">
        <v>19</v>
      </c>
    </row>
    <row r="77" spans="1:6" x14ac:dyDescent="0.2">
      <c r="A77" s="8" t="s">
        <v>71</v>
      </c>
      <c r="B77" s="8" t="s">
        <v>59</v>
      </c>
      <c r="C77" s="14">
        <v>645</v>
      </c>
      <c r="D77" s="8" t="s">
        <v>68</v>
      </c>
      <c r="E77" s="14">
        <v>660</v>
      </c>
      <c r="F77" s="14">
        <v>15</v>
      </c>
    </row>
    <row r="78" spans="1:6" x14ac:dyDescent="0.2">
      <c r="A78" s="8" t="s">
        <v>71</v>
      </c>
      <c r="B78" s="8" t="s">
        <v>61</v>
      </c>
      <c r="C78" s="14">
        <v>531</v>
      </c>
      <c r="D78" s="8" t="s">
        <v>66</v>
      </c>
      <c r="E78" s="14">
        <v>529</v>
      </c>
      <c r="F78" s="14">
        <v>2</v>
      </c>
    </row>
    <row r="79" spans="1:6" x14ac:dyDescent="0.2">
      <c r="A79" s="8" t="s">
        <v>72</v>
      </c>
      <c r="B79" s="8" t="s">
        <v>17</v>
      </c>
      <c r="C79" s="14">
        <v>41</v>
      </c>
      <c r="D79" s="8" t="s">
        <v>25</v>
      </c>
      <c r="E79" s="14">
        <v>42</v>
      </c>
      <c r="F79" s="14">
        <v>1</v>
      </c>
    </row>
    <row r="80" spans="1:6" x14ac:dyDescent="0.2">
      <c r="A80" s="8" t="s">
        <v>72</v>
      </c>
      <c r="B80" s="8" t="s">
        <v>19</v>
      </c>
      <c r="C80" s="14">
        <v>6</v>
      </c>
      <c r="D80" s="8" t="s">
        <v>27</v>
      </c>
      <c r="E80" s="14">
        <v>5</v>
      </c>
      <c r="F80" s="14">
        <v>1</v>
      </c>
    </row>
    <row r="81" spans="1:6" x14ac:dyDescent="0.2">
      <c r="A81" s="8" t="s">
        <v>72</v>
      </c>
      <c r="B81" s="8" t="s">
        <v>19</v>
      </c>
      <c r="C81" s="14">
        <v>6</v>
      </c>
      <c r="D81" s="8" t="s">
        <v>30</v>
      </c>
      <c r="E81" s="14">
        <v>7</v>
      </c>
      <c r="F81" s="14">
        <v>1</v>
      </c>
    </row>
    <row r="82" spans="1:6" x14ac:dyDescent="0.2">
      <c r="A82" s="8" t="s">
        <v>72</v>
      </c>
      <c r="B82" s="8" t="s">
        <v>19</v>
      </c>
      <c r="C82" s="14">
        <v>6</v>
      </c>
      <c r="D82" s="8" t="s">
        <v>54</v>
      </c>
      <c r="E82" s="14">
        <v>5</v>
      </c>
      <c r="F82" s="14">
        <v>1</v>
      </c>
    </row>
    <row r="83" spans="1:6" x14ac:dyDescent="0.2">
      <c r="A83" s="8" t="s">
        <v>72</v>
      </c>
      <c r="B83" s="8" t="s">
        <v>19</v>
      </c>
      <c r="C83" s="14">
        <v>6</v>
      </c>
      <c r="D83" s="8" t="s">
        <v>66</v>
      </c>
      <c r="E83" s="14">
        <v>6</v>
      </c>
      <c r="F83" s="14">
        <v>0</v>
      </c>
    </row>
    <row r="84" spans="1:6" x14ac:dyDescent="0.2">
      <c r="A84" s="8" t="s">
        <v>72</v>
      </c>
      <c r="B84" s="8" t="s">
        <v>20</v>
      </c>
      <c r="C84" s="14">
        <v>1</v>
      </c>
      <c r="D84" s="8" t="s">
        <v>24</v>
      </c>
      <c r="E84" s="14">
        <v>1</v>
      </c>
      <c r="F84" s="14">
        <v>0</v>
      </c>
    </row>
    <row r="85" spans="1:6" x14ac:dyDescent="0.2">
      <c r="A85" s="8" t="s">
        <v>72</v>
      </c>
      <c r="B85" s="8" t="s">
        <v>20</v>
      </c>
      <c r="C85" s="14">
        <v>1</v>
      </c>
      <c r="D85" s="8" t="s">
        <v>36</v>
      </c>
      <c r="E85" s="14">
        <v>1</v>
      </c>
      <c r="F85" s="14">
        <v>0</v>
      </c>
    </row>
    <row r="86" spans="1:6" x14ac:dyDescent="0.2">
      <c r="A86" s="8" t="s">
        <v>72</v>
      </c>
      <c r="B86" s="8" t="s">
        <v>20</v>
      </c>
      <c r="C86" s="14">
        <v>1</v>
      </c>
      <c r="D86" s="8" t="s">
        <v>40</v>
      </c>
      <c r="E86" s="14">
        <v>0</v>
      </c>
      <c r="F86" s="14">
        <v>1</v>
      </c>
    </row>
    <row r="87" spans="1:6" x14ac:dyDescent="0.2">
      <c r="A87" s="8" t="s">
        <v>72</v>
      </c>
      <c r="B87" s="8" t="s">
        <v>20</v>
      </c>
      <c r="C87" s="14">
        <v>1</v>
      </c>
      <c r="D87" s="8" t="s">
        <v>63</v>
      </c>
      <c r="E87" s="14">
        <v>1</v>
      </c>
      <c r="F87" s="14">
        <v>0</v>
      </c>
    </row>
    <row r="88" spans="1:6" x14ac:dyDescent="0.2">
      <c r="A88" s="8" t="s">
        <v>72</v>
      </c>
      <c r="B88" s="8" t="s">
        <v>20</v>
      </c>
      <c r="C88" s="14">
        <v>1</v>
      </c>
      <c r="D88" s="8" t="s">
        <v>65</v>
      </c>
      <c r="E88" s="14">
        <v>1</v>
      </c>
      <c r="F88" s="14">
        <v>0</v>
      </c>
    </row>
    <row r="89" spans="1:6" x14ac:dyDescent="0.2">
      <c r="A89" s="8" t="s">
        <v>72</v>
      </c>
      <c r="B89" s="8" t="s">
        <v>22</v>
      </c>
      <c r="C89" s="14">
        <v>8</v>
      </c>
      <c r="D89" s="8" t="s">
        <v>30</v>
      </c>
      <c r="E89" s="14">
        <v>7</v>
      </c>
      <c r="F89" s="14">
        <v>1</v>
      </c>
    </row>
    <row r="90" spans="1:6" x14ac:dyDescent="0.2">
      <c r="A90" s="8" t="s">
        <v>72</v>
      </c>
      <c r="B90" s="8" t="s">
        <v>22</v>
      </c>
      <c r="C90" s="14">
        <v>8</v>
      </c>
      <c r="D90" s="8" t="s">
        <v>38</v>
      </c>
      <c r="E90" s="14">
        <v>8</v>
      </c>
      <c r="F90" s="14">
        <v>0</v>
      </c>
    </row>
    <row r="91" spans="1:6" x14ac:dyDescent="0.2">
      <c r="A91" s="8" t="s">
        <v>72</v>
      </c>
      <c r="B91" s="8" t="s">
        <v>22</v>
      </c>
      <c r="C91" s="14">
        <v>8</v>
      </c>
      <c r="D91" s="8" t="s">
        <v>52</v>
      </c>
      <c r="E91" s="14">
        <v>9</v>
      </c>
      <c r="F91" s="14">
        <v>1</v>
      </c>
    </row>
    <row r="92" spans="1:6" x14ac:dyDescent="0.2">
      <c r="A92" s="8" t="s">
        <v>72</v>
      </c>
      <c r="B92" s="8" t="s">
        <v>22</v>
      </c>
      <c r="C92" s="14">
        <v>8</v>
      </c>
      <c r="D92" s="8" t="s">
        <v>57</v>
      </c>
      <c r="E92" s="14">
        <v>8</v>
      </c>
      <c r="F92" s="14">
        <v>0</v>
      </c>
    </row>
    <row r="93" spans="1:6" x14ac:dyDescent="0.2">
      <c r="A93" s="8" t="s">
        <v>72</v>
      </c>
      <c r="B93" s="8" t="s">
        <v>24</v>
      </c>
      <c r="C93" s="14">
        <v>1</v>
      </c>
      <c r="D93" s="8" t="s">
        <v>36</v>
      </c>
      <c r="E93" s="14">
        <v>1</v>
      </c>
      <c r="F93" s="14">
        <v>0</v>
      </c>
    </row>
    <row r="94" spans="1:6" x14ac:dyDescent="0.2">
      <c r="A94" s="8" t="s">
        <v>72</v>
      </c>
      <c r="B94" s="8" t="s">
        <v>24</v>
      </c>
      <c r="C94" s="14">
        <v>1</v>
      </c>
      <c r="D94" s="8" t="s">
        <v>40</v>
      </c>
      <c r="E94" s="14">
        <v>0</v>
      </c>
      <c r="F94" s="14">
        <v>1</v>
      </c>
    </row>
    <row r="95" spans="1:6" x14ac:dyDescent="0.2">
      <c r="A95" s="8" t="s">
        <v>72</v>
      </c>
      <c r="B95" s="8" t="s">
        <v>24</v>
      </c>
      <c r="C95" s="14">
        <v>1</v>
      </c>
      <c r="D95" s="8" t="s">
        <v>63</v>
      </c>
      <c r="E95" s="14">
        <v>1</v>
      </c>
      <c r="F95" s="14">
        <v>0</v>
      </c>
    </row>
    <row r="96" spans="1:6" x14ac:dyDescent="0.2">
      <c r="A96" s="8" t="s">
        <v>72</v>
      </c>
      <c r="B96" s="8" t="s">
        <v>24</v>
      </c>
      <c r="C96" s="14">
        <v>1</v>
      </c>
      <c r="D96" s="8" t="s">
        <v>65</v>
      </c>
      <c r="E96" s="14">
        <v>1</v>
      </c>
      <c r="F96" s="14">
        <v>0</v>
      </c>
    </row>
    <row r="97" spans="1:6" x14ac:dyDescent="0.2">
      <c r="A97" s="8" t="s">
        <v>72</v>
      </c>
      <c r="B97" s="8" t="s">
        <v>27</v>
      </c>
      <c r="C97" s="14">
        <v>5</v>
      </c>
      <c r="D97" s="8" t="s">
        <v>50</v>
      </c>
      <c r="E97" s="14">
        <v>4</v>
      </c>
      <c r="F97" s="14">
        <v>1</v>
      </c>
    </row>
    <row r="98" spans="1:6" x14ac:dyDescent="0.2">
      <c r="A98" s="8" t="s">
        <v>72</v>
      </c>
      <c r="B98" s="8" t="s">
        <v>27</v>
      </c>
      <c r="C98" s="14">
        <v>5</v>
      </c>
      <c r="D98" s="8" t="s">
        <v>54</v>
      </c>
      <c r="E98" s="14">
        <v>5</v>
      </c>
      <c r="F98" s="14">
        <v>0</v>
      </c>
    </row>
    <row r="99" spans="1:6" x14ac:dyDescent="0.2">
      <c r="A99" s="8" t="s">
        <v>72</v>
      </c>
      <c r="B99" s="8" t="s">
        <v>27</v>
      </c>
      <c r="C99" s="14">
        <v>5</v>
      </c>
      <c r="D99" s="8" t="s">
        <v>66</v>
      </c>
      <c r="E99" s="14">
        <v>6</v>
      </c>
      <c r="F99" s="14">
        <v>1</v>
      </c>
    </row>
    <row r="100" spans="1:6" x14ac:dyDescent="0.2">
      <c r="A100" s="8" t="s">
        <v>72</v>
      </c>
      <c r="B100" s="8" t="s">
        <v>30</v>
      </c>
      <c r="C100" s="14">
        <v>7</v>
      </c>
      <c r="D100" s="8" t="s">
        <v>38</v>
      </c>
      <c r="E100" s="14">
        <v>8</v>
      </c>
      <c r="F100" s="14">
        <v>1</v>
      </c>
    </row>
    <row r="101" spans="1:6" x14ac:dyDescent="0.2">
      <c r="A101" s="8" t="s">
        <v>72</v>
      </c>
      <c r="B101" s="8" t="s">
        <v>30</v>
      </c>
      <c r="C101" s="14">
        <v>7</v>
      </c>
      <c r="D101" s="8" t="s">
        <v>57</v>
      </c>
      <c r="E101" s="14">
        <v>8</v>
      </c>
      <c r="F101" s="14">
        <v>1</v>
      </c>
    </row>
    <row r="102" spans="1:6" x14ac:dyDescent="0.2">
      <c r="A102" s="8" t="s">
        <v>72</v>
      </c>
      <c r="B102" s="8" t="s">
        <v>30</v>
      </c>
      <c r="C102" s="14">
        <v>7</v>
      </c>
      <c r="D102" s="8" t="s">
        <v>66</v>
      </c>
      <c r="E102" s="14">
        <v>6</v>
      </c>
      <c r="F102" s="14">
        <v>1</v>
      </c>
    </row>
    <row r="103" spans="1:6" x14ac:dyDescent="0.2">
      <c r="A103" s="8" t="s">
        <v>72</v>
      </c>
      <c r="B103" s="8" t="s">
        <v>32</v>
      </c>
      <c r="C103" s="14">
        <v>10</v>
      </c>
      <c r="D103" s="8" t="s">
        <v>44</v>
      </c>
      <c r="E103" s="14">
        <v>11</v>
      </c>
      <c r="F103" s="14">
        <v>1</v>
      </c>
    </row>
    <row r="104" spans="1:6" x14ac:dyDescent="0.2">
      <c r="A104" s="8" t="s">
        <v>72</v>
      </c>
      <c r="B104" s="8" t="s">
        <v>32</v>
      </c>
      <c r="C104" s="14">
        <v>10</v>
      </c>
      <c r="D104" s="8" t="s">
        <v>46</v>
      </c>
      <c r="E104" s="14">
        <v>11</v>
      </c>
      <c r="F104" s="14">
        <v>1</v>
      </c>
    </row>
    <row r="105" spans="1:6" x14ac:dyDescent="0.2">
      <c r="A105" s="8" t="s">
        <v>72</v>
      </c>
      <c r="B105" s="8" t="s">
        <v>32</v>
      </c>
      <c r="C105" s="14">
        <v>10</v>
      </c>
      <c r="D105" s="8" t="s">
        <v>51</v>
      </c>
      <c r="E105" s="14">
        <v>11</v>
      </c>
      <c r="F105" s="14">
        <v>1</v>
      </c>
    </row>
    <row r="106" spans="1:6" x14ac:dyDescent="0.2">
      <c r="A106" s="8" t="s">
        <v>72</v>
      </c>
      <c r="B106" s="8" t="s">
        <v>32</v>
      </c>
      <c r="C106" s="14">
        <v>10</v>
      </c>
      <c r="D106" s="8" t="s">
        <v>52</v>
      </c>
      <c r="E106" s="14">
        <v>9</v>
      </c>
      <c r="F106" s="14">
        <v>1</v>
      </c>
    </row>
    <row r="107" spans="1:6" x14ac:dyDescent="0.2">
      <c r="A107" s="8" t="s">
        <v>72</v>
      </c>
      <c r="B107" s="8" t="s">
        <v>33</v>
      </c>
      <c r="C107" s="14">
        <v>34</v>
      </c>
      <c r="D107" s="8" t="s">
        <v>55</v>
      </c>
      <c r="E107" s="14">
        <v>34</v>
      </c>
      <c r="F107" s="14">
        <v>0</v>
      </c>
    </row>
    <row r="108" spans="1:6" x14ac:dyDescent="0.2">
      <c r="A108" s="8" t="s">
        <v>72</v>
      </c>
      <c r="B108" s="8" t="s">
        <v>36</v>
      </c>
      <c r="C108" s="14">
        <v>1</v>
      </c>
      <c r="D108" s="8" t="s">
        <v>40</v>
      </c>
      <c r="E108" s="14">
        <v>0</v>
      </c>
      <c r="F108" s="14">
        <v>1</v>
      </c>
    </row>
    <row r="109" spans="1:6" x14ac:dyDescent="0.2">
      <c r="A109" s="8" t="s">
        <v>72</v>
      </c>
      <c r="B109" s="8" t="s">
        <v>36</v>
      </c>
      <c r="C109" s="14">
        <v>1</v>
      </c>
      <c r="D109" s="8" t="s">
        <v>63</v>
      </c>
      <c r="E109" s="14">
        <v>1</v>
      </c>
      <c r="F109" s="14">
        <v>0</v>
      </c>
    </row>
    <row r="110" spans="1:6" x14ac:dyDescent="0.2">
      <c r="A110" s="8" t="s">
        <v>72</v>
      </c>
      <c r="B110" s="8" t="s">
        <v>36</v>
      </c>
      <c r="C110" s="14">
        <v>1</v>
      </c>
      <c r="D110" s="8" t="s">
        <v>65</v>
      </c>
      <c r="E110" s="14">
        <v>1</v>
      </c>
      <c r="F110" s="14">
        <v>0</v>
      </c>
    </row>
    <row r="111" spans="1:6" x14ac:dyDescent="0.2">
      <c r="A111" s="8" t="s">
        <v>72</v>
      </c>
      <c r="B111" s="8" t="s">
        <v>38</v>
      </c>
      <c r="C111" s="14">
        <v>8</v>
      </c>
      <c r="D111" s="8" t="s">
        <v>52</v>
      </c>
      <c r="E111" s="14">
        <v>9</v>
      </c>
      <c r="F111" s="14">
        <v>1</v>
      </c>
    </row>
    <row r="112" spans="1:6" x14ac:dyDescent="0.2">
      <c r="A112" s="8" t="s">
        <v>72</v>
      </c>
      <c r="B112" s="8" t="s">
        <v>38</v>
      </c>
      <c r="C112" s="14">
        <v>8</v>
      </c>
      <c r="D112" s="8" t="s">
        <v>57</v>
      </c>
      <c r="E112" s="14">
        <v>8</v>
      </c>
      <c r="F112" s="14">
        <v>0</v>
      </c>
    </row>
    <row r="113" spans="1:6" x14ac:dyDescent="0.2">
      <c r="A113" s="8" t="s">
        <v>72</v>
      </c>
      <c r="B113" s="8" t="s">
        <v>40</v>
      </c>
      <c r="C113" s="14">
        <v>0</v>
      </c>
      <c r="D113" s="8" t="s">
        <v>63</v>
      </c>
      <c r="E113" s="14">
        <v>1</v>
      </c>
      <c r="F113" s="14">
        <v>1</v>
      </c>
    </row>
    <row r="114" spans="1:6" x14ac:dyDescent="0.2">
      <c r="A114" s="8" t="s">
        <v>72</v>
      </c>
      <c r="B114" s="8" t="s">
        <v>40</v>
      </c>
      <c r="C114" s="14">
        <v>0</v>
      </c>
      <c r="D114" s="8" t="s">
        <v>65</v>
      </c>
      <c r="E114" s="14">
        <v>1</v>
      </c>
      <c r="F114" s="14">
        <v>1</v>
      </c>
    </row>
    <row r="115" spans="1:6" x14ac:dyDescent="0.2">
      <c r="A115" s="8" t="s">
        <v>72</v>
      </c>
      <c r="B115" s="8" t="s">
        <v>42</v>
      </c>
      <c r="C115" s="14">
        <v>12</v>
      </c>
      <c r="D115" s="8" t="s">
        <v>44</v>
      </c>
      <c r="E115" s="14">
        <v>11</v>
      </c>
      <c r="F115" s="14">
        <v>1</v>
      </c>
    </row>
    <row r="116" spans="1:6" x14ac:dyDescent="0.2">
      <c r="A116" s="8" t="s">
        <v>72</v>
      </c>
      <c r="B116" s="8" t="s">
        <v>42</v>
      </c>
      <c r="C116" s="14">
        <v>12</v>
      </c>
      <c r="D116" s="8" t="s">
        <v>46</v>
      </c>
      <c r="E116" s="14">
        <v>11</v>
      </c>
      <c r="F116" s="14">
        <v>1</v>
      </c>
    </row>
    <row r="117" spans="1:6" x14ac:dyDescent="0.2">
      <c r="A117" s="8" t="s">
        <v>72</v>
      </c>
      <c r="B117" s="8" t="s">
        <v>42</v>
      </c>
      <c r="C117" s="14">
        <v>12</v>
      </c>
      <c r="D117" s="8" t="s">
        <v>51</v>
      </c>
      <c r="E117" s="14">
        <v>11</v>
      </c>
      <c r="F117" s="14">
        <v>1</v>
      </c>
    </row>
    <row r="118" spans="1:6" x14ac:dyDescent="0.2">
      <c r="A118" s="8" t="s">
        <v>72</v>
      </c>
      <c r="B118" s="8" t="s">
        <v>44</v>
      </c>
      <c r="C118" s="14">
        <v>11</v>
      </c>
      <c r="D118" s="8" t="s">
        <v>46</v>
      </c>
      <c r="E118" s="14">
        <v>11</v>
      </c>
      <c r="F118" s="14">
        <v>0</v>
      </c>
    </row>
    <row r="119" spans="1:6" x14ac:dyDescent="0.2">
      <c r="A119" s="8" t="s">
        <v>72</v>
      </c>
      <c r="B119" s="8" t="s">
        <v>44</v>
      </c>
      <c r="C119" s="14">
        <v>11</v>
      </c>
      <c r="D119" s="8" t="s">
        <v>51</v>
      </c>
      <c r="E119" s="14">
        <v>11</v>
      </c>
      <c r="F119" s="14">
        <v>0</v>
      </c>
    </row>
    <row r="120" spans="1:6" x14ac:dyDescent="0.2">
      <c r="A120" s="8" t="s">
        <v>72</v>
      </c>
      <c r="B120" s="8" t="s">
        <v>46</v>
      </c>
      <c r="C120" s="14">
        <v>11</v>
      </c>
      <c r="D120" s="8" t="s">
        <v>51</v>
      </c>
      <c r="E120" s="14">
        <v>11</v>
      </c>
      <c r="F120" s="14">
        <v>0</v>
      </c>
    </row>
    <row r="121" spans="1:6" x14ac:dyDescent="0.2">
      <c r="A121" s="8" t="s">
        <v>72</v>
      </c>
      <c r="B121" s="8" t="s">
        <v>48</v>
      </c>
      <c r="C121" s="14">
        <v>21</v>
      </c>
      <c r="D121" s="8" t="s">
        <v>60</v>
      </c>
      <c r="E121" s="14">
        <v>22</v>
      </c>
      <c r="F121" s="14">
        <v>1</v>
      </c>
    </row>
    <row r="122" spans="1:6" x14ac:dyDescent="0.2">
      <c r="A122" s="8" t="s">
        <v>72</v>
      </c>
      <c r="B122" s="8" t="s">
        <v>50</v>
      </c>
      <c r="C122" s="14">
        <v>4</v>
      </c>
      <c r="D122" s="8" t="s">
        <v>54</v>
      </c>
      <c r="E122" s="14">
        <v>5</v>
      </c>
      <c r="F122" s="14">
        <v>1</v>
      </c>
    </row>
    <row r="123" spans="1:6" x14ac:dyDescent="0.2">
      <c r="A123" s="8" t="s">
        <v>72</v>
      </c>
      <c r="B123" s="8" t="s">
        <v>52</v>
      </c>
      <c r="C123" s="14">
        <v>9</v>
      </c>
      <c r="D123" s="8" t="s">
        <v>57</v>
      </c>
      <c r="E123" s="14">
        <v>8</v>
      </c>
      <c r="F123" s="14">
        <v>1</v>
      </c>
    </row>
    <row r="124" spans="1:6" x14ac:dyDescent="0.2">
      <c r="A124" s="8" t="s">
        <v>72</v>
      </c>
      <c r="B124" s="8" t="s">
        <v>54</v>
      </c>
      <c r="C124" s="14">
        <v>5</v>
      </c>
      <c r="D124" s="8" t="s">
        <v>66</v>
      </c>
      <c r="E124" s="14">
        <v>6</v>
      </c>
      <c r="F124" s="14">
        <v>1</v>
      </c>
    </row>
    <row r="125" spans="1:6" x14ac:dyDescent="0.2">
      <c r="A125" s="8" t="s">
        <v>72</v>
      </c>
      <c r="B125" s="8" t="s">
        <v>63</v>
      </c>
      <c r="C125" s="14">
        <v>1</v>
      </c>
      <c r="D125" s="8" t="s">
        <v>65</v>
      </c>
      <c r="E125" s="14">
        <v>1</v>
      </c>
      <c r="F125" s="14">
        <v>0</v>
      </c>
    </row>
    <row r="126" spans="1:6" x14ac:dyDescent="0.2">
      <c r="A126" s="8" t="s">
        <v>73</v>
      </c>
      <c r="B126" s="8" t="s">
        <v>17</v>
      </c>
      <c r="C126" s="14">
        <v>0.42099999999999999</v>
      </c>
      <c r="D126" s="8" t="s">
        <v>40</v>
      </c>
      <c r="E126" s="14">
        <v>0.42899999999999999</v>
      </c>
      <c r="F126" s="14">
        <v>8.0000000000000106E-3</v>
      </c>
    </row>
    <row r="127" spans="1:6" x14ac:dyDescent="0.2">
      <c r="A127" s="8" t="s">
        <v>73</v>
      </c>
      <c r="B127" s="8" t="s">
        <v>17</v>
      </c>
      <c r="C127" s="14">
        <v>0.42099999999999999</v>
      </c>
      <c r="D127" s="8" t="s">
        <v>65</v>
      </c>
      <c r="E127" s="14">
        <v>0.41199999999999998</v>
      </c>
      <c r="F127" s="14">
        <v>9.0000000000000097E-3</v>
      </c>
    </row>
    <row r="128" spans="1:6" x14ac:dyDescent="0.2">
      <c r="A128" s="8" t="s">
        <v>73</v>
      </c>
      <c r="B128" s="8" t="s">
        <v>19</v>
      </c>
      <c r="C128" s="14">
        <v>0.438</v>
      </c>
      <c r="D128" s="8" t="s">
        <v>40</v>
      </c>
      <c r="E128" s="14">
        <v>0.42899999999999999</v>
      </c>
      <c r="F128" s="14">
        <v>9.0000000000000097E-3</v>
      </c>
    </row>
    <row r="129" spans="1:6" x14ac:dyDescent="0.2">
      <c r="A129" s="8" t="s">
        <v>73</v>
      </c>
      <c r="B129" s="8" t="s">
        <v>19</v>
      </c>
      <c r="C129" s="14">
        <v>0.438</v>
      </c>
      <c r="D129" s="8" t="s">
        <v>57</v>
      </c>
      <c r="E129" s="14">
        <v>0.433</v>
      </c>
      <c r="F129" s="14">
        <v>5.0000000000000001E-3</v>
      </c>
    </row>
    <row r="130" spans="1:6" x14ac:dyDescent="0.2">
      <c r="A130" s="8" t="s">
        <v>73</v>
      </c>
      <c r="B130" s="8" t="s">
        <v>20</v>
      </c>
      <c r="C130" s="14">
        <v>0.56999999999999995</v>
      </c>
      <c r="D130" s="8" t="s">
        <v>30</v>
      </c>
      <c r="E130" s="14">
        <v>0.57099999999999995</v>
      </c>
      <c r="F130" s="14">
        <v>1E-3</v>
      </c>
    </row>
    <row r="131" spans="1:6" x14ac:dyDescent="0.2">
      <c r="A131" s="8" t="s">
        <v>73</v>
      </c>
      <c r="B131" s="8" t="s">
        <v>20</v>
      </c>
      <c r="C131" s="14">
        <v>0.56999999999999995</v>
      </c>
      <c r="D131" s="8" t="s">
        <v>34</v>
      </c>
      <c r="E131" s="14">
        <v>0.57099999999999995</v>
      </c>
      <c r="F131" s="14">
        <v>1E-3</v>
      </c>
    </row>
    <row r="132" spans="1:6" x14ac:dyDescent="0.2">
      <c r="A132" s="8" t="s">
        <v>73</v>
      </c>
      <c r="B132" s="8" t="s">
        <v>22</v>
      </c>
      <c r="C132" s="14">
        <v>0.49399999999999999</v>
      </c>
      <c r="D132" s="8" t="s">
        <v>28</v>
      </c>
      <c r="E132" s="14">
        <v>0.503</v>
      </c>
      <c r="F132" s="14">
        <v>9.0000000000000097E-3</v>
      </c>
    </row>
    <row r="133" spans="1:6" x14ac:dyDescent="0.2">
      <c r="A133" s="8" t="s">
        <v>73</v>
      </c>
      <c r="B133" s="8" t="s">
        <v>22</v>
      </c>
      <c r="C133" s="14">
        <v>0.49399999999999999</v>
      </c>
      <c r="D133" s="8" t="s">
        <v>46</v>
      </c>
      <c r="E133" s="14">
        <v>0.502</v>
      </c>
      <c r="F133" s="14">
        <v>8.0000000000000106E-3</v>
      </c>
    </row>
    <row r="134" spans="1:6" x14ac:dyDescent="0.2">
      <c r="A134" s="8" t="s">
        <v>73</v>
      </c>
      <c r="B134" s="8" t="s">
        <v>22</v>
      </c>
      <c r="C134" s="14">
        <v>0.49399999999999999</v>
      </c>
      <c r="D134" s="8" t="s">
        <v>59</v>
      </c>
      <c r="E134" s="14">
        <v>0.502</v>
      </c>
      <c r="F134" s="14">
        <v>8.0000000000000106E-3</v>
      </c>
    </row>
    <row r="135" spans="1:6" x14ac:dyDescent="0.2">
      <c r="A135" s="8" t="s">
        <v>73</v>
      </c>
      <c r="B135" s="8" t="s">
        <v>22</v>
      </c>
      <c r="C135" s="14">
        <v>0.49399999999999999</v>
      </c>
      <c r="D135" s="8" t="s">
        <v>68</v>
      </c>
      <c r="E135" s="14">
        <v>0.495</v>
      </c>
      <c r="F135" s="14">
        <v>1E-3</v>
      </c>
    </row>
    <row r="136" spans="1:6" x14ac:dyDescent="0.2">
      <c r="A136" s="8" t="s">
        <v>73</v>
      </c>
      <c r="B136" s="8" t="s">
        <v>24</v>
      </c>
      <c r="C136" s="14">
        <v>0.45400000000000001</v>
      </c>
      <c r="D136" s="8" t="s">
        <v>27</v>
      </c>
      <c r="E136" s="14">
        <v>0.45500000000000002</v>
      </c>
      <c r="F136" s="14">
        <v>1E-3</v>
      </c>
    </row>
    <row r="137" spans="1:6" x14ac:dyDescent="0.2">
      <c r="A137" s="8" t="s">
        <v>73</v>
      </c>
      <c r="B137" s="8" t="s">
        <v>24</v>
      </c>
      <c r="C137" s="14">
        <v>0.45400000000000001</v>
      </c>
      <c r="D137" s="8" t="s">
        <v>33</v>
      </c>
      <c r="E137" s="14">
        <v>0.46300000000000002</v>
      </c>
      <c r="F137" s="14">
        <v>9.0000000000000097E-3</v>
      </c>
    </row>
    <row r="138" spans="1:6" x14ac:dyDescent="0.2">
      <c r="A138" s="8" t="s">
        <v>73</v>
      </c>
      <c r="B138" s="8" t="s">
        <v>24</v>
      </c>
      <c r="C138" s="14">
        <v>0.45400000000000001</v>
      </c>
      <c r="D138" s="8" t="s">
        <v>36</v>
      </c>
      <c r="E138" s="14">
        <v>0.44900000000000001</v>
      </c>
      <c r="F138" s="14">
        <v>5.0000000000000001E-3</v>
      </c>
    </row>
    <row r="139" spans="1:6" x14ac:dyDescent="0.2">
      <c r="A139" s="8" t="s">
        <v>73</v>
      </c>
      <c r="B139" s="8" t="s">
        <v>24</v>
      </c>
      <c r="C139" s="14">
        <v>0.45400000000000001</v>
      </c>
      <c r="D139" s="8" t="s">
        <v>54</v>
      </c>
      <c r="E139" s="14">
        <v>0.46300000000000002</v>
      </c>
      <c r="F139" s="14">
        <v>9.0000000000000097E-3</v>
      </c>
    </row>
    <row r="140" spans="1:6" x14ac:dyDescent="0.2">
      <c r="A140" s="8" t="s">
        <v>73</v>
      </c>
      <c r="B140" s="8" t="s">
        <v>25</v>
      </c>
      <c r="C140" s="14">
        <v>0.55200000000000005</v>
      </c>
      <c r="D140" s="8" t="s">
        <v>42</v>
      </c>
      <c r="E140" s="14">
        <v>0.55000000000000004</v>
      </c>
      <c r="F140" s="14">
        <v>2E-3</v>
      </c>
    </row>
    <row r="141" spans="1:6" x14ac:dyDescent="0.2">
      <c r="A141" s="8" t="s">
        <v>73</v>
      </c>
      <c r="B141" s="8" t="s">
        <v>25</v>
      </c>
      <c r="C141" s="14">
        <v>0.55200000000000005</v>
      </c>
      <c r="D141" s="8" t="s">
        <v>50</v>
      </c>
      <c r="E141" s="14">
        <v>0.55000000000000004</v>
      </c>
      <c r="F141" s="14">
        <v>2E-3</v>
      </c>
    </row>
    <row r="142" spans="1:6" x14ac:dyDescent="0.2">
      <c r="A142" s="8" t="s">
        <v>73</v>
      </c>
      <c r="B142" s="8" t="s">
        <v>25</v>
      </c>
      <c r="C142" s="14">
        <v>0.55200000000000005</v>
      </c>
      <c r="D142" s="8" t="s">
        <v>51</v>
      </c>
      <c r="E142" s="14">
        <v>0.55000000000000004</v>
      </c>
      <c r="F142" s="14">
        <v>2E-3</v>
      </c>
    </row>
    <row r="143" spans="1:6" x14ac:dyDescent="0.2">
      <c r="A143" s="8" t="s">
        <v>73</v>
      </c>
      <c r="B143" s="8" t="s">
        <v>25</v>
      </c>
      <c r="C143" s="14">
        <v>0.55200000000000005</v>
      </c>
      <c r="D143" s="8" t="s">
        <v>52</v>
      </c>
      <c r="E143" s="14">
        <v>0.55400000000000005</v>
      </c>
      <c r="F143" s="14">
        <v>2E-3</v>
      </c>
    </row>
    <row r="144" spans="1:6" x14ac:dyDescent="0.2">
      <c r="A144" s="8" t="s">
        <v>73</v>
      </c>
      <c r="B144" s="8" t="s">
        <v>25</v>
      </c>
      <c r="C144" s="14">
        <v>0.55200000000000005</v>
      </c>
      <c r="D144" s="8" t="s">
        <v>61</v>
      </c>
      <c r="E144" s="14">
        <v>0.54700000000000004</v>
      </c>
      <c r="F144" s="14">
        <v>5.0000000000000001E-3</v>
      </c>
    </row>
    <row r="145" spans="1:6" x14ac:dyDescent="0.2">
      <c r="A145" s="8" t="s">
        <v>73</v>
      </c>
      <c r="B145" s="8" t="s">
        <v>27</v>
      </c>
      <c r="C145" s="14">
        <v>0.45500000000000002</v>
      </c>
      <c r="D145" s="8" t="s">
        <v>33</v>
      </c>
      <c r="E145" s="14">
        <v>0.46300000000000002</v>
      </c>
      <c r="F145" s="14">
        <v>8.0000000000000106E-3</v>
      </c>
    </row>
    <row r="146" spans="1:6" x14ac:dyDescent="0.2">
      <c r="A146" s="8" t="s">
        <v>73</v>
      </c>
      <c r="B146" s="8" t="s">
        <v>27</v>
      </c>
      <c r="C146" s="14">
        <v>0.45500000000000002</v>
      </c>
      <c r="D146" s="8" t="s">
        <v>36</v>
      </c>
      <c r="E146" s="14">
        <v>0.44900000000000001</v>
      </c>
      <c r="F146" s="14">
        <v>6.0000000000000097E-3</v>
      </c>
    </row>
    <row r="147" spans="1:6" x14ac:dyDescent="0.2">
      <c r="A147" s="8" t="s">
        <v>73</v>
      </c>
      <c r="B147" s="8" t="s">
        <v>27</v>
      </c>
      <c r="C147" s="14">
        <v>0.45500000000000002</v>
      </c>
      <c r="D147" s="8" t="s">
        <v>54</v>
      </c>
      <c r="E147" s="14">
        <v>0.46300000000000002</v>
      </c>
      <c r="F147" s="14">
        <v>8.0000000000000106E-3</v>
      </c>
    </row>
    <row r="148" spans="1:6" x14ac:dyDescent="0.2">
      <c r="A148" s="8" t="s">
        <v>73</v>
      </c>
      <c r="B148" s="8" t="s">
        <v>28</v>
      </c>
      <c r="C148" s="14">
        <v>0.503</v>
      </c>
      <c r="D148" s="8" t="s">
        <v>44</v>
      </c>
      <c r="E148" s="14">
        <v>0.50900000000000001</v>
      </c>
      <c r="F148" s="14">
        <v>6.0000000000000097E-3</v>
      </c>
    </row>
    <row r="149" spans="1:6" x14ac:dyDescent="0.2">
      <c r="A149" s="8" t="s">
        <v>73</v>
      </c>
      <c r="B149" s="8" t="s">
        <v>28</v>
      </c>
      <c r="C149" s="14">
        <v>0.503</v>
      </c>
      <c r="D149" s="8" t="s">
        <v>46</v>
      </c>
      <c r="E149" s="14">
        <v>0.502</v>
      </c>
      <c r="F149" s="14">
        <v>1E-3</v>
      </c>
    </row>
    <row r="150" spans="1:6" x14ac:dyDescent="0.2">
      <c r="A150" s="8" t="s">
        <v>73</v>
      </c>
      <c r="B150" s="8" t="s">
        <v>28</v>
      </c>
      <c r="C150" s="14">
        <v>0.503</v>
      </c>
      <c r="D150" s="8" t="s">
        <v>48</v>
      </c>
      <c r="E150" s="14">
        <v>0.51</v>
      </c>
      <c r="F150" s="14">
        <v>7.0000000000000097E-3</v>
      </c>
    </row>
    <row r="151" spans="1:6" x14ac:dyDescent="0.2">
      <c r="A151" s="8" t="s">
        <v>73</v>
      </c>
      <c r="B151" s="8" t="s">
        <v>28</v>
      </c>
      <c r="C151" s="14">
        <v>0.503</v>
      </c>
      <c r="D151" s="8" t="s">
        <v>59</v>
      </c>
      <c r="E151" s="14">
        <v>0.502</v>
      </c>
      <c r="F151" s="14">
        <v>1E-3</v>
      </c>
    </row>
    <row r="152" spans="1:6" x14ac:dyDescent="0.2">
      <c r="A152" s="8" t="s">
        <v>73</v>
      </c>
      <c r="B152" s="8" t="s">
        <v>28</v>
      </c>
      <c r="C152" s="14">
        <v>0.503</v>
      </c>
      <c r="D152" s="8" t="s">
        <v>68</v>
      </c>
      <c r="E152" s="14">
        <v>0.495</v>
      </c>
      <c r="F152" s="14">
        <v>8.0000000000000106E-3</v>
      </c>
    </row>
    <row r="153" spans="1:6" x14ac:dyDescent="0.2">
      <c r="A153" s="8" t="s">
        <v>73</v>
      </c>
      <c r="B153" s="8" t="s">
        <v>30</v>
      </c>
      <c r="C153" s="14">
        <v>0.57099999999999995</v>
      </c>
      <c r="D153" s="8" t="s">
        <v>34</v>
      </c>
      <c r="E153" s="14">
        <v>0.57099999999999995</v>
      </c>
      <c r="F153" s="14">
        <v>0</v>
      </c>
    </row>
    <row r="154" spans="1:6" x14ac:dyDescent="0.2">
      <c r="A154" s="8" t="s">
        <v>73</v>
      </c>
      <c r="B154" s="8" t="s">
        <v>32</v>
      </c>
      <c r="C154" s="14">
        <v>0.52800000000000002</v>
      </c>
      <c r="D154" s="8" t="s">
        <v>38</v>
      </c>
      <c r="E154" s="14">
        <v>0.52400000000000002</v>
      </c>
      <c r="F154" s="14">
        <v>4.0000000000000001E-3</v>
      </c>
    </row>
    <row r="155" spans="1:6" x14ac:dyDescent="0.2">
      <c r="A155" s="8" t="s">
        <v>73</v>
      </c>
      <c r="B155" s="8" t="s">
        <v>32</v>
      </c>
      <c r="C155" s="14">
        <v>0.52800000000000002</v>
      </c>
      <c r="D155" s="8" t="s">
        <v>63</v>
      </c>
      <c r="E155" s="14">
        <v>0.52500000000000002</v>
      </c>
      <c r="F155" s="14">
        <v>3.0000000000000001E-3</v>
      </c>
    </row>
    <row r="156" spans="1:6" x14ac:dyDescent="0.2">
      <c r="A156" s="8" t="s">
        <v>73</v>
      </c>
      <c r="B156" s="8" t="s">
        <v>33</v>
      </c>
      <c r="C156" s="14">
        <v>0.46300000000000002</v>
      </c>
      <c r="D156" s="8" t="s">
        <v>54</v>
      </c>
      <c r="E156" s="14">
        <v>0.46300000000000002</v>
      </c>
      <c r="F156" s="14">
        <v>0</v>
      </c>
    </row>
    <row r="157" spans="1:6" x14ac:dyDescent="0.2">
      <c r="A157" s="8" t="s">
        <v>73</v>
      </c>
      <c r="B157" s="8" t="s">
        <v>38</v>
      </c>
      <c r="C157" s="14">
        <v>0.52400000000000002</v>
      </c>
      <c r="D157" s="8" t="s">
        <v>55</v>
      </c>
      <c r="E157" s="14">
        <v>0.51800000000000002</v>
      </c>
      <c r="F157" s="14">
        <v>6.0000000000000097E-3</v>
      </c>
    </row>
    <row r="158" spans="1:6" x14ac:dyDescent="0.2">
      <c r="A158" s="8" t="s">
        <v>73</v>
      </c>
      <c r="B158" s="8" t="s">
        <v>38</v>
      </c>
      <c r="C158" s="14">
        <v>0.52400000000000002</v>
      </c>
      <c r="D158" s="8" t="s">
        <v>63</v>
      </c>
      <c r="E158" s="14">
        <v>0.52500000000000002</v>
      </c>
      <c r="F158" s="14">
        <v>1E-3</v>
      </c>
    </row>
    <row r="159" spans="1:6" x14ac:dyDescent="0.2">
      <c r="A159" s="8" t="s">
        <v>73</v>
      </c>
      <c r="B159" s="8" t="s">
        <v>40</v>
      </c>
      <c r="C159" s="14">
        <v>0.42899999999999999</v>
      </c>
      <c r="D159" s="8" t="s">
        <v>57</v>
      </c>
      <c r="E159" s="14">
        <v>0.433</v>
      </c>
      <c r="F159" s="14">
        <v>4.0000000000000001E-3</v>
      </c>
    </row>
    <row r="160" spans="1:6" x14ac:dyDescent="0.2">
      <c r="A160" s="8" t="s">
        <v>73</v>
      </c>
      <c r="B160" s="8" t="s">
        <v>42</v>
      </c>
      <c r="C160" s="14">
        <v>0.55000000000000004</v>
      </c>
      <c r="D160" s="8" t="s">
        <v>50</v>
      </c>
      <c r="E160" s="14">
        <v>0.55000000000000004</v>
      </c>
      <c r="F160" s="14">
        <v>0</v>
      </c>
    </row>
    <row r="161" spans="1:6" x14ac:dyDescent="0.2">
      <c r="A161" s="8" t="s">
        <v>73</v>
      </c>
      <c r="B161" s="8" t="s">
        <v>42</v>
      </c>
      <c r="C161" s="14">
        <v>0.55000000000000004</v>
      </c>
      <c r="D161" s="8" t="s">
        <v>51</v>
      </c>
      <c r="E161" s="14">
        <v>0.55000000000000004</v>
      </c>
      <c r="F161" s="14">
        <v>0</v>
      </c>
    </row>
    <row r="162" spans="1:6" x14ac:dyDescent="0.2">
      <c r="A162" s="8" t="s">
        <v>73</v>
      </c>
      <c r="B162" s="8" t="s">
        <v>42</v>
      </c>
      <c r="C162" s="14">
        <v>0.55000000000000004</v>
      </c>
      <c r="D162" s="8" t="s">
        <v>52</v>
      </c>
      <c r="E162" s="14">
        <v>0.55400000000000005</v>
      </c>
      <c r="F162" s="14">
        <v>4.0000000000000001E-3</v>
      </c>
    </row>
    <row r="163" spans="1:6" x14ac:dyDescent="0.2">
      <c r="A163" s="8" t="s">
        <v>73</v>
      </c>
      <c r="B163" s="8" t="s">
        <v>42</v>
      </c>
      <c r="C163" s="14">
        <v>0.55000000000000004</v>
      </c>
      <c r="D163" s="8" t="s">
        <v>61</v>
      </c>
      <c r="E163" s="14">
        <v>0.54700000000000004</v>
      </c>
      <c r="F163" s="14">
        <v>3.0000000000000001E-3</v>
      </c>
    </row>
    <row r="164" spans="1:6" x14ac:dyDescent="0.2">
      <c r="A164" s="8" t="s">
        <v>73</v>
      </c>
      <c r="B164" s="8" t="s">
        <v>44</v>
      </c>
      <c r="C164" s="14">
        <v>0.50900000000000001</v>
      </c>
      <c r="D164" s="8" t="s">
        <v>46</v>
      </c>
      <c r="E164" s="14">
        <v>0.502</v>
      </c>
      <c r="F164" s="14">
        <v>7.0000000000000097E-3</v>
      </c>
    </row>
    <row r="165" spans="1:6" x14ac:dyDescent="0.2">
      <c r="A165" s="8" t="s">
        <v>73</v>
      </c>
      <c r="B165" s="8" t="s">
        <v>44</v>
      </c>
      <c r="C165" s="14">
        <v>0.50900000000000001</v>
      </c>
      <c r="D165" s="8" t="s">
        <v>48</v>
      </c>
      <c r="E165" s="14">
        <v>0.51</v>
      </c>
      <c r="F165" s="14">
        <v>1E-3</v>
      </c>
    </row>
    <row r="166" spans="1:6" x14ac:dyDescent="0.2">
      <c r="A166" s="8" t="s">
        <v>73</v>
      </c>
      <c r="B166" s="8" t="s">
        <v>44</v>
      </c>
      <c r="C166" s="14">
        <v>0.50900000000000001</v>
      </c>
      <c r="D166" s="8" t="s">
        <v>55</v>
      </c>
      <c r="E166" s="14">
        <v>0.51800000000000002</v>
      </c>
      <c r="F166" s="14">
        <v>9.0000000000000097E-3</v>
      </c>
    </row>
    <row r="167" spans="1:6" x14ac:dyDescent="0.2">
      <c r="A167" s="8" t="s">
        <v>73</v>
      </c>
      <c r="B167" s="8" t="s">
        <v>44</v>
      </c>
      <c r="C167" s="14">
        <v>0.50900000000000001</v>
      </c>
      <c r="D167" s="8" t="s">
        <v>59</v>
      </c>
      <c r="E167" s="14">
        <v>0.502</v>
      </c>
      <c r="F167" s="14">
        <v>7.0000000000000097E-3</v>
      </c>
    </row>
    <row r="168" spans="1:6" x14ac:dyDescent="0.2">
      <c r="A168" s="8" t="s">
        <v>73</v>
      </c>
      <c r="B168" s="8" t="s">
        <v>46</v>
      </c>
      <c r="C168" s="14">
        <v>0.502</v>
      </c>
      <c r="D168" s="8" t="s">
        <v>48</v>
      </c>
      <c r="E168" s="14">
        <v>0.51</v>
      </c>
      <c r="F168" s="14">
        <v>8.0000000000000106E-3</v>
      </c>
    </row>
    <row r="169" spans="1:6" x14ac:dyDescent="0.2">
      <c r="A169" s="8" t="s">
        <v>73</v>
      </c>
      <c r="B169" s="8" t="s">
        <v>46</v>
      </c>
      <c r="C169" s="14">
        <v>0.502</v>
      </c>
      <c r="D169" s="8" t="s">
        <v>59</v>
      </c>
      <c r="E169" s="14">
        <v>0.502</v>
      </c>
      <c r="F169" s="14">
        <v>0</v>
      </c>
    </row>
    <row r="170" spans="1:6" x14ac:dyDescent="0.2">
      <c r="A170" s="8" t="s">
        <v>73</v>
      </c>
      <c r="B170" s="8" t="s">
        <v>46</v>
      </c>
      <c r="C170" s="14">
        <v>0.502</v>
      </c>
      <c r="D170" s="8" t="s">
        <v>68</v>
      </c>
      <c r="E170" s="14">
        <v>0.495</v>
      </c>
      <c r="F170" s="14">
        <v>7.0000000000000097E-3</v>
      </c>
    </row>
    <row r="171" spans="1:6" x14ac:dyDescent="0.2">
      <c r="A171" s="8" t="s">
        <v>73</v>
      </c>
      <c r="B171" s="8" t="s">
        <v>48</v>
      </c>
      <c r="C171" s="14">
        <v>0.51</v>
      </c>
      <c r="D171" s="8" t="s">
        <v>55</v>
      </c>
      <c r="E171" s="14">
        <v>0.51800000000000002</v>
      </c>
      <c r="F171" s="14">
        <v>8.0000000000000106E-3</v>
      </c>
    </row>
    <row r="172" spans="1:6" x14ac:dyDescent="0.2">
      <c r="A172" s="8" t="s">
        <v>73</v>
      </c>
      <c r="B172" s="8" t="s">
        <v>48</v>
      </c>
      <c r="C172" s="14">
        <v>0.51</v>
      </c>
      <c r="D172" s="8" t="s">
        <v>59</v>
      </c>
      <c r="E172" s="14">
        <v>0.502</v>
      </c>
      <c r="F172" s="14">
        <v>8.0000000000000106E-3</v>
      </c>
    </row>
    <row r="173" spans="1:6" x14ac:dyDescent="0.2">
      <c r="A173" s="8" t="s">
        <v>73</v>
      </c>
      <c r="B173" s="8" t="s">
        <v>50</v>
      </c>
      <c r="C173" s="14">
        <v>0.55000000000000004</v>
      </c>
      <c r="D173" s="8" t="s">
        <v>51</v>
      </c>
      <c r="E173" s="14">
        <v>0.55000000000000004</v>
      </c>
      <c r="F173" s="14">
        <v>0</v>
      </c>
    </row>
    <row r="174" spans="1:6" x14ac:dyDescent="0.2">
      <c r="A174" s="8" t="s">
        <v>73</v>
      </c>
      <c r="B174" s="8" t="s">
        <v>50</v>
      </c>
      <c r="C174" s="14">
        <v>0.55000000000000004</v>
      </c>
      <c r="D174" s="8" t="s">
        <v>52</v>
      </c>
      <c r="E174" s="14">
        <v>0.55400000000000005</v>
      </c>
      <c r="F174" s="14">
        <v>4.0000000000000001E-3</v>
      </c>
    </row>
    <row r="175" spans="1:6" x14ac:dyDescent="0.2">
      <c r="A175" s="8" t="s">
        <v>73</v>
      </c>
      <c r="B175" s="8" t="s">
        <v>50</v>
      </c>
      <c r="C175" s="14">
        <v>0.55000000000000004</v>
      </c>
      <c r="D175" s="8" t="s">
        <v>61</v>
      </c>
      <c r="E175" s="14">
        <v>0.54700000000000004</v>
      </c>
      <c r="F175" s="14">
        <v>3.0000000000000001E-3</v>
      </c>
    </row>
    <row r="176" spans="1:6" x14ac:dyDescent="0.2">
      <c r="A176" s="8" t="s">
        <v>73</v>
      </c>
      <c r="B176" s="8" t="s">
        <v>51</v>
      </c>
      <c r="C176" s="14">
        <v>0.55000000000000004</v>
      </c>
      <c r="D176" s="8" t="s">
        <v>52</v>
      </c>
      <c r="E176" s="14">
        <v>0.55400000000000005</v>
      </c>
      <c r="F176" s="14">
        <v>4.0000000000000001E-3</v>
      </c>
    </row>
    <row r="177" spans="1:6" x14ac:dyDescent="0.2">
      <c r="A177" s="8" t="s">
        <v>73</v>
      </c>
      <c r="B177" s="8" t="s">
        <v>51</v>
      </c>
      <c r="C177" s="14">
        <v>0.55000000000000004</v>
      </c>
      <c r="D177" s="8" t="s">
        <v>61</v>
      </c>
      <c r="E177" s="14">
        <v>0.54700000000000004</v>
      </c>
      <c r="F177" s="14">
        <v>3.0000000000000001E-3</v>
      </c>
    </row>
    <row r="178" spans="1:6" x14ac:dyDescent="0.2">
      <c r="A178" s="8" t="s">
        <v>73</v>
      </c>
      <c r="B178" s="8" t="s">
        <v>52</v>
      </c>
      <c r="C178" s="14">
        <v>0.55400000000000005</v>
      </c>
      <c r="D178" s="8" t="s">
        <v>61</v>
      </c>
      <c r="E178" s="14">
        <v>0.54700000000000004</v>
      </c>
      <c r="F178" s="14">
        <v>7.0000000000000097E-3</v>
      </c>
    </row>
    <row r="179" spans="1:6" x14ac:dyDescent="0.2">
      <c r="A179" s="8" t="s">
        <v>73</v>
      </c>
      <c r="B179" s="8" t="s">
        <v>55</v>
      </c>
      <c r="C179" s="14">
        <v>0.51800000000000002</v>
      </c>
      <c r="D179" s="8" t="s">
        <v>63</v>
      </c>
      <c r="E179" s="14">
        <v>0.52500000000000002</v>
      </c>
      <c r="F179" s="14">
        <v>7.0000000000000097E-3</v>
      </c>
    </row>
    <row r="180" spans="1:6" x14ac:dyDescent="0.2">
      <c r="A180" s="8" t="s">
        <v>73</v>
      </c>
      <c r="B180" s="8" t="s">
        <v>59</v>
      </c>
      <c r="C180" s="14">
        <v>0.502</v>
      </c>
      <c r="D180" s="8" t="s">
        <v>68</v>
      </c>
      <c r="E180" s="14">
        <v>0.495</v>
      </c>
      <c r="F180" s="14">
        <v>7.0000000000000097E-3</v>
      </c>
    </row>
    <row r="181" spans="1:6" x14ac:dyDescent="0.2">
      <c r="A181" s="8" t="s">
        <v>73</v>
      </c>
      <c r="B181" s="8" t="s">
        <v>60</v>
      </c>
      <c r="C181" s="14">
        <v>0.53800000000000003</v>
      </c>
      <c r="D181" s="8" t="s">
        <v>61</v>
      </c>
      <c r="E181" s="14">
        <v>0.54700000000000004</v>
      </c>
      <c r="F181" s="14">
        <v>9.0000000000000097E-3</v>
      </c>
    </row>
    <row r="182" spans="1:6" x14ac:dyDescent="0.2">
      <c r="A182" s="8" t="s">
        <v>74</v>
      </c>
      <c r="B182" s="8" t="s">
        <v>17</v>
      </c>
      <c r="C182" s="14">
        <v>7</v>
      </c>
      <c r="D182" s="8" t="s">
        <v>36</v>
      </c>
      <c r="E182" s="14">
        <v>7</v>
      </c>
      <c r="F182" s="14">
        <v>0</v>
      </c>
    </row>
    <row r="183" spans="1:6" x14ac:dyDescent="0.2">
      <c r="A183" s="8" t="s">
        <v>74</v>
      </c>
      <c r="B183" s="8" t="s">
        <v>17</v>
      </c>
      <c r="C183" s="14">
        <v>7</v>
      </c>
      <c r="D183" s="8" t="s">
        <v>40</v>
      </c>
      <c r="E183" s="14">
        <v>8</v>
      </c>
      <c r="F183" s="14">
        <v>1</v>
      </c>
    </row>
    <row r="184" spans="1:6" x14ac:dyDescent="0.2">
      <c r="A184" s="8" t="s">
        <v>74</v>
      </c>
      <c r="B184" s="8" t="s">
        <v>19</v>
      </c>
      <c r="C184" s="14">
        <v>10</v>
      </c>
      <c r="D184" s="8" t="s">
        <v>24</v>
      </c>
      <c r="E184" s="14">
        <v>9</v>
      </c>
      <c r="F184" s="14">
        <v>1</v>
      </c>
    </row>
    <row r="185" spans="1:6" x14ac:dyDescent="0.2">
      <c r="A185" s="8" t="s">
        <v>74</v>
      </c>
      <c r="B185" s="8" t="s">
        <v>19</v>
      </c>
      <c r="C185" s="14">
        <v>10</v>
      </c>
      <c r="D185" s="8" t="s">
        <v>27</v>
      </c>
      <c r="E185" s="14">
        <v>10</v>
      </c>
      <c r="F185" s="14">
        <v>0</v>
      </c>
    </row>
    <row r="186" spans="1:6" x14ac:dyDescent="0.2">
      <c r="A186" s="8" t="s">
        <v>74</v>
      </c>
      <c r="B186" s="8" t="s">
        <v>19</v>
      </c>
      <c r="C186" s="14">
        <v>10</v>
      </c>
      <c r="D186" s="8" t="s">
        <v>33</v>
      </c>
      <c r="E186" s="14">
        <v>9</v>
      </c>
      <c r="F186" s="14">
        <v>1</v>
      </c>
    </row>
    <row r="187" spans="1:6" x14ac:dyDescent="0.2">
      <c r="A187" s="8" t="s">
        <v>74</v>
      </c>
      <c r="B187" s="8" t="s">
        <v>19</v>
      </c>
      <c r="C187" s="14">
        <v>10</v>
      </c>
      <c r="D187" s="8" t="s">
        <v>54</v>
      </c>
      <c r="E187" s="14">
        <v>10</v>
      </c>
      <c r="F187" s="14">
        <v>0</v>
      </c>
    </row>
    <row r="188" spans="1:6" x14ac:dyDescent="0.2">
      <c r="A188" s="8" t="s">
        <v>74</v>
      </c>
      <c r="B188" s="8" t="s">
        <v>20</v>
      </c>
      <c r="C188" s="14">
        <v>18</v>
      </c>
      <c r="D188" s="8" t="s">
        <v>25</v>
      </c>
      <c r="E188" s="14">
        <v>18</v>
      </c>
      <c r="F188" s="14">
        <v>0</v>
      </c>
    </row>
    <row r="189" spans="1:6" x14ac:dyDescent="0.2">
      <c r="A189" s="8" t="s">
        <v>74</v>
      </c>
      <c r="B189" s="8" t="s">
        <v>20</v>
      </c>
      <c r="C189" s="14">
        <v>18</v>
      </c>
      <c r="D189" s="8" t="s">
        <v>28</v>
      </c>
      <c r="E189" s="14">
        <v>17</v>
      </c>
      <c r="F189" s="14">
        <v>1</v>
      </c>
    </row>
    <row r="190" spans="1:6" x14ac:dyDescent="0.2">
      <c r="A190" s="8" t="s">
        <v>74</v>
      </c>
      <c r="B190" s="8" t="s">
        <v>20</v>
      </c>
      <c r="C190" s="14">
        <v>18</v>
      </c>
      <c r="D190" s="8" t="s">
        <v>63</v>
      </c>
      <c r="E190" s="14">
        <v>19</v>
      </c>
      <c r="F190" s="14">
        <v>1</v>
      </c>
    </row>
    <row r="191" spans="1:6" x14ac:dyDescent="0.2">
      <c r="A191" s="8" t="s">
        <v>74</v>
      </c>
      <c r="B191" s="8" t="s">
        <v>20</v>
      </c>
      <c r="C191" s="14">
        <v>18</v>
      </c>
      <c r="D191" s="8" t="s">
        <v>66</v>
      </c>
      <c r="E191" s="14">
        <v>17</v>
      </c>
      <c r="F191" s="14">
        <v>1</v>
      </c>
    </row>
    <row r="192" spans="1:6" x14ac:dyDescent="0.2">
      <c r="A192" s="8" t="s">
        <v>74</v>
      </c>
      <c r="B192" s="8" t="s">
        <v>22</v>
      </c>
      <c r="C192" s="14">
        <v>22</v>
      </c>
      <c r="D192" s="8" t="s">
        <v>38</v>
      </c>
      <c r="E192" s="14">
        <v>23</v>
      </c>
      <c r="F192" s="14">
        <v>1</v>
      </c>
    </row>
    <row r="193" spans="1:6" x14ac:dyDescent="0.2">
      <c r="A193" s="8" t="s">
        <v>74</v>
      </c>
      <c r="B193" s="8" t="s">
        <v>22</v>
      </c>
      <c r="C193" s="14">
        <v>22</v>
      </c>
      <c r="D193" s="8" t="s">
        <v>51</v>
      </c>
      <c r="E193" s="14">
        <v>21</v>
      </c>
      <c r="F193" s="14">
        <v>1</v>
      </c>
    </row>
    <row r="194" spans="1:6" x14ac:dyDescent="0.2">
      <c r="A194" s="8" t="s">
        <v>74</v>
      </c>
      <c r="B194" s="8" t="s">
        <v>24</v>
      </c>
      <c r="C194" s="14">
        <v>9</v>
      </c>
      <c r="D194" s="8" t="s">
        <v>27</v>
      </c>
      <c r="E194" s="14">
        <v>10</v>
      </c>
      <c r="F194" s="14">
        <v>1</v>
      </c>
    </row>
    <row r="195" spans="1:6" x14ac:dyDescent="0.2">
      <c r="A195" s="8" t="s">
        <v>74</v>
      </c>
      <c r="B195" s="8" t="s">
        <v>24</v>
      </c>
      <c r="C195" s="14">
        <v>9</v>
      </c>
      <c r="D195" s="8" t="s">
        <v>33</v>
      </c>
      <c r="E195" s="14">
        <v>9</v>
      </c>
      <c r="F195" s="14">
        <v>0</v>
      </c>
    </row>
    <row r="196" spans="1:6" x14ac:dyDescent="0.2">
      <c r="A196" s="8" t="s">
        <v>74</v>
      </c>
      <c r="B196" s="8" t="s">
        <v>24</v>
      </c>
      <c r="C196" s="14">
        <v>9</v>
      </c>
      <c r="D196" s="8" t="s">
        <v>40</v>
      </c>
      <c r="E196" s="14">
        <v>8</v>
      </c>
      <c r="F196" s="14">
        <v>1</v>
      </c>
    </row>
    <row r="197" spans="1:6" x14ac:dyDescent="0.2">
      <c r="A197" s="8" t="s">
        <v>74</v>
      </c>
      <c r="B197" s="8" t="s">
        <v>24</v>
      </c>
      <c r="C197" s="14">
        <v>9</v>
      </c>
      <c r="D197" s="8" t="s">
        <v>54</v>
      </c>
      <c r="E197" s="14">
        <v>10</v>
      </c>
      <c r="F197" s="14">
        <v>1</v>
      </c>
    </row>
    <row r="198" spans="1:6" x14ac:dyDescent="0.2">
      <c r="A198" s="8" t="s">
        <v>74</v>
      </c>
      <c r="B198" s="8" t="s">
        <v>25</v>
      </c>
      <c r="C198" s="14">
        <v>18</v>
      </c>
      <c r="D198" s="8" t="s">
        <v>28</v>
      </c>
      <c r="E198" s="14">
        <v>17</v>
      </c>
      <c r="F198" s="14">
        <v>1</v>
      </c>
    </row>
    <row r="199" spans="1:6" x14ac:dyDescent="0.2">
      <c r="A199" s="8" t="s">
        <v>74</v>
      </c>
      <c r="B199" s="8" t="s">
        <v>25</v>
      </c>
      <c r="C199" s="14">
        <v>18</v>
      </c>
      <c r="D199" s="8" t="s">
        <v>63</v>
      </c>
      <c r="E199" s="14">
        <v>19</v>
      </c>
      <c r="F199" s="14">
        <v>1</v>
      </c>
    </row>
    <row r="200" spans="1:6" x14ac:dyDescent="0.2">
      <c r="A200" s="8" t="s">
        <v>74</v>
      </c>
      <c r="B200" s="8" t="s">
        <v>25</v>
      </c>
      <c r="C200" s="14">
        <v>18</v>
      </c>
      <c r="D200" s="8" t="s">
        <v>66</v>
      </c>
      <c r="E200" s="14">
        <v>17</v>
      </c>
      <c r="F200" s="14">
        <v>1</v>
      </c>
    </row>
    <row r="201" spans="1:6" x14ac:dyDescent="0.2">
      <c r="A201" s="8" t="s">
        <v>74</v>
      </c>
      <c r="B201" s="8" t="s">
        <v>27</v>
      </c>
      <c r="C201" s="14">
        <v>10</v>
      </c>
      <c r="D201" s="8" t="s">
        <v>33</v>
      </c>
      <c r="E201" s="14">
        <v>9</v>
      </c>
      <c r="F201" s="14">
        <v>1</v>
      </c>
    </row>
    <row r="202" spans="1:6" x14ac:dyDescent="0.2">
      <c r="A202" s="8" t="s">
        <v>74</v>
      </c>
      <c r="B202" s="8" t="s">
        <v>27</v>
      </c>
      <c r="C202" s="14">
        <v>10</v>
      </c>
      <c r="D202" s="8" t="s">
        <v>54</v>
      </c>
      <c r="E202" s="14">
        <v>10</v>
      </c>
      <c r="F202" s="14">
        <v>0</v>
      </c>
    </row>
    <row r="203" spans="1:6" x14ac:dyDescent="0.2">
      <c r="A203" s="8" t="s">
        <v>74</v>
      </c>
      <c r="B203" s="8" t="s">
        <v>28</v>
      </c>
      <c r="C203" s="14">
        <v>17</v>
      </c>
      <c r="D203" s="8" t="s">
        <v>66</v>
      </c>
      <c r="E203" s="14">
        <v>17</v>
      </c>
      <c r="F203" s="14">
        <v>0</v>
      </c>
    </row>
    <row r="204" spans="1:6" x14ac:dyDescent="0.2">
      <c r="A204" s="8" t="s">
        <v>74</v>
      </c>
      <c r="B204" s="8" t="s">
        <v>30</v>
      </c>
      <c r="C204" s="14">
        <v>36</v>
      </c>
      <c r="D204" s="8" t="s">
        <v>34</v>
      </c>
      <c r="E204" s="14">
        <v>37</v>
      </c>
      <c r="F204" s="14">
        <v>1</v>
      </c>
    </row>
    <row r="205" spans="1:6" x14ac:dyDescent="0.2">
      <c r="A205" s="8" t="s">
        <v>74</v>
      </c>
      <c r="B205" s="8" t="s">
        <v>30</v>
      </c>
      <c r="C205" s="14">
        <v>36</v>
      </c>
      <c r="D205" s="8" t="s">
        <v>60</v>
      </c>
      <c r="E205" s="14">
        <v>36</v>
      </c>
      <c r="F205" s="14">
        <v>0</v>
      </c>
    </row>
    <row r="206" spans="1:6" x14ac:dyDescent="0.2">
      <c r="A206" s="8" t="s">
        <v>74</v>
      </c>
      <c r="B206" s="8" t="s">
        <v>32</v>
      </c>
      <c r="C206" s="14">
        <v>24</v>
      </c>
      <c r="D206" s="8" t="s">
        <v>38</v>
      </c>
      <c r="E206" s="14">
        <v>23</v>
      </c>
      <c r="F206" s="14">
        <v>1</v>
      </c>
    </row>
    <row r="207" spans="1:6" x14ac:dyDescent="0.2">
      <c r="A207" s="8" t="s">
        <v>74</v>
      </c>
      <c r="B207" s="8" t="s">
        <v>32</v>
      </c>
      <c r="C207" s="14">
        <v>24</v>
      </c>
      <c r="D207" s="8" t="s">
        <v>44</v>
      </c>
      <c r="E207" s="14">
        <v>25</v>
      </c>
      <c r="F207" s="14">
        <v>1</v>
      </c>
    </row>
    <row r="208" spans="1:6" x14ac:dyDescent="0.2">
      <c r="A208" s="8" t="s">
        <v>74</v>
      </c>
      <c r="B208" s="8" t="s">
        <v>32</v>
      </c>
      <c r="C208" s="14">
        <v>24</v>
      </c>
      <c r="D208" s="8" t="s">
        <v>55</v>
      </c>
      <c r="E208" s="14">
        <v>25</v>
      </c>
      <c r="F208" s="14">
        <v>1</v>
      </c>
    </row>
    <row r="209" spans="1:6" x14ac:dyDescent="0.2">
      <c r="A209" s="8" t="s">
        <v>74</v>
      </c>
      <c r="B209" s="8" t="s">
        <v>32</v>
      </c>
      <c r="C209" s="14">
        <v>24</v>
      </c>
      <c r="D209" s="8" t="s">
        <v>68</v>
      </c>
      <c r="E209" s="14">
        <v>25</v>
      </c>
      <c r="F209" s="14">
        <v>1</v>
      </c>
    </row>
    <row r="210" spans="1:6" x14ac:dyDescent="0.2">
      <c r="A210" s="8" t="s">
        <v>74</v>
      </c>
      <c r="B210" s="8" t="s">
        <v>33</v>
      </c>
      <c r="C210" s="14">
        <v>9</v>
      </c>
      <c r="D210" s="8" t="s">
        <v>40</v>
      </c>
      <c r="E210" s="14">
        <v>8</v>
      </c>
      <c r="F210" s="14">
        <v>1</v>
      </c>
    </row>
    <row r="211" spans="1:6" x14ac:dyDescent="0.2">
      <c r="A211" s="8" t="s">
        <v>74</v>
      </c>
      <c r="B211" s="8" t="s">
        <v>33</v>
      </c>
      <c r="C211" s="14">
        <v>9</v>
      </c>
      <c r="D211" s="8" t="s">
        <v>54</v>
      </c>
      <c r="E211" s="14">
        <v>10</v>
      </c>
      <c r="F211" s="14">
        <v>1</v>
      </c>
    </row>
    <row r="212" spans="1:6" x14ac:dyDescent="0.2">
      <c r="A212" s="8" t="s">
        <v>74</v>
      </c>
      <c r="B212" s="8" t="s">
        <v>34</v>
      </c>
      <c r="C212" s="14">
        <v>37</v>
      </c>
      <c r="D212" s="8" t="s">
        <v>60</v>
      </c>
      <c r="E212" s="14">
        <v>36</v>
      </c>
      <c r="F212" s="14">
        <v>1</v>
      </c>
    </row>
    <row r="213" spans="1:6" x14ac:dyDescent="0.2">
      <c r="A213" s="8" t="s">
        <v>74</v>
      </c>
      <c r="B213" s="8" t="s">
        <v>36</v>
      </c>
      <c r="C213" s="14">
        <v>7</v>
      </c>
      <c r="D213" s="8" t="s">
        <v>40</v>
      </c>
      <c r="E213" s="14">
        <v>8</v>
      </c>
      <c r="F213" s="14">
        <v>1</v>
      </c>
    </row>
    <row r="214" spans="1:6" x14ac:dyDescent="0.2">
      <c r="A214" s="8" t="s">
        <v>74</v>
      </c>
      <c r="B214" s="8" t="s">
        <v>42</v>
      </c>
      <c r="C214" s="14">
        <v>26</v>
      </c>
      <c r="D214" s="8" t="s">
        <v>44</v>
      </c>
      <c r="E214" s="14">
        <v>25</v>
      </c>
      <c r="F214" s="14">
        <v>1</v>
      </c>
    </row>
    <row r="215" spans="1:6" x14ac:dyDescent="0.2">
      <c r="A215" s="8" t="s">
        <v>74</v>
      </c>
      <c r="B215" s="8" t="s">
        <v>42</v>
      </c>
      <c r="C215" s="14">
        <v>26</v>
      </c>
      <c r="D215" s="8" t="s">
        <v>55</v>
      </c>
      <c r="E215" s="14">
        <v>25</v>
      </c>
      <c r="F215" s="14">
        <v>1</v>
      </c>
    </row>
    <row r="216" spans="1:6" x14ac:dyDescent="0.2">
      <c r="A216" s="8" t="s">
        <v>74</v>
      </c>
      <c r="B216" s="8" t="s">
        <v>42</v>
      </c>
      <c r="C216" s="14">
        <v>26</v>
      </c>
      <c r="D216" s="8" t="s">
        <v>68</v>
      </c>
      <c r="E216" s="14">
        <v>25</v>
      </c>
      <c r="F216" s="14">
        <v>1</v>
      </c>
    </row>
    <row r="217" spans="1:6" x14ac:dyDescent="0.2">
      <c r="A217" s="8" t="s">
        <v>74</v>
      </c>
      <c r="B217" s="8" t="s">
        <v>44</v>
      </c>
      <c r="C217" s="14">
        <v>25</v>
      </c>
      <c r="D217" s="8" t="s">
        <v>55</v>
      </c>
      <c r="E217" s="14">
        <v>25</v>
      </c>
      <c r="F217" s="14">
        <v>0</v>
      </c>
    </row>
    <row r="218" spans="1:6" x14ac:dyDescent="0.2">
      <c r="A218" s="8" t="s">
        <v>74</v>
      </c>
      <c r="B218" s="8" t="s">
        <v>44</v>
      </c>
      <c r="C218" s="14">
        <v>25</v>
      </c>
      <c r="D218" s="8" t="s">
        <v>68</v>
      </c>
      <c r="E218" s="14">
        <v>25</v>
      </c>
      <c r="F218" s="14">
        <v>0</v>
      </c>
    </row>
    <row r="219" spans="1:6" x14ac:dyDescent="0.2">
      <c r="A219" s="8" t="s">
        <v>74</v>
      </c>
      <c r="B219" s="8" t="s">
        <v>46</v>
      </c>
      <c r="C219" s="14">
        <v>12</v>
      </c>
      <c r="D219" s="8" t="s">
        <v>57</v>
      </c>
      <c r="E219" s="14">
        <v>12</v>
      </c>
      <c r="F219" s="14">
        <v>0</v>
      </c>
    </row>
    <row r="220" spans="1:6" x14ac:dyDescent="0.2">
      <c r="A220" s="8" t="s">
        <v>74</v>
      </c>
      <c r="B220" s="8" t="s">
        <v>46</v>
      </c>
      <c r="C220" s="14">
        <v>12</v>
      </c>
      <c r="D220" s="8" t="s">
        <v>65</v>
      </c>
      <c r="E220" s="14">
        <v>12</v>
      </c>
      <c r="F220" s="14">
        <v>0</v>
      </c>
    </row>
    <row r="221" spans="1:6" x14ac:dyDescent="0.2">
      <c r="A221" s="8" t="s">
        <v>74</v>
      </c>
      <c r="B221" s="8" t="s">
        <v>48</v>
      </c>
      <c r="C221" s="14">
        <v>29</v>
      </c>
      <c r="D221" s="8" t="s">
        <v>59</v>
      </c>
      <c r="E221" s="14">
        <v>29</v>
      </c>
      <c r="F221" s="14">
        <v>0</v>
      </c>
    </row>
    <row r="222" spans="1:6" x14ac:dyDescent="0.2">
      <c r="A222" s="8" t="s">
        <v>74</v>
      </c>
      <c r="B222" s="8" t="s">
        <v>50</v>
      </c>
      <c r="C222" s="14">
        <v>20</v>
      </c>
      <c r="D222" s="8" t="s">
        <v>51</v>
      </c>
      <c r="E222" s="14">
        <v>21</v>
      </c>
      <c r="F222" s="14">
        <v>1</v>
      </c>
    </row>
    <row r="223" spans="1:6" x14ac:dyDescent="0.2">
      <c r="A223" s="8" t="s">
        <v>74</v>
      </c>
      <c r="B223" s="8" t="s">
        <v>50</v>
      </c>
      <c r="C223" s="14">
        <v>20</v>
      </c>
      <c r="D223" s="8" t="s">
        <v>63</v>
      </c>
      <c r="E223" s="14">
        <v>19</v>
      </c>
      <c r="F223" s="14">
        <v>1</v>
      </c>
    </row>
    <row r="224" spans="1:6" x14ac:dyDescent="0.2">
      <c r="A224" s="8" t="s">
        <v>74</v>
      </c>
      <c r="B224" s="8" t="s">
        <v>52</v>
      </c>
      <c r="C224" s="14">
        <v>40</v>
      </c>
      <c r="D224" s="8" t="s">
        <v>61</v>
      </c>
      <c r="E224" s="14">
        <v>40</v>
      </c>
      <c r="F224" s="14">
        <v>0</v>
      </c>
    </row>
    <row r="225" spans="1:6" x14ac:dyDescent="0.2">
      <c r="A225" s="8" t="s">
        <v>74</v>
      </c>
      <c r="B225" s="8" t="s">
        <v>55</v>
      </c>
      <c r="C225" s="14">
        <v>25</v>
      </c>
      <c r="D225" s="8" t="s">
        <v>68</v>
      </c>
      <c r="E225" s="14">
        <v>25</v>
      </c>
      <c r="F225" s="14">
        <v>0</v>
      </c>
    </row>
    <row r="226" spans="1:6" x14ac:dyDescent="0.2">
      <c r="A226" s="8" t="s">
        <v>74</v>
      </c>
      <c r="B226" s="8" t="s">
        <v>57</v>
      </c>
      <c r="C226" s="14">
        <v>12</v>
      </c>
      <c r="D226" s="8" t="s">
        <v>65</v>
      </c>
      <c r="E226" s="14">
        <v>12</v>
      </c>
      <c r="F226" s="14">
        <v>0</v>
      </c>
    </row>
    <row r="227" spans="1:6" x14ac:dyDescent="0.2">
      <c r="A227" s="8" t="s">
        <v>75</v>
      </c>
      <c r="B227" s="8" t="s">
        <v>17</v>
      </c>
      <c r="C227" s="14">
        <v>13</v>
      </c>
      <c r="D227" s="8" t="s">
        <v>38</v>
      </c>
      <c r="E227" s="14">
        <v>13</v>
      </c>
      <c r="F227" s="14">
        <v>0</v>
      </c>
    </row>
    <row r="228" spans="1:6" x14ac:dyDescent="0.2">
      <c r="A228" s="8" t="s">
        <v>75</v>
      </c>
      <c r="B228" s="8" t="s">
        <v>17</v>
      </c>
      <c r="C228" s="14">
        <v>13</v>
      </c>
      <c r="D228" s="8" t="s">
        <v>42</v>
      </c>
      <c r="E228" s="14">
        <v>13</v>
      </c>
      <c r="F228" s="14">
        <v>0</v>
      </c>
    </row>
    <row r="229" spans="1:6" x14ac:dyDescent="0.2">
      <c r="A229" s="8" t="s">
        <v>75</v>
      </c>
      <c r="B229" s="8" t="s">
        <v>17</v>
      </c>
      <c r="C229" s="14">
        <v>13</v>
      </c>
      <c r="D229" s="8" t="s">
        <v>51</v>
      </c>
      <c r="E229" s="14">
        <v>14</v>
      </c>
      <c r="F229" s="14">
        <v>1</v>
      </c>
    </row>
    <row r="230" spans="1:6" x14ac:dyDescent="0.2">
      <c r="A230" s="8" t="s">
        <v>75</v>
      </c>
      <c r="B230" s="8" t="s">
        <v>17</v>
      </c>
      <c r="C230" s="14">
        <v>13</v>
      </c>
      <c r="D230" s="8" t="s">
        <v>59</v>
      </c>
      <c r="E230" s="14">
        <v>12</v>
      </c>
      <c r="F230" s="14">
        <v>1</v>
      </c>
    </row>
    <row r="231" spans="1:6" x14ac:dyDescent="0.2">
      <c r="A231" s="8" t="s">
        <v>75</v>
      </c>
      <c r="B231" s="8" t="s">
        <v>19</v>
      </c>
      <c r="C231" s="14">
        <v>2</v>
      </c>
      <c r="D231" s="8" t="s">
        <v>20</v>
      </c>
      <c r="E231" s="14">
        <v>3</v>
      </c>
      <c r="F231" s="14">
        <v>1</v>
      </c>
    </row>
    <row r="232" spans="1:6" x14ac:dyDescent="0.2">
      <c r="A232" s="8" t="s">
        <v>75</v>
      </c>
      <c r="B232" s="8" t="s">
        <v>19</v>
      </c>
      <c r="C232" s="14">
        <v>2</v>
      </c>
      <c r="D232" s="8" t="s">
        <v>24</v>
      </c>
      <c r="E232" s="14">
        <v>2</v>
      </c>
      <c r="F232" s="14">
        <v>0</v>
      </c>
    </row>
    <row r="233" spans="1:6" x14ac:dyDescent="0.2">
      <c r="A233" s="8" t="s">
        <v>75</v>
      </c>
      <c r="B233" s="8" t="s">
        <v>19</v>
      </c>
      <c r="C233" s="14">
        <v>2</v>
      </c>
      <c r="D233" s="8" t="s">
        <v>27</v>
      </c>
      <c r="E233" s="14">
        <v>2</v>
      </c>
      <c r="F233" s="14">
        <v>0</v>
      </c>
    </row>
    <row r="234" spans="1:6" x14ac:dyDescent="0.2">
      <c r="A234" s="8" t="s">
        <v>75</v>
      </c>
      <c r="B234" s="8" t="s">
        <v>19</v>
      </c>
      <c r="C234" s="14">
        <v>2</v>
      </c>
      <c r="D234" s="8" t="s">
        <v>36</v>
      </c>
      <c r="E234" s="14">
        <v>1</v>
      </c>
      <c r="F234" s="14">
        <v>1</v>
      </c>
    </row>
    <row r="235" spans="1:6" x14ac:dyDescent="0.2">
      <c r="A235" s="8" t="s">
        <v>75</v>
      </c>
      <c r="B235" s="8" t="s">
        <v>19</v>
      </c>
      <c r="C235" s="14">
        <v>2</v>
      </c>
      <c r="D235" s="8" t="s">
        <v>40</v>
      </c>
      <c r="E235" s="14">
        <v>1</v>
      </c>
      <c r="F235" s="14">
        <v>1</v>
      </c>
    </row>
    <row r="236" spans="1:6" x14ac:dyDescent="0.2">
      <c r="A236" s="8" t="s">
        <v>75</v>
      </c>
      <c r="B236" s="8" t="s">
        <v>20</v>
      </c>
      <c r="C236" s="14">
        <v>3</v>
      </c>
      <c r="D236" s="8" t="s">
        <v>24</v>
      </c>
      <c r="E236" s="14">
        <v>2</v>
      </c>
      <c r="F236" s="14">
        <v>1</v>
      </c>
    </row>
    <row r="237" spans="1:6" x14ac:dyDescent="0.2">
      <c r="A237" s="8" t="s">
        <v>75</v>
      </c>
      <c r="B237" s="8" t="s">
        <v>20</v>
      </c>
      <c r="C237" s="14">
        <v>3</v>
      </c>
      <c r="D237" s="8" t="s">
        <v>27</v>
      </c>
      <c r="E237" s="14">
        <v>2</v>
      </c>
      <c r="F237" s="14">
        <v>1</v>
      </c>
    </row>
    <row r="238" spans="1:6" x14ac:dyDescent="0.2">
      <c r="A238" s="8" t="s">
        <v>75</v>
      </c>
      <c r="B238" s="8" t="s">
        <v>22</v>
      </c>
      <c r="C238" s="14">
        <v>9</v>
      </c>
      <c r="D238" s="8" t="s">
        <v>32</v>
      </c>
      <c r="E238" s="14">
        <v>9</v>
      </c>
      <c r="F238" s="14">
        <v>0</v>
      </c>
    </row>
    <row r="239" spans="1:6" x14ac:dyDescent="0.2">
      <c r="A239" s="8" t="s">
        <v>75</v>
      </c>
      <c r="B239" s="8" t="s">
        <v>22</v>
      </c>
      <c r="C239" s="14">
        <v>9</v>
      </c>
      <c r="D239" s="8" t="s">
        <v>50</v>
      </c>
      <c r="E239" s="14">
        <v>10</v>
      </c>
      <c r="F239" s="14">
        <v>1</v>
      </c>
    </row>
    <row r="240" spans="1:6" x14ac:dyDescent="0.2">
      <c r="A240" s="8" t="s">
        <v>75</v>
      </c>
      <c r="B240" s="8" t="s">
        <v>22</v>
      </c>
      <c r="C240" s="14">
        <v>9</v>
      </c>
      <c r="D240" s="8" t="s">
        <v>57</v>
      </c>
      <c r="E240" s="14">
        <v>8</v>
      </c>
      <c r="F240" s="14">
        <v>1</v>
      </c>
    </row>
    <row r="241" spans="1:6" x14ac:dyDescent="0.2">
      <c r="A241" s="8" t="s">
        <v>75</v>
      </c>
      <c r="B241" s="8" t="s">
        <v>24</v>
      </c>
      <c r="C241" s="14">
        <v>2</v>
      </c>
      <c r="D241" s="8" t="s">
        <v>27</v>
      </c>
      <c r="E241" s="14">
        <v>2</v>
      </c>
      <c r="F241" s="14">
        <v>0</v>
      </c>
    </row>
    <row r="242" spans="1:6" x14ac:dyDescent="0.2">
      <c r="A242" s="8" t="s">
        <v>75</v>
      </c>
      <c r="B242" s="8" t="s">
        <v>24</v>
      </c>
      <c r="C242" s="14">
        <v>2</v>
      </c>
      <c r="D242" s="8" t="s">
        <v>36</v>
      </c>
      <c r="E242" s="14">
        <v>1</v>
      </c>
      <c r="F242" s="14">
        <v>1</v>
      </c>
    </row>
    <row r="243" spans="1:6" x14ac:dyDescent="0.2">
      <c r="A243" s="8" t="s">
        <v>75</v>
      </c>
      <c r="B243" s="8" t="s">
        <v>24</v>
      </c>
      <c r="C243" s="14">
        <v>2</v>
      </c>
      <c r="D243" s="8" t="s">
        <v>40</v>
      </c>
      <c r="E243" s="14">
        <v>1</v>
      </c>
      <c r="F243" s="14">
        <v>1</v>
      </c>
    </row>
    <row r="244" spans="1:6" x14ac:dyDescent="0.2">
      <c r="A244" s="8" t="s">
        <v>75</v>
      </c>
      <c r="B244" s="8" t="s">
        <v>27</v>
      </c>
      <c r="C244" s="14">
        <v>2</v>
      </c>
      <c r="D244" s="8" t="s">
        <v>36</v>
      </c>
      <c r="E244" s="14">
        <v>1</v>
      </c>
      <c r="F244" s="14">
        <v>1</v>
      </c>
    </row>
    <row r="245" spans="1:6" x14ac:dyDescent="0.2">
      <c r="A245" s="8" t="s">
        <v>75</v>
      </c>
      <c r="B245" s="8" t="s">
        <v>27</v>
      </c>
      <c r="C245" s="14">
        <v>2</v>
      </c>
      <c r="D245" s="8" t="s">
        <v>40</v>
      </c>
      <c r="E245" s="14">
        <v>1</v>
      </c>
      <c r="F245" s="14">
        <v>1</v>
      </c>
    </row>
    <row r="246" spans="1:6" x14ac:dyDescent="0.2">
      <c r="A246" s="8" t="s">
        <v>75</v>
      </c>
      <c r="B246" s="8" t="s">
        <v>28</v>
      </c>
      <c r="C246" s="14">
        <v>16</v>
      </c>
      <c r="D246" s="8" t="s">
        <v>33</v>
      </c>
      <c r="E246" s="14">
        <v>16</v>
      </c>
      <c r="F246" s="14">
        <v>0</v>
      </c>
    </row>
    <row r="247" spans="1:6" x14ac:dyDescent="0.2">
      <c r="A247" s="8" t="s">
        <v>75</v>
      </c>
      <c r="B247" s="8" t="s">
        <v>28</v>
      </c>
      <c r="C247" s="14">
        <v>16</v>
      </c>
      <c r="D247" s="8" t="s">
        <v>48</v>
      </c>
      <c r="E247" s="14">
        <v>16</v>
      </c>
      <c r="F247" s="14">
        <v>0</v>
      </c>
    </row>
    <row r="248" spans="1:6" x14ac:dyDescent="0.2">
      <c r="A248" s="8" t="s">
        <v>75</v>
      </c>
      <c r="B248" s="8" t="s">
        <v>28</v>
      </c>
      <c r="C248" s="14">
        <v>16</v>
      </c>
      <c r="D248" s="8" t="s">
        <v>61</v>
      </c>
      <c r="E248" s="14">
        <v>16</v>
      </c>
      <c r="F248" s="14">
        <v>0</v>
      </c>
    </row>
    <row r="249" spans="1:6" x14ac:dyDescent="0.2">
      <c r="A249" s="8" t="s">
        <v>75</v>
      </c>
      <c r="B249" s="8" t="s">
        <v>28</v>
      </c>
      <c r="C249" s="14">
        <v>16</v>
      </c>
      <c r="D249" s="8" t="s">
        <v>68</v>
      </c>
      <c r="E249" s="14">
        <v>17</v>
      </c>
      <c r="F249" s="14">
        <v>1</v>
      </c>
    </row>
    <row r="250" spans="1:6" x14ac:dyDescent="0.2">
      <c r="A250" s="8" t="s">
        <v>75</v>
      </c>
      <c r="B250" s="8" t="s">
        <v>30</v>
      </c>
      <c r="C250" s="14">
        <v>21</v>
      </c>
      <c r="D250" s="8" t="s">
        <v>55</v>
      </c>
      <c r="E250" s="14">
        <v>21</v>
      </c>
      <c r="F250" s="14">
        <v>0</v>
      </c>
    </row>
    <row r="251" spans="1:6" x14ac:dyDescent="0.2">
      <c r="A251" s="8" t="s">
        <v>75</v>
      </c>
      <c r="B251" s="8" t="s">
        <v>32</v>
      </c>
      <c r="C251" s="14">
        <v>9</v>
      </c>
      <c r="D251" s="8" t="s">
        <v>50</v>
      </c>
      <c r="E251" s="14">
        <v>10</v>
      </c>
      <c r="F251" s="14">
        <v>1</v>
      </c>
    </row>
    <row r="252" spans="1:6" x14ac:dyDescent="0.2">
      <c r="A252" s="8" t="s">
        <v>75</v>
      </c>
      <c r="B252" s="8" t="s">
        <v>32</v>
      </c>
      <c r="C252" s="14">
        <v>9</v>
      </c>
      <c r="D252" s="8" t="s">
        <v>57</v>
      </c>
      <c r="E252" s="14">
        <v>8</v>
      </c>
      <c r="F252" s="14">
        <v>1</v>
      </c>
    </row>
    <row r="253" spans="1:6" x14ac:dyDescent="0.2">
      <c r="A253" s="8" t="s">
        <v>75</v>
      </c>
      <c r="B253" s="8" t="s">
        <v>33</v>
      </c>
      <c r="C253" s="14">
        <v>16</v>
      </c>
      <c r="D253" s="8" t="s">
        <v>48</v>
      </c>
      <c r="E253" s="14">
        <v>16</v>
      </c>
      <c r="F253" s="14">
        <v>0</v>
      </c>
    </row>
    <row r="254" spans="1:6" x14ac:dyDescent="0.2">
      <c r="A254" s="8" t="s">
        <v>75</v>
      </c>
      <c r="B254" s="8" t="s">
        <v>33</v>
      </c>
      <c r="C254" s="14">
        <v>16</v>
      </c>
      <c r="D254" s="8" t="s">
        <v>61</v>
      </c>
      <c r="E254" s="14">
        <v>16</v>
      </c>
      <c r="F254" s="14">
        <v>0</v>
      </c>
    </row>
    <row r="255" spans="1:6" x14ac:dyDescent="0.2">
      <c r="A255" s="8" t="s">
        <v>75</v>
      </c>
      <c r="B255" s="8" t="s">
        <v>33</v>
      </c>
      <c r="C255" s="14">
        <v>16</v>
      </c>
      <c r="D255" s="8" t="s">
        <v>68</v>
      </c>
      <c r="E255" s="14">
        <v>17</v>
      </c>
      <c r="F255" s="14">
        <v>1</v>
      </c>
    </row>
    <row r="256" spans="1:6" x14ac:dyDescent="0.2">
      <c r="A256" s="8" t="s">
        <v>75</v>
      </c>
      <c r="B256" s="8" t="s">
        <v>34</v>
      </c>
      <c r="C256" s="14">
        <v>27</v>
      </c>
      <c r="D256" s="8" t="s">
        <v>60</v>
      </c>
      <c r="E256" s="14">
        <v>26</v>
      </c>
      <c r="F256" s="14">
        <v>1</v>
      </c>
    </row>
    <row r="257" spans="1:6" x14ac:dyDescent="0.2">
      <c r="A257" s="8" t="s">
        <v>75</v>
      </c>
      <c r="B257" s="8" t="s">
        <v>36</v>
      </c>
      <c r="C257" s="14">
        <v>1</v>
      </c>
      <c r="D257" s="8" t="s">
        <v>40</v>
      </c>
      <c r="E257" s="14">
        <v>1</v>
      </c>
      <c r="F257" s="14">
        <v>0</v>
      </c>
    </row>
    <row r="258" spans="1:6" x14ac:dyDescent="0.2">
      <c r="A258" s="8" t="s">
        <v>75</v>
      </c>
      <c r="B258" s="8" t="s">
        <v>38</v>
      </c>
      <c r="C258" s="14">
        <v>13</v>
      </c>
      <c r="D258" s="8" t="s">
        <v>42</v>
      </c>
      <c r="E258" s="14">
        <v>13</v>
      </c>
      <c r="F258" s="14">
        <v>0</v>
      </c>
    </row>
    <row r="259" spans="1:6" x14ac:dyDescent="0.2">
      <c r="A259" s="8" t="s">
        <v>75</v>
      </c>
      <c r="B259" s="8" t="s">
        <v>38</v>
      </c>
      <c r="C259" s="14">
        <v>13</v>
      </c>
      <c r="D259" s="8" t="s">
        <v>51</v>
      </c>
      <c r="E259" s="14">
        <v>14</v>
      </c>
      <c r="F259" s="14">
        <v>1</v>
      </c>
    </row>
    <row r="260" spans="1:6" x14ac:dyDescent="0.2">
      <c r="A260" s="8" t="s">
        <v>75</v>
      </c>
      <c r="B260" s="8" t="s">
        <v>38</v>
      </c>
      <c r="C260" s="14">
        <v>13</v>
      </c>
      <c r="D260" s="8" t="s">
        <v>59</v>
      </c>
      <c r="E260" s="14">
        <v>12</v>
      </c>
      <c r="F260" s="14">
        <v>1</v>
      </c>
    </row>
    <row r="261" spans="1:6" x14ac:dyDescent="0.2">
      <c r="A261" s="8" t="s">
        <v>75</v>
      </c>
      <c r="B261" s="8" t="s">
        <v>42</v>
      </c>
      <c r="C261" s="14">
        <v>13</v>
      </c>
      <c r="D261" s="8" t="s">
        <v>51</v>
      </c>
      <c r="E261" s="14">
        <v>14</v>
      </c>
      <c r="F261" s="14">
        <v>1</v>
      </c>
    </row>
    <row r="262" spans="1:6" x14ac:dyDescent="0.2">
      <c r="A262" s="8" t="s">
        <v>75</v>
      </c>
      <c r="B262" s="8" t="s">
        <v>42</v>
      </c>
      <c r="C262" s="14">
        <v>13</v>
      </c>
      <c r="D262" s="8" t="s">
        <v>59</v>
      </c>
      <c r="E262" s="14">
        <v>12</v>
      </c>
      <c r="F262" s="14">
        <v>1</v>
      </c>
    </row>
    <row r="263" spans="1:6" x14ac:dyDescent="0.2">
      <c r="A263" s="8" t="s">
        <v>75</v>
      </c>
      <c r="B263" s="8" t="s">
        <v>44</v>
      </c>
      <c r="C263" s="14">
        <v>18</v>
      </c>
      <c r="D263" s="8" t="s">
        <v>68</v>
      </c>
      <c r="E263" s="14">
        <v>17</v>
      </c>
      <c r="F263" s="14">
        <v>1</v>
      </c>
    </row>
    <row r="264" spans="1:6" x14ac:dyDescent="0.2">
      <c r="A264" s="8" t="s">
        <v>75</v>
      </c>
      <c r="B264" s="8" t="s">
        <v>46</v>
      </c>
      <c r="C264" s="14">
        <v>11</v>
      </c>
      <c r="D264" s="8" t="s">
        <v>50</v>
      </c>
      <c r="E264" s="14">
        <v>10</v>
      </c>
      <c r="F264" s="14">
        <v>1</v>
      </c>
    </row>
    <row r="265" spans="1:6" x14ac:dyDescent="0.2">
      <c r="A265" s="8" t="s">
        <v>75</v>
      </c>
      <c r="B265" s="8" t="s">
        <v>46</v>
      </c>
      <c r="C265" s="14">
        <v>11</v>
      </c>
      <c r="D265" s="8" t="s">
        <v>59</v>
      </c>
      <c r="E265" s="14">
        <v>12</v>
      </c>
      <c r="F265" s="14">
        <v>1</v>
      </c>
    </row>
    <row r="266" spans="1:6" x14ac:dyDescent="0.2">
      <c r="A266" s="8" t="s">
        <v>75</v>
      </c>
      <c r="B266" s="8" t="s">
        <v>48</v>
      </c>
      <c r="C266" s="14">
        <v>16</v>
      </c>
      <c r="D266" s="8" t="s">
        <v>61</v>
      </c>
      <c r="E266" s="14">
        <v>16</v>
      </c>
      <c r="F266" s="14">
        <v>0</v>
      </c>
    </row>
    <row r="267" spans="1:6" x14ac:dyDescent="0.2">
      <c r="A267" s="8" t="s">
        <v>75</v>
      </c>
      <c r="B267" s="8" t="s">
        <v>48</v>
      </c>
      <c r="C267" s="14">
        <v>16</v>
      </c>
      <c r="D267" s="8" t="s">
        <v>68</v>
      </c>
      <c r="E267" s="14">
        <v>17</v>
      </c>
      <c r="F267" s="14">
        <v>1</v>
      </c>
    </row>
    <row r="268" spans="1:6" x14ac:dyDescent="0.2">
      <c r="A268" s="8" t="s">
        <v>75</v>
      </c>
      <c r="B268" s="8" t="s">
        <v>52</v>
      </c>
      <c r="C268" s="14">
        <v>6</v>
      </c>
      <c r="D268" s="8" t="s">
        <v>54</v>
      </c>
      <c r="E268" s="14">
        <v>5</v>
      </c>
      <c r="F268" s="14">
        <v>1</v>
      </c>
    </row>
    <row r="269" spans="1:6" x14ac:dyDescent="0.2">
      <c r="A269" s="8" t="s">
        <v>75</v>
      </c>
      <c r="B269" s="8" t="s">
        <v>52</v>
      </c>
      <c r="C269" s="14">
        <v>6</v>
      </c>
      <c r="D269" s="8" t="s">
        <v>63</v>
      </c>
      <c r="E269" s="14">
        <v>5</v>
      </c>
      <c r="F269" s="14">
        <v>1</v>
      </c>
    </row>
    <row r="270" spans="1:6" x14ac:dyDescent="0.2">
      <c r="A270" s="8" t="s">
        <v>75</v>
      </c>
      <c r="B270" s="8" t="s">
        <v>52</v>
      </c>
      <c r="C270" s="14">
        <v>6</v>
      </c>
      <c r="D270" s="8" t="s">
        <v>65</v>
      </c>
      <c r="E270" s="14">
        <v>5</v>
      </c>
      <c r="F270" s="14">
        <v>1</v>
      </c>
    </row>
    <row r="271" spans="1:6" x14ac:dyDescent="0.2">
      <c r="A271" s="8" t="s">
        <v>75</v>
      </c>
      <c r="B271" s="8" t="s">
        <v>52</v>
      </c>
      <c r="C271" s="14">
        <v>6</v>
      </c>
      <c r="D271" s="8" t="s">
        <v>66</v>
      </c>
      <c r="E271" s="14">
        <v>7</v>
      </c>
      <c r="F271" s="14">
        <v>1</v>
      </c>
    </row>
    <row r="272" spans="1:6" x14ac:dyDescent="0.2">
      <c r="A272" s="8" t="s">
        <v>75</v>
      </c>
      <c r="B272" s="8" t="s">
        <v>54</v>
      </c>
      <c r="C272" s="14">
        <v>5</v>
      </c>
      <c r="D272" s="8" t="s">
        <v>63</v>
      </c>
      <c r="E272" s="14">
        <v>5</v>
      </c>
      <c r="F272" s="14">
        <v>0</v>
      </c>
    </row>
    <row r="273" spans="1:6" x14ac:dyDescent="0.2">
      <c r="A273" s="8" t="s">
        <v>75</v>
      </c>
      <c r="B273" s="8" t="s">
        <v>54</v>
      </c>
      <c r="C273" s="14">
        <v>5</v>
      </c>
      <c r="D273" s="8" t="s">
        <v>65</v>
      </c>
      <c r="E273" s="14">
        <v>5</v>
      </c>
      <c r="F273" s="14">
        <v>0</v>
      </c>
    </row>
    <row r="274" spans="1:6" x14ac:dyDescent="0.2">
      <c r="A274" s="8" t="s">
        <v>75</v>
      </c>
      <c r="B274" s="8" t="s">
        <v>57</v>
      </c>
      <c r="C274" s="14">
        <v>8</v>
      </c>
      <c r="D274" s="8" t="s">
        <v>66</v>
      </c>
      <c r="E274" s="14">
        <v>7</v>
      </c>
      <c r="F274" s="14">
        <v>1</v>
      </c>
    </row>
    <row r="275" spans="1:6" x14ac:dyDescent="0.2">
      <c r="A275" s="8" t="s">
        <v>75</v>
      </c>
      <c r="B275" s="8" t="s">
        <v>61</v>
      </c>
      <c r="C275" s="14">
        <v>16</v>
      </c>
      <c r="D275" s="8" t="s">
        <v>68</v>
      </c>
      <c r="E275" s="14">
        <v>17</v>
      </c>
      <c r="F275" s="14">
        <v>1</v>
      </c>
    </row>
    <row r="276" spans="1:6" x14ac:dyDescent="0.2">
      <c r="A276" s="8" t="s">
        <v>75</v>
      </c>
      <c r="B276" s="8" t="s">
        <v>63</v>
      </c>
      <c r="C276" s="14">
        <v>5</v>
      </c>
      <c r="D276" s="8" t="s">
        <v>65</v>
      </c>
      <c r="E276" s="14">
        <v>5</v>
      </c>
      <c r="F276" s="14">
        <v>0</v>
      </c>
    </row>
    <row r="277" spans="1:6" x14ac:dyDescent="0.2">
      <c r="A277" s="8" t="s">
        <v>76</v>
      </c>
      <c r="B277" s="8" t="s">
        <v>19</v>
      </c>
      <c r="C277" s="14">
        <v>1966</v>
      </c>
      <c r="D277" s="8" t="s">
        <v>27</v>
      </c>
      <c r="E277" s="14">
        <v>1968</v>
      </c>
      <c r="F277" s="14">
        <v>2</v>
      </c>
    </row>
    <row r="278" spans="1:6" x14ac:dyDescent="0.2">
      <c r="A278" s="8" t="s">
        <v>76</v>
      </c>
      <c r="B278" s="8" t="s">
        <v>19</v>
      </c>
      <c r="C278" s="14">
        <v>1966</v>
      </c>
      <c r="D278" s="8" t="s">
        <v>50</v>
      </c>
      <c r="E278" s="14">
        <v>1966</v>
      </c>
      <c r="F278" s="14">
        <v>0</v>
      </c>
    </row>
    <row r="279" spans="1:6" x14ac:dyDescent="0.2">
      <c r="A279" s="8" t="s">
        <v>76</v>
      </c>
      <c r="B279" s="8" t="s">
        <v>19</v>
      </c>
      <c r="C279" s="14">
        <v>1966</v>
      </c>
      <c r="D279" s="8" t="s">
        <v>54</v>
      </c>
      <c r="E279" s="14">
        <v>1967</v>
      </c>
      <c r="F279" s="14">
        <v>1</v>
      </c>
    </row>
    <row r="280" spans="1:6" x14ac:dyDescent="0.2">
      <c r="A280" s="8" t="s">
        <v>76</v>
      </c>
      <c r="B280" s="8" t="s">
        <v>20</v>
      </c>
      <c r="C280" s="14">
        <v>1996</v>
      </c>
      <c r="D280" s="8" t="s">
        <v>24</v>
      </c>
      <c r="E280" s="14">
        <v>1995</v>
      </c>
      <c r="F280" s="14">
        <v>1</v>
      </c>
    </row>
    <row r="281" spans="1:6" x14ac:dyDescent="0.2">
      <c r="A281" s="8" t="s">
        <v>76</v>
      </c>
      <c r="B281" s="8" t="s">
        <v>20</v>
      </c>
      <c r="C281" s="14">
        <v>1996</v>
      </c>
      <c r="D281" s="8" t="s">
        <v>40</v>
      </c>
      <c r="E281" s="14">
        <v>1995</v>
      </c>
      <c r="F281" s="14">
        <v>1</v>
      </c>
    </row>
    <row r="282" spans="1:6" x14ac:dyDescent="0.2">
      <c r="A282" s="8" t="s">
        <v>76</v>
      </c>
      <c r="B282" s="8" t="s">
        <v>20</v>
      </c>
      <c r="C282" s="14">
        <v>1996</v>
      </c>
      <c r="D282" s="8" t="s">
        <v>66</v>
      </c>
      <c r="E282" s="14">
        <v>1997</v>
      </c>
      <c r="F282" s="14">
        <v>1</v>
      </c>
    </row>
    <row r="283" spans="1:6" x14ac:dyDescent="0.2">
      <c r="A283" s="8" t="s">
        <v>76</v>
      </c>
      <c r="B283" s="8" t="s">
        <v>22</v>
      </c>
      <c r="C283" s="14">
        <v>1960</v>
      </c>
      <c r="D283" s="8" t="s">
        <v>30</v>
      </c>
      <c r="E283" s="14">
        <v>1960</v>
      </c>
      <c r="F283" s="14">
        <v>0</v>
      </c>
    </row>
    <row r="284" spans="1:6" x14ac:dyDescent="0.2">
      <c r="A284" s="8" t="s">
        <v>76</v>
      </c>
      <c r="B284" s="8" t="s">
        <v>22</v>
      </c>
      <c r="C284" s="14">
        <v>1960</v>
      </c>
      <c r="D284" s="8" t="s">
        <v>32</v>
      </c>
      <c r="E284" s="14">
        <v>1960</v>
      </c>
      <c r="F284" s="14">
        <v>0</v>
      </c>
    </row>
    <row r="285" spans="1:6" x14ac:dyDescent="0.2">
      <c r="A285" s="8" t="s">
        <v>76</v>
      </c>
      <c r="B285" s="8" t="s">
        <v>22</v>
      </c>
      <c r="C285" s="14">
        <v>1960</v>
      </c>
      <c r="D285" s="8" t="s">
        <v>51</v>
      </c>
      <c r="E285" s="14">
        <v>1961</v>
      </c>
      <c r="F285" s="14">
        <v>1</v>
      </c>
    </row>
    <row r="286" spans="1:6" x14ac:dyDescent="0.2">
      <c r="A286" s="8" t="s">
        <v>76</v>
      </c>
      <c r="B286" s="8" t="s">
        <v>22</v>
      </c>
      <c r="C286" s="14">
        <v>1960</v>
      </c>
      <c r="D286" s="8" t="s">
        <v>52</v>
      </c>
      <c r="E286" s="14">
        <v>1960</v>
      </c>
      <c r="F286" s="14">
        <v>0</v>
      </c>
    </row>
    <row r="287" spans="1:6" x14ac:dyDescent="0.2">
      <c r="A287" s="8" t="s">
        <v>76</v>
      </c>
      <c r="B287" s="8" t="s">
        <v>22</v>
      </c>
      <c r="C287" s="14">
        <v>1960</v>
      </c>
      <c r="D287" s="8" t="s">
        <v>57</v>
      </c>
      <c r="E287" s="14">
        <v>1960</v>
      </c>
      <c r="F287" s="14">
        <v>0</v>
      </c>
    </row>
    <row r="288" spans="1:6" x14ac:dyDescent="0.2">
      <c r="A288" s="8" t="s">
        <v>76</v>
      </c>
      <c r="B288" s="8" t="s">
        <v>24</v>
      </c>
      <c r="C288" s="14">
        <v>1995</v>
      </c>
      <c r="D288" s="8" t="s">
        <v>40</v>
      </c>
      <c r="E288" s="14">
        <v>1995</v>
      </c>
      <c r="F288" s="14">
        <v>0</v>
      </c>
    </row>
    <row r="289" spans="1:6" x14ac:dyDescent="0.2">
      <c r="A289" s="8" t="s">
        <v>76</v>
      </c>
      <c r="B289" s="8" t="s">
        <v>24</v>
      </c>
      <c r="C289" s="14">
        <v>1995</v>
      </c>
      <c r="D289" s="8" t="s">
        <v>66</v>
      </c>
      <c r="E289" s="14">
        <v>1997</v>
      </c>
      <c r="F289" s="14">
        <v>2</v>
      </c>
    </row>
    <row r="290" spans="1:6" x14ac:dyDescent="0.2">
      <c r="A290" s="8" t="s">
        <v>76</v>
      </c>
      <c r="B290" s="8" t="s">
        <v>25</v>
      </c>
      <c r="C290" s="14">
        <v>1921</v>
      </c>
      <c r="D290" s="8" t="s">
        <v>34</v>
      </c>
      <c r="E290" s="14">
        <v>1921</v>
      </c>
      <c r="F290" s="14">
        <v>0</v>
      </c>
    </row>
    <row r="291" spans="1:6" x14ac:dyDescent="0.2">
      <c r="A291" s="8" t="s">
        <v>76</v>
      </c>
      <c r="B291" s="8" t="s">
        <v>27</v>
      </c>
      <c r="C291" s="14">
        <v>1968</v>
      </c>
      <c r="D291" s="8" t="s">
        <v>50</v>
      </c>
      <c r="E291" s="14">
        <v>1966</v>
      </c>
      <c r="F291" s="14">
        <v>2</v>
      </c>
    </row>
    <row r="292" spans="1:6" x14ac:dyDescent="0.2">
      <c r="A292" s="8" t="s">
        <v>76</v>
      </c>
      <c r="B292" s="8" t="s">
        <v>27</v>
      </c>
      <c r="C292" s="14">
        <v>1968</v>
      </c>
      <c r="D292" s="8" t="s">
        <v>54</v>
      </c>
      <c r="E292" s="14">
        <v>1967</v>
      </c>
      <c r="F292" s="14">
        <v>1</v>
      </c>
    </row>
    <row r="293" spans="1:6" x14ac:dyDescent="0.2">
      <c r="A293" s="8" t="s">
        <v>76</v>
      </c>
      <c r="B293" s="8" t="s">
        <v>28</v>
      </c>
      <c r="C293" s="14">
        <v>1946</v>
      </c>
      <c r="D293" s="8" t="s">
        <v>61</v>
      </c>
      <c r="E293" s="14">
        <v>1946</v>
      </c>
      <c r="F293" s="14">
        <v>0</v>
      </c>
    </row>
    <row r="294" spans="1:6" x14ac:dyDescent="0.2">
      <c r="A294" s="8" t="s">
        <v>76</v>
      </c>
      <c r="B294" s="8" t="s">
        <v>30</v>
      </c>
      <c r="C294" s="14">
        <v>1960</v>
      </c>
      <c r="D294" s="8" t="s">
        <v>32</v>
      </c>
      <c r="E294" s="14">
        <v>1960</v>
      </c>
      <c r="F294" s="14">
        <v>0</v>
      </c>
    </row>
    <row r="295" spans="1:6" x14ac:dyDescent="0.2">
      <c r="A295" s="8" t="s">
        <v>76</v>
      </c>
      <c r="B295" s="8" t="s">
        <v>30</v>
      </c>
      <c r="C295" s="14">
        <v>1960</v>
      </c>
      <c r="D295" s="8" t="s">
        <v>51</v>
      </c>
      <c r="E295" s="14">
        <v>1961</v>
      </c>
      <c r="F295" s="14">
        <v>1</v>
      </c>
    </row>
    <row r="296" spans="1:6" x14ac:dyDescent="0.2">
      <c r="A296" s="8" t="s">
        <v>76</v>
      </c>
      <c r="B296" s="8" t="s">
        <v>30</v>
      </c>
      <c r="C296" s="14">
        <v>1960</v>
      </c>
      <c r="D296" s="8" t="s">
        <v>52</v>
      </c>
      <c r="E296" s="14">
        <v>1960</v>
      </c>
      <c r="F296" s="14">
        <v>0</v>
      </c>
    </row>
    <row r="297" spans="1:6" x14ac:dyDescent="0.2">
      <c r="A297" s="8" t="s">
        <v>76</v>
      </c>
      <c r="B297" s="8" t="s">
        <v>30</v>
      </c>
      <c r="C297" s="14">
        <v>1960</v>
      </c>
      <c r="D297" s="8" t="s">
        <v>57</v>
      </c>
      <c r="E297" s="14">
        <v>1960</v>
      </c>
      <c r="F297" s="14">
        <v>0</v>
      </c>
    </row>
    <row r="298" spans="1:6" x14ac:dyDescent="0.2">
      <c r="A298" s="8" t="s">
        <v>76</v>
      </c>
      <c r="B298" s="8" t="s">
        <v>32</v>
      </c>
      <c r="C298" s="14">
        <v>1960</v>
      </c>
      <c r="D298" s="8" t="s">
        <v>51</v>
      </c>
      <c r="E298" s="14">
        <v>1961</v>
      </c>
      <c r="F298" s="14">
        <v>1</v>
      </c>
    </row>
    <row r="299" spans="1:6" x14ac:dyDescent="0.2">
      <c r="A299" s="8" t="s">
        <v>76</v>
      </c>
      <c r="B299" s="8" t="s">
        <v>32</v>
      </c>
      <c r="C299" s="14">
        <v>1960</v>
      </c>
      <c r="D299" s="8" t="s">
        <v>52</v>
      </c>
      <c r="E299" s="14">
        <v>1960</v>
      </c>
      <c r="F299" s="14">
        <v>0</v>
      </c>
    </row>
    <row r="300" spans="1:6" x14ac:dyDescent="0.2">
      <c r="A300" s="8" t="s">
        <v>76</v>
      </c>
      <c r="B300" s="8" t="s">
        <v>32</v>
      </c>
      <c r="C300" s="14">
        <v>1960</v>
      </c>
      <c r="D300" s="8" t="s">
        <v>57</v>
      </c>
      <c r="E300" s="14">
        <v>1960</v>
      </c>
      <c r="F300" s="14">
        <v>0</v>
      </c>
    </row>
    <row r="301" spans="1:6" x14ac:dyDescent="0.2">
      <c r="A301" s="8" t="s">
        <v>76</v>
      </c>
      <c r="B301" s="8" t="s">
        <v>33</v>
      </c>
      <c r="C301" s="14">
        <v>1934</v>
      </c>
      <c r="D301" s="8" t="s">
        <v>59</v>
      </c>
      <c r="E301" s="14">
        <v>1933</v>
      </c>
      <c r="F301" s="14">
        <v>1</v>
      </c>
    </row>
    <row r="302" spans="1:6" x14ac:dyDescent="0.2">
      <c r="A302" s="8" t="s">
        <v>76</v>
      </c>
      <c r="B302" s="8" t="s">
        <v>33</v>
      </c>
      <c r="C302" s="14">
        <v>1934</v>
      </c>
      <c r="D302" s="8" t="s">
        <v>60</v>
      </c>
      <c r="E302" s="14">
        <v>1933</v>
      </c>
      <c r="F302" s="14">
        <v>1</v>
      </c>
    </row>
    <row r="303" spans="1:6" x14ac:dyDescent="0.2">
      <c r="A303" s="8" t="s">
        <v>76</v>
      </c>
      <c r="B303" s="8" t="s">
        <v>40</v>
      </c>
      <c r="C303" s="14">
        <v>1995</v>
      </c>
      <c r="D303" s="8" t="s">
        <v>66</v>
      </c>
      <c r="E303" s="14">
        <v>1997</v>
      </c>
      <c r="F303" s="14">
        <v>2</v>
      </c>
    </row>
    <row r="304" spans="1:6" x14ac:dyDescent="0.2">
      <c r="A304" s="8" t="s">
        <v>76</v>
      </c>
      <c r="B304" s="8" t="s">
        <v>42</v>
      </c>
      <c r="C304" s="14">
        <v>1963</v>
      </c>
      <c r="D304" s="8" t="s">
        <v>51</v>
      </c>
      <c r="E304" s="14">
        <v>1961</v>
      </c>
      <c r="F304" s="14">
        <v>2</v>
      </c>
    </row>
    <row r="305" spans="1:6" x14ac:dyDescent="0.2">
      <c r="A305" s="8" t="s">
        <v>76</v>
      </c>
      <c r="B305" s="8" t="s">
        <v>46</v>
      </c>
      <c r="C305" s="14">
        <v>2017</v>
      </c>
      <c r="D305" s="8" t="s">
        <v>48</v>
      </c>
      <c r="E305" s="14">
        <v>2016</v>
      </c>
      <c r="F305" s="14">
        <v>1</v>
      </c>
    </row>
    <row r="306" spans="1:6" x14ac:dyDescent="0.2">
      <c r="A306" s="8" t="s">
        <v>76</v>
      </c>
      <c r="B306" s="8" t="s">
        <v>50</v>
      </c>
      <c r="C306" s="14">
        <v>1966</v>
      </c>
      <c r="D306" s="8" t="s">
        <v>54</v>
      </c>
      <c r="E306" s="14">
        <v>1967</v>
      </c>
      <c r="F306" s="14">
        <v>1</v>
      </c>
    </row>
    <row r="307" spans="1:6" x14ac:dyDescent="0.2">
      <c r="A307" s="8" t="s">
        <v>76</v>
      </c>
      <c r="B307" s="8" t="s">
        <v>51</v>
      </c>
      <c r="C307" s="14">
        <v>1961</v>
      </c>
      <c r="D307" s="8" t="s">
        <v>52</v>
      </c>
      <c r="E307" s="14">
        <v>1960</v>
      </c>
      <c r="F307" s="14">
        <v>1</v>
      </c>
    </row>
    <row r="308" spans="1:6" x14ac:dyDescent="0.2">
      <c r="A308" s="8" t="s">
        <v>76</v>
      </c>
      <c r="B308" s="8" t="s">
        <v>51</v>
      </c>
      <c r="C308" s="14">
        <v>1961</v>
      </c>
      <c r="D308" s="8" t="s">
        <v>57</v>
      </c>
      <c r="E308" s="14">
        <v>1960</v>
      </c>
      <c r="F308" s="14">
        <v>1</v>
      </c>
    </row>
    <row r="309" spans="1:6" x14ac:dyDescent="0.2">
      <c r="A309" s="8" t="s">
        <v>76</v>
      </c>
      <c r="B309" s="8" t="s">
        <v>52</v>
      </c>
      <c r="C309" s="14">
        <v>1960</v>
      </c>
      <c r="D309" s="8" t="s">
        <v>57</v>
      </c>
      <c r="E309" s="14">
        <v>1960</v>
      </c>
      <c r="F309" s="14">
        <v>0</v>
      </c>
    </row>
    <row r="310" spans="1:6" x14ac:dyDescent="0.2">
      <c r="A310" s="8" t="s">
        <v>76</v>
      </c>
      <c r="B310" s="8" t="s">
        <v>59</v>
      </c>
      <c r="C310" s="14">
        <v>1933</v>
      </c>
      <c r="D310" s="8" t="s">
        <v>60</v>
      </c>
      <c r="E310" s="14">
        <v>1933</v>
      </c>
      <c r="F310" s="14">
        <v>0</v>
      </c>
    </row>
    <row r="311" spans="1:6" x14ac:dyDescent="0.2">
      <c r="A311" s="8" t="s">
        <v>76</v>
      </c>
      <c r="B311" s="8" t="s">
        <v>63</v>
      </c>
      <c r="C311" s="14">
        <v>1976</v>
      </c>
      <c r="D311" s="8" t="s">
        <v>65</v>
      </c>
      <c r="E311" s="14">
        <v>1976</v>
      </c>
      <c r="F311" s="14">
        <v>0</v>
      </c>
    </row>
    <row r="312" spans="1:6" x14ac:dyDescent="0.2">
      <c r="A312" s="8" t="s">
        <v>77</v>
      </c>
      <c r="B312" s="8" t="s">
        <v>17</v>
      </c>
      <c r="C312" s="14">
        <v>63400</v>
      </c>
      <c r="D312" s="8" t="s">
        <v>25</v>
      </c>
      <c r="E312" s="14">
        <v>62500</v>
      </c>
      <c r="F312" s="14">
        <v>900</v>
      </c>
    </row>
    <row r="313" spans="1:6" x14ac:dyDescent="0.2">
      <c r="A313" s="8" t="s">
        <v>77</v>
      </c>
      <c r="B313" s="8" t="s">
        <v>17</v>
      </c>
      <c r="C313" s="14">
        <v>63400</v>
      </c>
      <c r="D313" s="8" t="s">
        <v>68</v>
      </c>
      <c r="E313" s="14">
        <v>64000</v>
      </c>
      <c r="F313" s="14">
        <v>600</v>
      </c>
    </row>
    <row r="314" spans="1:6" x14ac:dyDescent="0.2">
      <c r="A314" s="8" t="s">
        <v>77</v>
      </c>
      <c r="B314" s="8" t="s">
        <v>19</v>
      </c>
      <c r="C314" s="14">
        <v>71000</v>
      </c>
      <c r="D314" s="8" t="s">
        <v>20</v>
      </c>
      <c r="E314" s="14">
        <v>71008</v>
      </c>
      <c r="F314" s="14">
        <v>8</v>
      </c>
    </row>
    <row r="315" spans="1:6" x14ac:dyDescent="0.2">
      <c r="A315" s="8" t="s">
        <v>77</v>
      </c>
      <c r="B315" s="8" t="s">
        <v>19</v>
      </c>
      <c r="C315" s="14">
        <v>71000</v>
      </c>
      <c r="D315" s="8" t="s">
        <v>36</v>
      </c>
      <c r="E315" s="14">
        <v>72220</v>
      </c>
      <c r="F315" s="14">
        <v>1220</v>
      </c>
    </row>
    <row r="316" spans="1:6" x14ac:dyDescent="0.2">
      <c r="A316" s="8" t="s">
        <v>77</v>
      </c>
      <c r="B316" s="8" t="s">
        <v>19</v>
      </c>
      <c r="C316" s="14">
        <v>71000</v>
      </c>
      <c r="D316" s="8" t="s">
        <v>46</v>
      </c>
      <c r="E316" s="14">
        <v>70000</v>
      </c>
      <c r="F316" s="14">
        <v>1000</v>
      </c>
    </row>
    <row r="317" spans="1:6" x14ac:dyDescent="0.2">
      <c r="A317" s="8" t="s">
        <v>77</v>
      </c>
      <c r="B317" s="8" t="s">
        <v>19</v>
      </c>
      <c r="C317" s="14">
        <v>71000</v>
      </c>
      <c r="D317" s="8" t="s">
        <v>48</v>
      </c>
      <c r="E317" s="14">
        <v>70000</v>
      </c>
      <c r="F317" s="14">
        <v>1000</v>
      </c>
    </row>
    <row r="318" spans="1:6" x14ac:dyDescent="0.2">
      <c r="A318" s="8" t="s">
        <v>77</v>
      </c>
      <c r="B318" s="8" t="s">
        <v>19</v>
      </c>
      <c r="C318" s="14">
        <v>71000</v>
      </c>
      <c r="D318" s="8" t="s">
        <v>59</v>
      </c>
      <c r="E318" s="14">
        <v>69596</v>
      </c>
      <c r="F318" s="14">
        <v>1404</v>
      </c>
    </row>
    <row r="319" spans="1:6" x14ac:dyDescent="0.2">
      <c r="A319" s="8" t="s">
        <v>77</v>
      </c>
      <c r="B319" s="8" t="s">
        <v>20</v>
      </c>
      <c r="C319" s="14">
        <v>71008</v>
      </c>
      <c r="D319" s="8" t="s">
        <v>36</v>
      </c>
      <c r="E319" s="14">
        <v>72220</v>
      </c>
      <c r="F319" s="14">
        <v>1212</v>
      </c>
    </row>
    <row r="320" spans="1:6" x14ac:dyDescent="0.2">
      <c r="A320" s="8" t="s">
        <v>77</v>
      </c>
      <c r="B320" s="8" t="s">
        <v>20</v>
      </c>
      <c r="C320" s="14">
        <v>71008</v>
      </c>
      <c r="D320" s="8" t="s">
        <v>46</v>
      </c>
      <c r="E320" s="14">
        <v>70000</v>
      </c>
      <c r="F320" s="14">
        <v>1008</v>
      </c>
    </row>
    <row r="321" spans="1:6" x14ac:dyDescent="0.2">
      <c r="A321" s="8" t="s">
        <v>77</v>
      </c>
      <c r="B321" s="8" t="s">
        <v>20</v>
      </c>
      <c r="C321" s="14">
        <v>71008</v>
      </c>
      <c r="D321" s="8" t="s">
        <v>48</v>
      </c>
      <c r="E321" s="14">
        <v>70000</v>
      </c>
      <c r="F321" s="14">
        <v>1008</v>
      </c>
    </row>
    <row r="322" spans="1:6" x14ac:dyDescent="0.2">
      <c r="A322" s="8" t="s">
        <v>77</v>
      </c>
      <c r="B322" s="8" t="s">
        <v>20</v>
      </c>
      <c r="C322" s="14">
        <v>71008</v>
      </c>
      <c r="D322" s="8" t="s">
        <v>59</v>
      </c>
      <c r="E322" s="14">
        <v>69596</v>
      </c>
      <c r="F322" s="14">
        <v>1412</v>
      </c>
    </row>
    <row r="323" spans="1:6" x14ac:dyDescent="0.2">
      <c r="A323" s="8" t="s">
        <v>77</v>
      </c>
      <c r="B323" s="8" t="s">
        <v>24</v>
      </c>
      <c r="C323" s="14">
        <v>75037</v>
      </c>
      <c r="D323" s="8" t="s">
        <v>32</v>
      </c>
      <c r="E323" s="14">
        <v>76125</v>
      </c>
      <c r="F323" s="14">
        <v>1088</v>
      </c>
    </row>
    <row r="324" spans="1:6" x14ac:dyDescent="0.2">
      <c r="A324" s="8" t="s">
        <v>77</v>
      </c>
      <c r="B324" s="8" t="s">
        <v>27</v>
      </c>
      <c r="C324" s="14">
        <v>65515</v>
      </c>
      <c r="D324" s="8" t="s">
        <v>33</v>
      </c>
      <c r="E324" s="14">
        <v>65000</v>
      </c>
      <c r="F324" s="14">
        <v>515</v>
      </c>
    </row>
    <row r="325" spans="1:6" x14ac:dyDescent="0.2">
      <c r="A325" s="8" t="s">
        <v>77</v>
      </c>
      <c r="B325" s="8" t="s">
        <v>27</v>
      </c>
      <c r="C325" s="14">
        <v>65515</v>
      </c>
      <c r="D325" s="8" t="s">
        <v>38</v>
      </c>
      <c r="E325" s="14">
        <v>67000</v>
      </c>
      <c r="F325" s="14">
        <v>1485</v>
      </c>
    </row>
    <row r="326" spans="1:6" x14ac:dyDescent="0.2">
      <c r="A326" s="8" t="s">
        <v>77</v>
      </c>
      <c r="B326" s="8" t="s">
        <v>27</v>
      </c>
      <c r="C326" s="14">
        <v>65515</v>
      </c>
      <c r="D326" s="8" t="s">
        <v>44</v>
      </c>
      <c r="E326" s="14">
        <v>66000</v>
      </c>
      <c r="F326" s="14">
        <v>485</v>
      </c>
    </row>
    <row r="327" spans="1:6" x14ac:dyDescent="0.2">
      <c r="A327" s="8" t="s">
        <v>77</v>
      </c>
      <c r="B327" s="8" t="s">
        <v>27</v>
      </c>
      <c r="C327" s="14">
        <v>65515</v>
      </c>
      <c r="D327" s="8" t="s">
        <v>50</v>
      </c>
      <c r="E327" s="14">
        <v>65326</v>
      </c>
      <c r="F327" s="14">
        <v>189</v>
      </c>
    </row>
    <row r="328" spans="1:6" x14ac:dyDescent="0.2">
      <c r="A328" s="8" t="s">
        <v>77</v>
      </c>
      <c r="B328" s="8" t="s">
        <v>27</v>
      </c>
      <c r="C328" s="14">
        <v>65515</v>
      </c>
      <c r="D328" s="8" t="s">
        <v>51</v>
      </c>
      <c r="E328" s="14">
        <v>66655</v>
      </c>
      <c r="F328" s="14">
        <v>1140</v>
      </c>
    </row>
    <row r="329" spans="1:6" x14ac:dyDescent="0.2">
      <c r="A329" s="8" t="s">
        <v>77</v>
      </c>
      <c r="B329" s="8" t="s">
        <v>27</v>
      </c>
      <c r="C329" s="14">
        <v>65515</v>
      </c>
      <c r="D329" s="8" t="s">
        <v>52</v>
      </c>
      <c r="E329" s="14">
        <v>66829</v>
      </c>
      <c r="F329" s="14">
        <v>1314</v>
      </c>
    </row>
    <row r="330" spans="1:6" x14ac:dyDescent="0.2">
      <c r="A330" s="8" t="s">
        <v>77</v>
      </c>
      <c r="B330" s="8" t="s">
        <v>27</v>
      </c>
      <c r="C330" s="14">
        <v>65515</v>
      </c>
      <c r="D330" s="8" t="s">
        <v>65</v>
      </c>
      <c r="E330" s="14">
        <v>65890</v>
      </c>
      <c r="F330" s="14">
        <v>375</v>
      </c>
    </row>
    <row r="331" spans="1:6" x14ac:dyDescent="0.2">
      <c r="A331" s="8" t="s">
        <v>77</v>
      </c>
      <c r="B331" s="8" t="s">
        <v>28</v>
      </c>
      <c r="C331" s="14">
        <v>67895</v>
      </c>
      <c r="D331" s="8" t="s">
        <v>38</v>
      </c>
      <c r="E331" s="14">
        <v>67000</v>
      </c>
      <c r="F331" s="14">
        <v>895</v>
      </c>
    </row>
    <row r="332" spans="1:6" x14ac:dyDescent="0.2">
      <c r="A332" s="8" t="s">
        <v>77</v>
      </c>
      <c r="B332" s="8" t="s">
        <v>28</v>
      </c>
      <c r="C332" s="14">
        <v>67895</v>
      </c>
      <c r="D332" s="8" t="s">
        <v>40</v>
      </c>
      <c r="E332" s="14">
        <v>69132</v>
      </c>
      <c r="F332" s="14">
        <v>1237</v>
      </c>
    </row>
    <row r="333" spans="1:6" x14ac:dyDescent="0.2">
      <c r="A333" s="8" t="s">
        <v>77</v>
      </c>
      <c r="B333" s="8" t="s">
        <v>28</v>
      </c>
      <c r="C333" s="14">
        <v>67895</v>
      </c>
      <c r="D333" s="8" t="s">
        <v>51</v>
      </c>
      <c r="E333" s="14">
        <v>66655</v>
      </c>
      <c r="F333" s="14">
        <v>1240</v>
      </c>
    </row>
    <row r="334" spans="1:6" x14ac:dyDescent="0.2">
      <c r="A334" s="8" t="s">
        <v>77</v>
      </c>
      <c r="B334" s="8" t="s">
        <v>28</v>
      </c>
      <c r="C334" s="14">
        <v>67895</v>
      </c>
      <c r="D334" s="8" t="s">
        <v>52</v>
      </c>
      <c r="E334" s="14">
        <v>66829</v>
      </c>
      <c r="F334" s="14">
        <v>1066</v>
      </c>
    </row>
    <row r="335" spans="1:6" x14ac:dyDescent="0.2">
      <c r="A335" s="8" t="s">
        <v>77</v>
      </c>
      <c r="B335" s="8" t="s">
        <v>28</v>
      </c>
      <c r="C335" s="14">
        <v>67895</v>
      </c>
      <c r="D335" s="8" t="s">
        <v>60</v>
      </c>
      <c r="E335" s="14">
        <v>68984</v>
      </c>
      <c r="F335" s="14">
        <v>1089</v>
      </c>
    </row>
    <row r="336" spans="1:6" x14ac:dyDescent="0.2">
      <c r="A336" s="8" t="s">
        <v>77</v>
      </c>
      <c r="B336" s="8" t="s">
        <v>28</v>
      </c>
      <c r="C336" s="14">
        <v>67895</v>
      </c>
      <c r="D336" s="8" t="s">
        <v>61</v>
      </c>
      <c r="E336" s="14">
        <v>68500</v>
      </c>
      <c r="F336" s="14">
        <v>605</v>
      </c>
    </row>
    <row r="337" spans="1:6" x14ac:dyDescent="0.2">
      <c r="A337" s="8" t="s">
        <v>77</v>
      </c>
      <c r="B337" s="8" t="s">
        <v>28</v>
      </c>
      <c r="C337" s="14">
        <v>67895</v>
      </c>
      <c r="D337" s="8" t="s">
        <v>63</v>
      </c>
      <c r="E337" s="14">
        <v>69000</v>
      </c>
      <c r="F337" s="14">
        <v>1105</v>
      </c>
    </row>
    <row r="338" spans="1:6" x14ac:dyDescent="0.2">
      <c r="A338" s="8" t="s">
        <v>77</v>
      </c>
      <c r="B338" s="8" t="s">
        <v>28</v>
      </c>
      <c r="C338" s="14">
        <v>67895</v>
      </c>
      <c r="D338" s="8" t="s">
        <v>66</v>
      </c>
      <c r="E338" s="14">
        <v>69143</v>
      </c>
      <c r="F338" s="14">
        <v>1248</v>
      </c>
    </row>
    <row r="339" spans="1:6" x14ac:dyDescent="0.2">
      <c r="A339" s="8" t="s">
        <v>77</v>
      </c>
      <c r="B339" s="8" t="s">
        <v>30</v>
      </c>
      <c r="C339" s="14">
        <v>80000</v>
      </c>
      <c r="D339" s="8" t="s">
        <v>34</v>
      </c>
      <c r="E339" s="14">
        <v>81441</v>
      </c>
      <c r="F339" s="14">
        <v>1441</v>
      </c>
    </row>
    <row r="340" spans="1:6" x14ac:dyDescent="0.2">
      <c r="A340" s="8" t="s">
        <v>77</v>
      </c>
      <c r="B340" s="8" t="s">
        <v>33</v>
      </c>
      <c r="C340" s="14">
        <v>65000</v>
      </c>
      <c r="D340" s="8" t="s">
        <v>44</v>
      </c>
      <c r="E340" s="14">
        <v>66000</v>
      </c>
      <c r="F340" s="14">
        <v>1000</v>
      </c>
    </row>
    <row r="341" spans="1:6" x14ac:dyDescent="0.2">
      <c r="A341" s="8" t="s">
        <v>77</v>
      </c>
      <c r="B341" s="8" t="s">
        <v>33</v>
      </c>
      <c r="C341" s="14">
        <v>65000</v>
      </c>
      <c r="D341" s="8" t="s">
        <v>50</v>
      </c>
      <c r="E341" s="14">
        <v>65326</v>
      </c>
      <c r="F341" s="14">
        <v>326</v>
      </c>
    </row>
    <row r="342" spans="1:6" x14ac:dyDescent="0.2">
      <c r="A342" s="8" t="s">
        <v>77</v>
      </c>
      <c r="B342" s="8" t="s">
        <v>33</v>
      </c>
      <c r="C342" s="14">
        <v>65000</v>
      </c>
      <c r="D342" s="8" t="s">
        <v>65</v>
      </c>
      <c r="E342" s="14">
        <v>65890</v>
      </c>
      <c r="F342" s="14">
        <v>890</v>
      </c>
    </row>
    <row r="343" spans="1:6" x14ac:dyDescent="0.2">
      <c r="A343" s="8" t="s">
        <v>77</v>
      </c>
      <c r="B343" s="8" t="s">
        <v>33</v>
      </c>
      <c r="C343" s="14">
        <v>65000</v>
      </c>
      <c r="D343" s="8" t="s">
        <v>68</v>
      </c>
      <c r="E343" s="14">
        <v>64000</v>
      </c>
      <c r="F343" s="14">
        <v>1000</v>
      </c>
    </row>
    <row r="344" spans="1:6" x14ac:dyDescent="0.2">
      <c r="A344" s="8" t="s">
        <v>77</v>
      </c>
      <c r="B344" s="8" t="s">
        <v>34</v>
      </c>
      <c r="C344" s="14">
        <v>81441</v>
      </c>
      <c r="D344" s="8" t="s">
        <v>55</v>
      </c>
      <c r="E344" s="14">
        <v>82500</v>
      </c>
      <c r="F344" s="14">
        <v>1059</v>
      </c>
    </row>
    <row r="345" spans="1:6" x14ac:dyDescent="0.2">
      <c r="A345" s="8" t="s">
        <v>77</v>
      </c>
      <c r="B345" s="8" t="s">
        <v>34</v>
      </c>
      <c r="C345" s="14">
        <v>81441</v>
      </c>
      <c r="D345" s="8" t="s">
        <v>57</v>
      </c>
      <c r="E345" s="14">
        <v>82500</v>
      </c>
      <c r="F345" s="14">
        <v>1059</v>
      </c>
    </row>
    <row r="346" spans="1:6" x14ac:dyDescent="0.2">
      <c r="A346" s="8" t="s">
        <v>77</v>
      </c>
      <c r="B346" s="8" t="s">
        <v>36</v>
      </c>
      <c r="C346" s="14">
        <v>72220</v>
      </c>
      <c r="D346" s="8" t="s">
        <v>42</v>
      </c>
      <c r="E346" s="14">
        <v>73426</v>
      </c>
      <c r="F346" s="14">
        <v>1206</v>
      </c>
    </row>
    <row r="347" spans="1:6" x14ac:dyDescent="0.2">
      <c r="A347" s="8" t="s">
        <v>77</v>
      </c>
      <c r="B347" s="8" t="s">
        <v>36</v>
      </c>
      <c r="C347" s="14">
        <v>72220</v>
      </c>
      <c r="D347" s="8" t="s">
        <v>54</v>
      </c>
      <c r="E347" s="14">
        <v>73208</v>
      </c>
      <c r="F347" s="14">
        <v>988</v>
      </c>
    </row>
    <row r="348" spans="1:6" x14ac:dyDescent="0.2">
      <c r="A348" s="8" t="s">
        <v>77</v>
      </c>
      <c r="B348" s="8" t="s">
        <v>38</v>
      </c>
      <c r="C348" s="14">
        <v>67000</v>
      </c>
      <c r="D348" s="8" t="s">
        <v>44</v>
      </c>
      <c r="E348" s="14">
        <v>66000</v>
      </c>
      <c r="F348" s="14">
        <v>1000</v>
      </c>
    </row>
    <row r="349" spans="1:6" x14ac:dyDescent="0.2">
      <c r="A349" s="8" t="s">
        <v>77</v>
      </c>
      <c r="B349" s="8" t="s">
        <v>38</v>
      </c>
      <c r="C349" s="14">
        <v>67000</v>
      </c>
      <c r="D349" s="8" t="s">
        <v>51</v>
      </c>
      <c r="E349" s="14">
        <v>66655</v>
      </c>
      <c r="F349" s="14">
        <v>345</v>
      </c>
    </row>
    <row r="350" spans="1:6" x14ac:dyDescent="0.2">
      <c r="A350" s="8" t="s">
        <v>77</v>
      </c>
      <c r="B350" s="8" t="s">
        <v>38</v>
      </c>
      <c r="C350" s="14">
        <v>67000</v>
      </c>
      <c r="D350" s="8" t="s">
        <v>52</v>
      </c>
      <c r="E350" s="14">
        <v>66829</v>
      </c>
      <c r="F350" s="14">
        <v>171</v>
      </c>
    </row>
    <row r="351" spans="1:6" x14ac:dyDescent="0.2">
      <c r="A351" s="8" t="s">
        <v>77</v>
      </c>
      <c r="B351" s="8" t="s">
        <v>38</v>
      </c>
      <c r="C351" s="14">
        <v>67000</v>
      </c>
      <c r="D351" s="8" t="s">
        <v>65</v>
      </c>
      <c r="E351" s="14">
        <v>65890</v>
      </c>
      <c r="F351" s="14">
        <v>1110</v>
      </c>
    </row>
    <row r="352" spans="1:6" x14ac:dyDescent="0.2">
      <c r="A352" s="8" t="s">
        <v>77</v>
      </c>
      <c r="B352" s="8" t="s">
        <v>40</v>
      </c>
      <c r="C352" s="14">
        <v>69132</v>
      </c>
      <c r="D352" s="8" t="s">
        <v>46</v>
      </c>
      <c r="E352" s="14">
        <v>70000</v>
      </c>
      <c r="F352" s="14">
        <v>868</v>
      </c>
    </row>
    <row r="353" spans="1:6" x14ac:dyDescent="0.2">
      <c r="A353" s="8" t="s">
        <v>77</v>
      </c>
      <c r="B353" s="8" t="s">
        <v>40</v>
      </c>
      <c r="C353" s="14">
        <v>69132</v>
      </c>
      <c r="D353" s="8" t="s">
        <v>48</v>
      </c>
      <c r="E353" s="14">
        <v>70000</v>
      </c>
      <c r="F353" s="14">
        <v>868</v>
      </c>
    </row>
    <row r="354" spans="1:6" x14ac:dyDescent="0.2">
      <c r="A354" s="8" t="s">
        <v>77</v>
      </c>
      <c r="B354" s="8" t="s">
        <v>40</v>
      </c>
      <c r="C354" s="14">
        <v>69132</v>
      </c>
      <c r="D354" s="8" t="s">
        <v>59</v>
      </c>
      <c r="E354" s="14">
        <v>69596</v>
      </c>
      <c r="F354" s="14">
        <v>464</v>
      </c>
    </row>
    <row r="355" spans="1:6" x14ac:dyDescent="0.2">
      <c r="A355" s="8" t="s">
        <v>77</v>
      </c>
      <c r="B355" s="8" t="s">
        <v>40</v>
      </c>
      <c r="C355" s="14">
        <v>69132</v>
      </c>
      <c r="D355" s="8" t="s">
        <v>60</v>
      </c>
      <c r="E355" s="14">
        <v>68984</v>
      </c>
      <c r="F355" s="14">
        <v>148</v>
      </c>
    </row>
    <row r="356" spans="1:6" x14ac:dyDescent="0.2">
      <c r="A356" s="8" t="s">
        <v>77</v>
      </c>
      <c r="B356" s="8" t="s">
        <v>40</v>
      </c>
      <c r="C356" s="14">
        <v>69132</v>
      </c>
      <c r="D356" s="8" t="s">
        <v>61</v>
      </c>
      <c r="E356" s="14">
        <v>68500</v>
      </c>
      <c r="F356" s="14">
        <v>632</v>
      </c>
    </row>
    <row r="357" spans="1:6" x14ac:dyDescent="0.2">
      <c r="A357" s="8" t="s">
        <v>77</v>
      </c>
      <c r="B357" s="8" t="s">
        <v>40</v>
      </c>
      <c r="C357" s="14">
        <v>69132</v>
      </c>
      <c r="D357" s="8" t="s">
        <v>63</v>
      </c>
      <c r="E357" s="14">
        <v>69000</v>
      </c>
      <c r="F357" s="14">
        <v>132</v>
      </c>
    </row>
    <row r="358" spans="1:6" x14ac:dyDescent="0.2">
      <c r="A358" s="8" t="s">
        <v>77</v>
      </c>
      <c r="B358" s="8" t="s">
        <v>40</v>
      </c>
      <c r="C358" s="14">
        <v>69132</v>
      </c>
      <c r="D358" s="8" t="s">
        <v>66</v>
      </c>
      <c r="E358" s="14">
        <v>69143</v>
      </c>
      <c r="F358" s="14">
        <v>11</v>
      </c>
    </row>
    <row r="359" spans="1:6" x14ac:dyDescent="0.2">
      <c r="A359" s="8" t="s">
        <v>77</v>
      </c>
      <c r="B359" s="8" t="s">
        <v>42</v>
      </c>
      <c r="C359" s="14">
        <v>73426</v>
      </c>
      <c r="D359" s="8" t="s">
        <v>54</v>
      </c>
      <c r="E359" s="14">
        <v>73208</v>
      </c>
      <c r="F359" s="14">
        <v>218</v>
      </c>
    </row>
    <row r="360" spans="1:6" x14ac:dyDescent="0.2">
      <c r="A360" s="8" t="s">
        <v>77</v>
      </c>
      <c r="B360" s="8" t="s">
        <v>44</v>
      </c>
      <c r="C360" s="14">
        <v>66000</v>
      </c>
      <c r="D360" s="8" t="s">
        <v>50</v>
      </c>
      <c r="E360" s="14">
        <v>65326</v>
      </c>
      <c r="F360" s="14">
        <v>674</v>
      </c>
    </row>
    <row r="361" spans="1:6" x14ac:dyDescent="0.2">
      <c r="A361" s="8" t="s">
        <v>77</v>
      </c>
      <c r="B361" s="8" t="s">
        <v>44</v>
      </c>
      <c r="C361" s="14">
        <v>66000</v>
      </c>
      <c r="D361" s="8" t="s">
        <v>51</v>
      </c>
      <c r="E361" s="14">
        <v>66655</v>
      </c>
      <c r="F361" s="14">
        <v>655</v>
      </c>
    </row>
    <row r="362" spans="1:6" x14ac:dyDescent="0.2">
      <c r="A362" s="8" t="s">
        <v>77</v>
      </c>
      <c r="B362" s="8" t="s">
        <v>44</v>
      </c>
      <c r="C362" s="14">
        <v>66000</v>
      </c>
      <c r="D362" s="8" t="s">
        <v>52</v>
      </c>
      <c r="E362" s="14">
        <v>66829</v>
      </c>
      <c r="F362" s="14">
        <v>829</v>
      </c>
    </row>
    <row r="363" spans="1:6" x14ac:dyDescent="0.2">
      <c r="A363" s="8" t="s">
        <v>77</v>
      </c>
      <c r="B363" s="8" t="s">
        <v>44</v>
      </c>
      <c r="C363" s="14">
        <v>66000</v>
      </c>
      <c r="D363" s="8" t="s">
        <v>65</v>
      </c>
      <c r="E363" s="14">
        <v>65890</v>
      </c>
      <c r="F363" s="14">
        <v>110</v>
      </c>
    </row>
    <row r="364" spans="1:6" x14ac:dyDescent="0.2">
      <c r="A364" s="8" t="s">
        <v>77</v>
      </c>
      <c r="B364" s="8" t="s">
        <v>46</v>
      </c>
      <c r="C364" s="14">
        <v>70000</v>
      </c>
      <c r="D364" s="8" t="s">
        <v>48</v>
      </c>
      <c r="E364" s="14">
        <v>70000</v>
      </c>
      <c r="F364" s="14">
        <v>0</v>
      </c>
    </row>
    <row r="365" spans="1:6" x14ac:dyDescent="0.2">
      <c r="A365" s="8" t="s">
        <v>77</v>
      </c>
      <c r="B365" s="8" t="s">
        <v>46</v>
      </c>
      <c r="C365" s="14">
        <v>70000</v>
      </c>
      <c r="D365" s="8" t="s">
        <v>59</v>
      </c>
      <c r="E365" s="14">
        <v>69596</v>
      </c>
      <c r="F365" s="14">
        <v>404</v>
      </c>
    </row>
    <row r="366" spans="1:6" x14ac:dyDescent="0.2">
      <c r="A366" s="8" t="s">
        <v>77</v>
      </c>
      <c r="B366" s="8" t="s">
        <v>46</v>
      </c>
      <c r="C366" s="14">
        <v>70000</v>
      </c>
      <c r="D366" s="8" t="s">
        <v>60</v>
      </c>
      <c r="E366" s="14">
        <v>68984</v>
      </c>
      <c r="F366" s="14">
        <v>1016</v>
      </c>
    </row>
    <row r="367" spans="1:6" x14ac:dyDescent="0.2">
      <c r="A367" s="8" t="s">
        <v>77</v>
      </c>
      <c r="B367" s="8" t="s">
        <v>46</v>
      </c>
      <c r="C367" s="14">
        <v>70000</v>
      </c>
      <c r="D367" s="8" t="s">
        <v>63</v>
      </c>
      <c r="E367" s="14">
        <v>69000</v>
      </c>
      <c r="F367" s="14">
        <v>1000</v>
      </c>
    </row>
    <row r="368" spans="1:6" x14ac:dyDescent="0.2">
      <c r="A368" s="8" t="s">
        <v>77</v>
      </c>
      <c r="B368" s="8" t="s">
        <v>46</v>
      </c>
      <c r="C368" s="14">
        <v>70000</v>
      </c>
      <c r="D368" s="8" t="s">
        <v>66</v>
      </c>
      <c r="E368" s="14">
        <v>69143</v>
      </c>
      <c r="F368" s="14">
        <v>857</v>
      </c>
    </row>
    <row r="369" spans="1:6" x14ac:dyDescent="0.2">
      <c r="A369" s="8" t="s">
        <v>77</v>
      </c>
      <c r="B369" s="8" t="s">
        <v>48</v>
      </c>
      <c r="C369" s="14">
        <v>70000</v>
      </c>
      <c r="D369" s="8" t="s">
        <v>59</v>
      </c>
      <c r="E369" s="14">
        <v>69596</v>
      </c>
      <c r="F369" s="14">
        <v>404</v>
      </c>
    </row>
    <row r="370" spans="1:6" x14ac:dyDescent="0.2">
      <c r="A370" s="8" t="s">
        <v>77</v>
      </c>
      <c r="B370" s="8" t="s">
        <v>48</v>
      </c>
      <c r="C370" s="14">
        <v>70000</v>
      </c>
      <c r="D370" s="8" t="s">
        <v>60</v>
      </c>
      <c r="E370" s="14">
        <v>68984</v>
      </c>
      <c r="F370" s="14">
        <v>1016</v>
      </c>
    </row>
    <row r="371" spans="1:6" x14ac:dyDescent="0.2">
      <c r="A371" s="8" t="s">
        <v>77</v>
      </c>
      <c r="B371" s="8" t="s">
        <v>48</v>
      </c>
      <c r="C371" s="14">
        <v>70000</v>
      </c>
      <c r="D371" s="8" t="s">
        <v>63</v>
      </c>
      <c r="E371" s="14">
        <v>69000</v>
      </c>
      <c r="F371" s="14">
        <v>1000</v>
      </c>
    </row>
    <row r="372" spans="1:6" x14ac:dyDescent="0.2">
      <c r="A372" s="8" t="s">
        <v>77</v>
      </c>
      <c r="B372" s="8" t="s">
        <v>48</v>
      </c>
      <c r="C372" s="14">
        <v>70000</v>
      </c>
      <c r="D372" s="8" t="s">
        <v>66</v>
      </c>
      <c r="E372" s="14">
        <v>69143</v>
      </c>
      <c r="F372" s="14">
        <v>857</v>
      </c>
    </row>
    <row r="373" spans="1:6" x14ac:dyDescent="0.2">
      <c r="A373" s="8" t="s">
        <v>77</v>
      </c>
      <c r="B373" s="8" t="s">
        <v>50</v>
      </c>
      <c r="C373" s="14">
        <v>65326</v>
      </c>
      <c r="D373" s="8" t="s">
        <v>51</v>
      </c>
      <c r="E373" s="14">
        <v>66655</v>
      </c>
      <c r="F373" s="14">
        <v>1329</v>
      </c>
    </row>
    <row r="374" spans="1:6" x14ac:dyDescent="0.2">
      <c r="A374" s="8" t="s">
        <v>77</v>
      </c>
      <c r="B374" s="8" t="s">
        <v>50</v>
      </c>
      <c r="C374" s="14">
        <v>65326</v>
      </c>
      <c r="D374" s="8" t="s">
        <v>65</v>
      </c>
      <c r="E374" s="14">
        <v>65890</v>
      </c>
      <c r="F374" s="14">
        <v>564</v>
      </c>
    </row>
    <row r="375" spans="1:6" x14ac:dyDescent="0.2">
      <c r="A375" s="8" t="s">
        <v>77</v>
      </c>
      <c r="B375" s="8" t="s">
        <v>50</v>
      </c>
      <c r="C375" s="14">
        <v>65326</v>
      </c>
      <c r="D375" s="8" t="s">
        <v>68</v>
      </c>
      <c r="E375" s="14">
        <v>64000</v>
      </c>
      <c r="F375" s="14">
        <v>1326</v>
      </c>
    </row>
    <row r="376" spans="1:6" x14ac:dyDescent="0.2">
      <c r="A376" s="8" t="s">
        <v>77</v>
      </c>
      <c r="B376" s="8" t="s">
        <v>51</v>
      </c>
      <c r="C376" s="14">
        <v>66655</v>
      </c>
      <c r="D376" s="8" t="s">
        <v>52</v>
      </c>
      <c r="E376" s="14">
        <v>66829</v>
      </c>
      <c r="F376" s="14">
        <v>174</v>
      </c>
    </row>
    <row r="377" spans="1:6" x14ac:dyDescent="0.2">
      <c r="A377" s="8" t="s">
        <v>77</v>
      </c>
      <c r="B377" s="8" t="s">
        <v>51</v>
      </c>
      <c r="C377" s="14">
        <v>66655</v>
      </c>
      <c r="D377" s="8" t="s">
        <v>65</v>
      </c>
      <c r="E377" s="14">
        <v>65890</v>
      </c>
      <c r="F377" s="14">
        <v>765</v>
      </c>
    </row>
    <row r="378" spans="1:6" x14ac:dyDescent="0.2">
      <c r="A378" s="8" t="s">
        <v>77</v>
      </c>
      <c r="B378" s="8" t="s">
        <v>52</v>
      </c>
      <c r="C378" s="14">
        <v>66829</v>
      </c>
      <c r="D378" s="8" t="s">
        <v>65</v>
      </c>
      <c r="E378" s="14">
        <v>65890</v>
      </c>
      <c r="F378" s="14">
        <v>939</v>
      </c>
    </row>
    <row r="379" spans="1:6" x14ac:dyDescent="0.2">
      <c r="A379" s="8" t="s">
        <v>77</v>
      </c>
      <c r="B379" s="8" t="s">
        <v>55</v>
      </c>
      <c r="C379" s="14">
        <v>82500</v>
      </c>
      <c r="D379" s="8" t="s">
        <v>57</v>
      </c>
      <c r="E379" s="14">
        <v>82500</v>
      </c>
      <c r="F379" s="14">
        <v>0</v>
      </c>
    </row>
    <row r="380" spans="1:6" x14ac:dyDescent="0.2">
      <c r="A380" s="8" t="s">
        <v>77</v>
      </c>
      <c r="B380" s="8" t="s">
        <v>59</v>
      </c>
      <c r="C380" s="14">
        <v>69596</v>
      </c>
      <c r="D380" s="8" t="s">
        <v>60</v>
      </c>
      <c r="E380" s="14">
        <v>68984</v>
      </c>
      <c r="F380" s="14">
        <v>612</v>
      </c>
    </row>
    <row r="381" spans="1:6" x14ac:dyDescent="0.2">
      <c r="A381" s="8" t="s">
        <v>77</v>
      </c>
      <c r="B381" s="8" t="s">
        <v>59</v>
      </c>
      <c r="C381" s="14">
        <v>69596</v>
      </c>
      <c r="D381" s="8" t="s">
        <v>61</v>
      </c>
      <c r="E381" s="14">
        <v>68500</v>
      </c>
      <c r="F381" s="14">
        <v>1096</v>
      </c>
    </row>
    <row r="382" spans="1:6" x14ac:dyDescent="0.2">
      <c r="A382" s="8" t="s">
        <v>77</v>
      </c>
      <c r="B382" s="8" t="s">
        <v>59</v>
      </c>
      <c r="C382" s="14">
        <v>69596</v>
      </c>
      <c r="D382" s="8" t="s">
        <v>63</v>
      </c>
      <c r="E382" s="14">
        <v>69000</v>
      </c>
      <c r="F382" s="14">
        <v>596</v>
      </c>
    </row>
    <row r="383" spans="1:6" x14ac:dyDescent="0.2">
      <c r="A383" s="8" t="s">
        <v>77</v>
      </c>
      <c r="B383" s="8" t="s">
        <v>59</v>
      </c>
      <c r="C383" s="14">
        <v>69596</v>
      </c>
      <c r="D383" s="8" t="s">
        <v>66</v>
      </c>
      <c r="E383" s="14">
        <v>69143</v>
      </c>
      <c r="F383" s="14">
        <v>453</v>
      </c>
    </row>
    <row r="384" spans="1:6" x14ac:dyDescent="0.2">
      <c r="A384" s="8" t="s">
        <v>77</v>
      </c>
      <c r="B384" s="8" t="s">
        <v>60</v>
      </c>
      <c r="C384" s="14">
        <v>68984</v>
      </c>
      <c r="D384" s="8" t="s">
        <v>61</v>
      </c>
      <c r="E384" s="14">
        <v>68500</v>
      </c>
      <c r="F384" s="14">
        <v>484</v>
      </c>
    </row>
    <row r="385" spans="1:6" x14ac:dyDescent="0.2">
      <c r="A385" s="8" t="s">
        <v>77</v>
      </c>
      <c r="B385" s="8" t="s">
        <v>60</v>
      </c>
      <c r="C385" s="14">
        <v>68984</v>
      </c>
      <c r="D385" s="8" t="s">
        <v>63</v>
      </c>
      <c r="E385" s="14">
        <v>69000</v>
      </c>
      <c r="F385" s="14">
        <v>16</v>
      </c>
    </row>
    <row r="386" spans="1:6" x14ac:dyDescent="0.2">
      <c r="A386" s="8" t="s">
        <v>77</v>
      </c>
      <c r="B386" s="8" t="s">
        <v>60</v>
      </c>
      <c r="C386" s="14">
        <v>68984</v>
      </c>
      <c r="D386" s="8" t="s">
        <v>66</v>
      </c>
      <c r="E386" s="14">
        <v>69143</v>
      </c>
      <c r="F386" s="14">
        <v>159</v>
      </c>
    </row>
    <row r="387" spans="1:6" x14ac:dyDescent="0.2">
      <c r="A387" s="8" t="s">
        <v>77</v>
      </c>
      <c r="B387" s="8" t="s">
        <v>61</v>
      </c>
      <c r="C387" s="14">
        <v>68500</v>
      </c>
      <c r="D387" s="8" t="s">
        <v>63</v>
      </c>
      <c r="E387" s="14">
        <v>69000</v>
      </c>
      <c r="F387" s="14">
        <v>500</v>
      </c>
    </row>
    <row r="388" spans="1:6" x14ac:dyDescent="0.2">
      <c r="A388" s="8" t="s">
        <v>77</v>
      </c>
      <c r="B388" s="8" t="s">
        <v>61</v>
      </c>
      <c r="C388" s="14">
        <v>68500</v>
      </c>
      <c r="D388" s="8" t="s">
        <v>66</v>
      </c>
      <c r="E388" s="14">
        <v>69143</v>
      </c>
      <c r="F388" s="14">
        <v>643</v>
      </c>
    </row>
    <row r="389" spans="1:6" x14ac:dyDescent="0.2">
      <c r="A389" s="8" t="s">
        <v>77</v>
      </c>
      <c r="B389" s="8" t="s">
        <v>63</v>
      </c>
      <c r="C389" s="14">
        <v>69000</v>
      </c>
      <c r="D389" s="8" t="s">
        <v>66</v>
      </c>
      <c r="E389" s="14">
        <v>69143</v>
      </c>
      <c r="F389" s="14">
        <v>143</v>
      </c>
    </row>
    <row r="390" spans="1:6" x14ac:dyDescent="0.2">
      <c r="A390" s="8" t="s">
        <v>78</v>
      </c>
      <c r="B390" s="8" t="s">
        <v>17</v>
      </c>
      <c r="C390" s="14">
        <v>455</v>
      </c>
      <c r="D390" s="8" t="s">
        <v>27</v>
      </c>
      <c r="E390" s="14">
        <v>450</v>
      </c>
      <c r="F390" s="14">
        <v>5</v>
      </c>
    </row>
    <row r="391" spans="1:6" x14ac:dyDescent="0.2">
      <c r="A391" s="8" t="s">
        <v>78</v>
      </c>
      <c r="B391" s="8" t="s">
        <v>17</v>
      </c>
      <c r="C391" s="14">
        <v>455</v>
      </c>
      <c r="D391" s="8" t="s">
        <v>33</v>
      </c>
      <c r="E391" s="14">
        <v>430</v>
      </c>
      <c r="F391" s="14">
        <v>25</v>
      </c>
    </row>
    <row r="392" spans="1:6" x14ac:dyDescent="0.2">
      <c r="A392" s="8" t="s">
        <v>78</v>
      </c>
      <c r="B392" s="8" t="s">
        <v>17</v>
      </c>
      <c r="C392" s="14">
        <v>455</v>
      </c>
      <c r="D392" s="8" t="s">
        <v>59</v>
      </c>
      <c r="E392" s="14">
        <v>518</v>
      </c>
      <c r="F392" s="14">
        <v>63</v>
      </c>
    </row>
    <row r="393" spans="1:6" x14ac:dyDescent="0.2">
      <c r="A393" s="8" t="s">
        <v>78</v>
      </c>
      <c r="B393" s="8" t="s">
        <v>19</v>
      </c>
      <c r="C393" s="14">
        <v>1500</v>
      </c>
      <c r="D393" s="8" t="s">
        <v>30</v>
      </c>
      <c r="E393" s="14">
        <v>1300</v>
      </c>
      <c r="F393" s="14">
        <v>200</v>
      </c>
    </row>
    <row r="394" spans="1:6" x14ac:dyDescent="0.2">
      <c r="A394" s="8" t="s">
        <v>78</v>
      </c>
      <c r="B394" s="8" t="s">
        <v>19</v>
      </c>
      <c r="C394" s="14">
        <v>1500</v>
      </c>
      <c r="D394" s="8" t="s">
        <v>55</v>
      </c>
      <c r="E394" s="14">
        <v>1600</v>
      </c>
      <c r="F394" s="14">
        <v>100</v>
      </c>
    </row>
    <row r="395" spans="1:6" x14ac:dyDescent="0.2">
      <c r="A395" s="8" t="s">
        <v>78</v>
      </c>
      <c r="B395" s="8" t="s">
        <v>19</v>
      </c>
      <c r="C395" s="14">
        <v>1500</v>
      </c>
      <c r="D395" s="8" t="s">
        <v>57</v>
      </c>
      <c r="E395" s="14">
        <v>1600</v>
      </c>
      <c r="F395" s="14">
        <v>100</v>
      </c>
    </row>
    <row r="396" spans="1:6" x14ac:dyDescent="0.2">
      <c r="A396" s="8" t="s">
        <v>78</v>
      </c>
      <c r="B396" s="8" t="s">
        <v>19</v>
      </c>
      <c r="C396" s="14">
        <v>1500</v>
      </c>
      <c r="D396" s="8" t="s">
        <v>61</v>
      </c>
      <c r="E396" s="14">
        <v>1300</v>
      </c>
      <c r="F396" s="14">
        <v>200</v>
      </c>
    </row>
    <row r="397" spans="1:6" x14ac:dyDescent="0.2">
      <c r="A397" s="8" t="s">
        <v>78</v>
      </c>
      <c r="B397" s="8" t="s">
        <v>20</v>
      </c>
      <c r="C397" s="14">
        <v>220</v>
      </c>
      <c r="D397" s="8" t="s">
        <v>24</v>
      </c>
      <c r="E397" s="14">
        <v>242</v>
      </c>
      <c r="F397" s="14">
        <v>22</v>
      </c>
    </row>
    <row r="398" spans="1:6" x14ac:dyDescent="0.2">
      <c r="A398" s="8" t="s">
        <v>78</v>
      </c>
      <c r="B398" s="8" t="s">
        <v>20</v>
      </c>
      <c r="C398" s="14">
        <v>220</v>
      </c>
      <c r="D398" s="8" t="s">
        <v>65</v>
      </c>
      <c r="E398" s="14">
        <v>194</v>
      </c>
      <c r="F398" s="14">
        <v>26</v>
      </c>
    </row>
    <row r="399" spans="1:6" x14ac:dyDescent="0.2">
      <c r="A399" s="8" t="s">
        <v>78</v>
      </c>
      <c r="B399" s="8" t="s">
        <v>20</v>
      </c>
      <c r="C399" s="14">
        <v>220</v>
      </c>
      <c r="D399" s="8" t="s">
        <v>68</v>
      </c>
      <c r="E399" s="14">
        <v>250</v>
      </c>
      <c r="F399" s="14">
        <v>30</v>
      </c>
    </row>
    <row r="400" spans="1:6" x14ac:dyDescent="0.2">
      <c r="A400" s="8" t="s">
        <v>78</v>
      </c>
      <c r="B400" s="8" t="s">
        <v>22</v>
      </c>
      <c r="C400" s="14">
        <v>2100</v>
      </c>
      <c r="D400" s="8" t="s">
        <v>44</v>
      </c>
      <c r="E400" s="14">
        <v>1900</v>
      </c>
      <c r="F400" s="14">
        <v>200</v>
      </c>
    </row>
    <row r="401" spans="1:6" x14ac:dyDescent="0.2">
      <c r="A401" s="8" t="s">
        <v>78</v>
      </c>
      <c r="B401" s="8" t="s">
        <v>24</v>
      </c>
      <c r="C401" s="14">
        <v>242</v>
      </c>
      <c r="D401" s="8" t="s">
        <v>60</v>
      </c>
      <c r="E401" s="14">
        <v>281</v>
      </c>
      <c r="F401" s="14">
        <v>39</v>
      </c>
    </row>
    <row r="402" spans="1:6" x14ac:dyDescent="0.2">
      <c r="A402" s="8" t="s">
        <v>78</v>
      </c>
      <c r="B402" s="8" t="s">
        <v>24</v>
      </c>
      <c r="C402" s="14">
        <v>242</v>
      </c>
      <c r="D402" s="8" t="s">
        <v>68</v>
      </c>
      <c r="E402" s="14">
        <v>250</v>
      </c>
      <c r="F402" s="14">
        <v>8</v>
      </c>
    </row>
    <row r="403" spans="1:6" x14ac:dyDescent="0.2">
      <c r="A403" s="8" t="s">
        <v>78</v>
      </c>
      <c r="B403" s="8" t="s">
        <v>25</v>
      </c>
      <c r="C403" s="14">
        <v>632</v>
      </c>
      <c r="D403" s="8" t="s">
        <v>38</v>
      </c>
      <c r="E403" s="14">
        <v>720</v>
      </c>
      <c r="F403" s="14">
        <v>88</v>
      </c>
    </row>
    <row r="404" spans="1:6" x14ac:dyDescent="0.2">
      <c r="A404" s="8" t="s">
        <v>78</v>
      </c>
      <c r="B404" s="8" t="s">
        <v>27</v>
      </c>
      <c r="C404" s="14">
        <v>450</v>
      </c>
      <c r="D404" s="8" t="s">
        <v>33</v>
      </c>
      <c r="E404" s="14">
        <v>430</v>
      </c>
      <c r="F404" s="14">
        <v>20</v>
      </c>
    </row>
    <row r="405" spans="1:6" x14ac:dyDescent="0.2">
      <c r="A405" s="8" t="s">
        <v>78</v>
      </c>
      <c r="B405" s="8" t="s">
        <v>27</v>
      </c>
      <c r="C405" s="14">
        <v>450</v>
      </c>
      <c r="D405" s="8" t="s">
        <v>59</v>
      </c>
      <c r="E405" s="14">
        <v>518</v>
      </c>
      <c r="F405" s="14">
        <v>68</v>
      </c>
    </row>
    <row r="406" spans="1:6" x14ac:dyDescent="0.2">
      <c r="A406" s="8" t="s">
        <v>78</v>
      </c>
      <c r="B406" s="8" t="s">
        <v>28</v>
      </c>
      <c r="C406" s="14">
        <v>290</v>
      </c>
      <c r="D406" s="8" t="s">
        <v>52</v>
      </c>
      <c r="E406" s="14">
        <v>325</v>
      </c>
      <c r="F406" s="14">
        <v>35</v>
      </c>
    </row>
    <row r="407" spans="1:6" x14ac:dyDescent="0.2">
      <c r="A407" s="8" t="s">
        <v>78</v>
      </c>
      <c r="B407" s="8" t="s">
        <v>28</v>
      </c>
      <c r="C407" s="14">
        <v>290</v>
      </c>
      <c r="D407" s="8" t="s">
        <v>60</v>
      </c>
      <c r="E407" s="14">
        <v>281</v>
      </c>
      <c r="F407" s="14">
        <v>9</v>
      </c>
    </row>
    <row r="408" spans="1:6" x14ac:dyDescent="0.2">
      <c r="A408" s="8" t="s">
        <v>78</v>
      </c>
      <c r="B408" s="8" t="s">
        <v>28</v>
      </c>
      <c r="C408" s="14">
        <v>290</v>
      </c>
      <c r="D408" s="8" t="s">
        <v>66</v>
      </c>
      <c r="E408" s="14">
        <v>290</v>
      </c>
      <c r="F408" s="14">
        <v>0</v>
      </c>
    </row>
    <row r="409" spans="1:6" x14ac:dyDescent="0.2">
      <c r="A409" s="8" t="s">
        <v>78</v>
      </c>
      <c r="B409" s="8" t="s">
        <v>28</v>
      </c>
      <c r="C409" s="14">
        <v>290</v>
      </c>
      <c r="D409" s="8" t="s">
        <v>68</v>
      </c>
      <c r="E409" s="14">
        <v>250</v>
      </c>
      <c r="F409" s="14">
        <v>40</v>
      </c>
    </row>
    <row r="410" spans="1:6" x14ac:dyDescent="0.2">
      <c r="A410" s="8" t="s">
        <v>78</v>
      </c>
      <c r="B410" s="8" t="s">
        <v>30</v>
      </c>
      <c r="C410" s="14">
        <v>1300</v>
      </c>
      <c r="D410" s="8" t="s">
        <v>61</v>
      </c>
      <c r="E410" s="14">
        <v>1300</v>
      </c>
      <c r="F410" s="14">
        <v>0</v>
      </c>
    </row>
    <row r="411" spans="1:6" x14ac:dyDescent="0.2">
      <c r="A411" s="8" t="s">
        <v>78</v>
      </c>
      <c r="B411" s="8" t="s">
        <v>32</v>
      </c>
      <c r="C411" s="14">
        <v>364</v>
      </c>
      <c r="D411" s="8" t="s">
        <v>36</v>
      </c>
      <c r="E411" s="14">
        <v>352</v>
      </c>
      <c r="F411" s="14">
        <v>12</v>
      </c>
    </row>
    <row r="412" spans="1:6" x14ac:dyDescent="0.2">
      <c r="A412" s="8" t="s">
        <v>78</v>
      </c>
      <c r="B412" s="8" t="s">
        <v>32</v>
      </c>
      <c r="C412" s="14">
        <v>364</v>
      </c>
      <c r="D412" s="8" t="s">
        <v>52</v>
      </c>
      <c r="E412" s="14">
        <v>325</v>
      </c>
      <c r="F412" s="14">
        <v>39</v>
      </c>
    </row>
    <row r="413" spans="1:6" x14ac:dyDescent="0.2">
      <c r="A413" s="8" t="s">
        <v>78</v>
      </c>
      <c r="B413" s="8" t="s">
        <v>32</v>
      </c>
      <c r="C413" s="14">
        <v>364</v>
      </c>
      <c r="D413" s="8" t="s">
        <v>63</v>
      </c>
      <c r="E413" s="14">
        <v>360</v>
      </c>
      <c r="F413" s="14">
        <v>4</v>
      </c>
    </row>
    <row r="414" spans="1:6" x14ac:dyDescent="0.2">
      <c r="A414" s="8" t="s">
        <v>78</v>
      </c>
      <c r="B414" s="8" t="s">
        <v>36</v>
      </c>
      <c r="C414" s="14">
        <v>352</v>
      </c>
      <c r="D414" s="8" t="s">
        <v>52</v>
      </c>
      <c r="E414" s="14">
        <v>325</v>
      </c>
      <c r="F414" s="14">
        <v>27</v>
      </c>
    </row>
    <row r="415" spans="1:6" x14ac:dyDescent="0.2">
      <c r="A415" s="8" t="s">
        <v>78</v>
      </c>
      <c r="B415" s="8" t="s">
        <v>36</v>
      </c>
      <c r="C415" s="14">
        <v>352</v>
      </c>
      <c r="D415" s="8" t="s">
        <v>63</v>
      </c>
      <c r="E415" s="14">
        <v>360</v>
      </c>
      <c r="F415" s="14">
        <v>8</v>
      </c>
    </row>
    <row r="416" spans="1:6" x14ac:dyDescent="0.2">
      <c r="A416" s="8" t="s">
        <v>78</v>
      </c>
      <c r="B416" s="8" t="s">
        <v>40</v>
      </c>
      <c r="C416" s="14">
        <v>134</v>
      </c>
      <c r="D416" s="8" t="s">
        <v>50</v>
      </c>
      <c r="E416" s="14">
        <v>115</v>
      </c>
      <c r="F416" s="14">
        <v>19</v>
      </c>
    </row>
    <row r="417" spans="1:6" x14ac:dyDescent="0.2">
      <c r="A417" s="8" t="s">
        <v>78</v>
      </c>
      <c r="B417" s="8" t="s">
        <v>40</v>
      </c>
      <c r="C417" s="14">
        <v>134</v>
      </c>
      <c r="D417" s="8" t="s">
        <v>54</v>
      </c>
      <c r="E417" s="14">
        <v>134</v>
      </c>
      <c r="F417" s="14">
        <v>0</v>
      </c>
    </row>
    <row r="418" spans="1:6" x14ac:dyDescent="0.2">
      <c r="A418" s="8" t="s">
        <v>78</v>
      </c>
      <c r="B418" s="8" t="s">
        <v>46</v>
      </c>
      <c r="C418" s="14">
        <v>5500</v>
      </c>
      <c r="D418" s="8" t="s">
        <v>48</v>
      </c>
      <c r="E418" s="14">
        <v>5500</v>
      </c>
      <c r="F418" s="14">
        <v>0</v>
      </c>
    </row>
    <row r="419" spans="1:6" x14ac:dyDescent="0.2">
      <c r="A419" s="8" t="s">
        <v>78</v>
      </c>
      <c r="B419" s="8" t="s">
        <v>50</v>
      </c>
      <c r="C419" s="14">
        <v>115</v>
      </c>
      <c r="D419" s="8" t="s">
        <v>54</v>
      </c>
      <c r="E419" s="14">
        <v>134</v>
      </c>
      <c r="F419" s="14">
        <v>19</v>
      </c>
    </row>
    <row r="420" spans="1:6" x14ac:dyDescent="0.2">
      <c r="A420" s="8" t="s">
        <v>78</v>
      </c>
      <c r="B420" s="8" t="s">
        <v>52</v>
      </c>
      <c r="C420" s="14">
        <v>325</v>
      </c>
      <c r="D420" s="8" t="s">
        <v>60</v>
      </c>
      <c r="E420" s="14">
        <v>281</v>
      </c>
      <c r="F420" s="14">
        <v>44</v>
      </c>
    </row>
    <row r="421" spans="1:6" x14ac:dyDescent="0.2">
      <c r="A421" s="8" t="s">
        <v>78</v>
      </c>
      <c r="B421" s="8" t="s">
        <v>52</v>
      </c>
      <c r="C421" s="14">
        <v>325</v>
      </c>
      <c r="D421" s="8" t="s">
        <v>63</v>
      </c>
      <c r="E421" s="14">
        <v>360</v>
      </c>
      <c r="F421" s="14">
        <v>35</v>
      </c>
    </row>
    <row r="422" spans="1:6" x14ac:dyDescent="0.2">
      <c r="A422" s="8" t="s">
        <v>78</v>
      </c>
      <c r="B422" s="8" t="s">
        <v>52</v>
      </c>
      <c r="C422" s="14">
        <v>325</v>
      </c>
      <c r="D422" s="8" t="s">
        <v>66</v>
      </c>
      <c r="E422" s="14">
        <v>290</v>
      </c>
      <c r="F422" s="14">
        <v>35</v>
      </c>
    </row>
    <row r="423" spans="1:6" x14ac:dyDescent="0.2">
      <c r="A423" s="8" t="s">
        <v>78</v>
      </c>
      <c r="B423" s="8" t="s">
        <v>55</v>
      </c>
      <c r="C423" s="14">
        <v>1600</v>
      </c>
      <c r="D423" s="8" t="s">
        <v>57</v>
      </c>
      <c r="E423" s="14">
        <v>1600</v>
      </c>
      <c r="F423" s="14">
        <v>0</v>
      </c>
    </row>
    <row r="424" spans="1:6" x14ac:dyDescent="0.2">
      <c r="A424" s="8" t="s">
        <v>78</v>
      </c>
      <c r="B424" s="8" t="s">
        <v>60</v>
      </c>
      <c r="C424" s="14">
        <v>281</v>
      </c>
      <c r="D424" s="8" t="s">
        <v>66</v>
      </c>
      <c r="E424" s="14">
        <v>290</v>
      </c>
      <c r="F424" s="14">
        <v>9</v>
      </c>
    </row>
    <row r="425" spans="1:6" x14ac:dyDescent="0.2">
      <c r="A425" s="8" t="s">
        <v>78</v>
      </c>
      <c r="B425" s="8" t="s">
        <v>60</v>
      </c>
      <c r="C425" s="14">
        <v>281</v>
      </c>
      <c r="D425" s="8" t="s">
        <v>68</v>
      </c>
      <c r="E425" s="14">
        <v>250</v>
      </c>
      <c r="F425" s="14">
        <v>31</v>
      </c>
    </row>
    <row r="426" spans="1:6" x14ac:dyDescent="0.2">
      <c r="A426" s="8" t="s">
        <v>78</v>
      </c>
      <c r="B426" s="8" t="s">
        <v>66</v>
      </c>
      <c r="C426" s="14">
        <v>290</v>
      </c>
      <c r="D426" s="8" t="s">
        <v>68</v>
      </c>
      <c r="E426" s="14">
        <v>250</v>
      </c>
      <c r="F426" s="14">
        <v>40</v>
      </c>
    </row>
    <row r="427" spans="1:6" x14ac:dyDescent="0.2">
      <c r="A427" s="8" t="s">
        <v>79</v>
      </c>
      <c r="B427" s="8" t="s">
        <v>17</v>
      </c>
      <c r="C427" s="14">
        <v>33.527999999999999</v>
      </c>
      <c r="D427" s="8" t="s">
        <v>19</v>
      </c>
      <c r="E427" s="14">
        <v>33.755000000000003</v>
      </c>
      <c r="F427" s="14">
        <v>0.227000000000004</v>
      </c>
    </row>
    <row r="428" spans="1:6" x14ac:dyDescent="0.2">
      <c r="A428" s="8" t="s">
        <v>79</v>
      </c>
      <c r="B428" s="8" t="s">
        <v>17</v>
      </c>
      <c r="C428" s="14">
        <v>33.527999999999999</v>
      </c>
      <c r="D428" s="8" t="s">
        <v>46</v>
      </c>
      <c r="E428" s="14">
        <v>33.953000000000003</v>
      </c>
      <c r="F428" s="14">
        <v>0.42500000000000399</v>
      </c>
    </row>
    <row r="429" spans="1:6" x14ac:dyDescent="0.2">
      <c r="A429" s="8" t="s">
        <v>79</v>
      </c>
      <c r="B429" s="8" t="s">
        <v>17</v>
      </c>
      <c r="C429" s="14">
        <v>33.527999999999999</v>
      </c>
      <c r="D429" s="8" t="s">
        <v>48</v>
      </c>
      <c r="E429" s="14">
        <v>33.953000000000003</v>
      </c>
      <c r="F429" s="14">
        <v>0.42500000000000399</v>
      </c>
    </row>
    <row r="430" spans="1:6" x14ac:dyDescent="0.2">
      <c r="A430" s="8" t="s">
        <v>79</v>
      </c>
      <c r="B430" s="8" t="s">
        <v>19</v>
      </c>
      <c r="C430" s="14">
        <v>33.755000000000003</v>
      </c>
      <c r="D430" s="8" t="s">
        <v>46</v>
      </c>
      <c r="E430" s="14">
        <v>33.953000000000003</v>
      </c>
      <c r="F430" s="14">
        <v>0.19800000000000001</v>
      </c>
    </row>
    <row r="431" spans="1:6" x14ac:dyDescent="0.2">
      <c r="A431" s="8" t="s">
        <v>79</v>
      </c>
      <c r="B431" s="8" t="s">
        <v>19</v>
      </c>
      <c r="C431" s="14">
        <v>33.755000000000003</v>
      </c>
      <c r="D431" s="8" t="s">
        <v>48</v>
      </c>
      <c r="E431" s="14">
        <v>33.953000000000003</v>
      </c>
      <c r="F431" s="14">
        <v>0.19800000000000001</v>
      </c>
    </row>
    <row r="432" spans="1:6" x14ac:dyDescent="0.2">
      <c r="A432" s="8" t="s">
        <v>79</v>
      </c>
      <c r="B432" s="8" t="s">
        <v>20</v>
      </c>
      <c r="C432" s="14">
        <v>39.277999999999999</v>
      </c>
      <c r="D432" s="8" t="s">
        <v>27</v>
      </c>
      <c r="E432" s="14">
        <v>39.094999999999999</v>
      </c>
      <c r="F432" s="14">
        <v>0.183</v>
      </c>
    </row>
    <row r="433" spans="1:6" x14ac:dyDescent="0.2">
      <c r="A433" s="8" t="s">
        <v>79</v>
      </c>
      <c r="B433" s="8" t="s">
        <v>20</v>
      </c>
      <c r="C433" s="14">
        <v>39.277999999999999</v>
      </c>
      <c r="D433" s="8" t="s">
        <v>32</v>
      </c>
      <c r="E433" s="14">
        <v>39.744</v>
      </c>
      <c r="F433" s="14">
        <v>0.46600000000000102</v>
      </c>
    </row>
    <row r="434" spans="1:6" x14ac:dyDescent="0.2">
      <c r="A434" s="8" t="s">
        <v>79</v>
      </c>
      <c r="B434" s="8" t="s">
        <v>20</v>
      </c>
      <c r="C434" s="14">
        <v>39.277999999999999</v>
      </c>
      <c r="D434" s="8" t="s">
        <v>38</v>
      </c>
      <c r="E434" s="14">
        <v>39.76</v>
      </c>
      <c r="F434" s="14">
        <v>0.48199999999999898</v>
      </c>
    </row>
    <row r="435" spans="1:6" x14ac:dyDescent="0.2">
      <c r="A435" s="8" t="s">
        <v>79</v>
      </c>
      <c r="B435" s="8" t="s">
        <v>20</v>
      </c>
      <c r="C435" s="14">
        <v>39.277999999999999</v>
      </c>
      <c r="D435" s="8" t="s">
        <v>42</v>
      </c>
      <c r="E435" s="14">
        <v>39.048999999999999</v>
      </c>
      <c r="F435" s="14">
        <v>0.22899999999999901</v>
      </c>
    </row>
    <row r="436" spans="1:6" x14ac:dyDescent="0.2">
      <c r="A436" s="8" t="s">
        <v>79</v>
      </c>
      <c r="B436" s="8" t="s">
        <v>20</v>
      </c>
      <c r="C436" s="14">
        <v>39.277999999999999</v>
      </c>
      <c r="D436" s="8" t="s">
        <v>59</v>
      </c>
      <c r="E436" s="14">
        <v>39.901000000000003</v>
      </c>
      <c r="F436" s="14">
        <v>0.62300000000000499</v>
      </c>
    </row>
    <row r="437" spans="1:6" x14ac:dyDescent="0.2">
      <c r="A437" s="8" t="s">
        <v>79</v>
      </c>
      <c r="B437" s="8" t="s">
        <v>20</v>
      </c>
      <c r="C437" s="14">
        <v>39.277999999999999</v>
      </c>
      <c r="D437" s="8" t="s">
        <v>68</v>
      </c>
      <c r="E437" s="14">
        <v>38.908000000000001</v>
      </c>
      <c r="F437" s="14">
        <v>0.369999999999997</v>
      </c>
    </row>
    <row r="438" spans="1:6" x14ac:dyDescent="0.2">
      <c r="A438" s="8" t="s">
        <v>79</v>
      </c>
      <c r="B438" s="8" t="s">
        <v>22</v>
      </c>
      <c r="C438" s="14">
        <v>42.774000000000001</v>
      </c>
      <c r="D438" s="8" t="s">
        <v>33</v>
      </c>
      <c r="E438" s="14">
        <v>42.34</v>
      </c>
      <c r="F438" s="14">
        <v>0.433999999999998</v>
      </c>
    </row>
    <row r="439" spans="1:6" x14ac:dyDescent="0.2">
      <c r="A439" s="8" t="s">
        <v>79</v>
      </c>
      <c r="B439" s="8" t="s">
        <v>22</v>
      </c>
      <c r="C439" s="14">
        <v>42.774000000000001</v>
      </c>
      <c r="D439" s="8" t="s">
        <v>52</v>
      </c>
      <c r="E439" s="14">
        <v>42.091000000000001</v>
      </c>
      <c r="F439" s="14">
        <v>0.68300000000000005</v>
      </c>
    </row>
    <row r="440" spans="1:6" x14ac:dyDescent="0.2">
      <c r="A440" s="8" t="s">
        <v>79</v>
      </c>
      <c r="B440" s="8" t="s">
        <v>25</v>
      </c>
      <c r="C440" s="14">
        <v>41.862000000000002</v>
      </c>
      <c r="D440" s="8" t="s">
        <v>28</v>
      </c>
      <c r="E440" s="14">
        <v>41.506</v>
      </c>
      <c r="F440" s="14">
        <v>0.35600000000000198</v>
      </c>
    </row>
    <row r="441" spans="1:6" x14ac:dyDescent="0.2">
      <c r="A441" s="8" t="s">
        <v>79</v>
      </c>
      <c r="B441" s="8" t="s">
        <v>25</v>
      </c>
      <c r="C441" s="14">
        <v>41.862000000000002</v>
      </c>
      <c r="D441" s="8" t="s">
        <v>33</v>
      </c>
      <c r="E441" s="14">
        <v>42.34</v>
      </c>
      <c r="F441" s="14">
        <v>0.47800000000000198</v>
      </c>
    </row>
    <row r="442" spans="1:6" x14ac:dyDescent="0.2">
      <c r="A442" s="8" t="s">
        <v>79</v>
      </c>
      <c r="B442" s="8" t="s">
        <v>25</v>
      </c>
      <c r="C442" s="14">
        <v>41.862000000000002</v>
      </c>
      <c r="D442" s="8" t="s">
        <v>52</v>
      </c>
      <c r="E442" s="14">
        <v>42.091000000000001</v>
      </c>
      <c r="F442" s="14">
        <v>0.22899999999999901</v>
      </c>
    </row>
    <row r="443" spans="1:6" x14ac:dyDescent="0.2">
      <c r="A443" s="8" t="s">
        <v>79</v>
      </c>
      <c r="B443" s="8" t="s">
        <v>27</v>
      </c>
      <c r="C443" s="14">
        <v>39.094999999999999</v>
      </c>
      <c r="D443" s="8" t="s">
        <v>32</v>
      </c>
      <c r="E443" s="14">
        <v>39.744</v>
      </c>
      <c r="F443" s="14">
        <v>0.64900000000000102</v>
      </c>
    </row>
    <row r="444" spans="1:6" x14ac:dyDescent="0.2">
      <c r="A444" s="8" t="s">
        <v>79</v>
      </c>
      <c r="B444" s="8" t="s">
        <v>27</v>
      </c>
      <c r="C444" s="14">
        <v>39.094999999999999</v>
      </c>
      <c r="D444" s="8" t="s">
        <v>38</v>
      </c>
      <c r="E444" s="14">
        <v>39.76</v>
      </c>
      <c r="F444" s="14">
        <v>0.66499999999999904</v>
      </c>
    </row>
    <row r="445" spans="1:6" x14ac:dyDescent="0.2">
      <c r="A445" s="8" t="s">
        <v>79</v>
      </c>
      <c r="B445" s="8" t="s">
        <v>27</v>
      </c>
      <c r="C445" s="14">
        <v>39.094999999999999</v>
      </c>
      <c r="D445" s="8" t="s">
        <v>42</v>
      </c>
      <c r="E445" s="14">
        <v>39.048999999999999</v>
      </c>
      <c r="F445" s="14">
        <v>4.5999999999999402E-2</v>
      </c>
    </row>
    <row r="446" spans="1:6" x14ac:dyDescent="0.2">
      <c r="A446" s="8" t="s">
        <v>79</v>
      </c>
      <c r="B446" s="8" t="s">
        <v>27</v>
      </c>
      <c r="C446" s="14">
        <v>39.094999999999999</v>
      </c>
      <c r="D446" s="8" t="s">
        <v>68</v>
      </c>
      <c r="E446" s="14">
        <v>38.908000000000001</v>
      </c>
      <c r="F446" s="14">
        <v>0.186999999999998</v>
      </c>
    </row>
    <row r="447" spans="1:6" x14ac:dyDescent="0.2">
      <c r="A447" s="8" t="s">
        <v>79</v>
      </c>
      <c r="B447" s="8" t="s">
        <v>28</v>
      </c>
      <c r="C447" s="14">
        <v>41.506</v>
      </c>
      <c r="D447" s="8" t="s">
        <v>52</v>
      </c>
      <c r="E447" s="14">
        <v>42.091000000000001</v>
      </c>
      <c r="F447" s="14">
        <v>0.58500000000000096</v>
      </c>
    </row>
    <row r="448" spans="1:6" x14ac:dyDescent="0.2">
      <c r="A448" s="8" t="s">
        <v>79</v>
      </c>
      <c r="B448" s="8" t="s">
        <v>28</v>
      </c>
      <c r="C448" s="14">
        <v>41.506</v>
      </c>
      <c r="D448" s="8" t="s">
        <v>55</v>
      </c>
      <c r="E448" s="14">
        <v>40.813000000000002</v>
      </c>
      <c r="F448" s="14">
        <v>0.69299999999999795</v>
      </c>
    </row>
    <row r="449" spans="1:6" x14ac:dyDescent="0.2">
      <c r="A449" s="8" t="s">
        <v>79</v>
      </c>
      <c r="B449" s="8" t="s">
        <v>28</v>
      </c>
      <c r="C449" s="14">
        <v>41.506</v>
      </c>
      <c r="D449" s="8" t="s">
        <v>57</v>
      </c>
      <c r="E449" s="14">
        <v>40.813000000000002</v>
      </c>
      <c r="F449" s="14">
        <v>0.69299999999999795</v>
      </c>
    </row>
    <row r="450" spans="1:6" x14ac:dyDescent="0.2">
      <c r="A450" s="8" t="s">
        <v>79</v>
      </c>
      <c r="B450" s="8" t="s">
        <v>32</v>
      </c>
      <c r="C450" s="14">
        <v>39.744</v>
      </c>
      <c r="D450" s="8" t="s">
        <v>38</v>
      </c>
      <c r="E450" s="14">
        <v>39.76</v>
      </c>
      <c r="F450" s="14">
        <v>1.59999999999982E-2</v>
      </c>
    </row>
    <row r="451" spans="1:6" x14ac:dyDescent="0.2">
      <c r="A451" s="8" t="s">
        <v>79</v>
      </c>
      <c r="B451" s="8" t="s">
        <v>32</v>
      </c>
      <c r="C451" s="14">
        <v>39.744</v>
      </c>
      <c r="D451" s="8" t="s">
        <v>42</v>
      </c>
      <c r="E451" s="14">
        <v>39.048999999999999</v>
      </c>
      <c r="F451" s="14">
        <v>0.69499999999999995</v>
      </c>
    </row>
    <row r="452" spans="1:6" x14ac:dyDescent="0.2">
      <c r="A452" s="8" t="s">
        <v>79</v>
      </c>
      <c r="B452" s="8" t="s">
        <v>32</v>
      </c>
      <c r="C452" s="14">
        <v>39.744</v>
      </c>
      <c r="D452" s="8" t="s">
        <v>59</v>
      </c>
      <c r="E452" s="14">
        <v>39.901000000000003</v>
      </c>
      <c r="F452" s="14">
        <v>0.157000000000004</v>
      </c>
    </row>
    <row r="453" spans="1:6" x14ac:dyDescent="0.2">
      <c r="A453" s="8" t="s">
        <v>79</v>
      </c>
      <c r="B453" s="8" t="s">
        <v>32</v>
      </c>
      <c r="C453" s="14">
        <v>39.744</v>
      </c>
      <c r="D453" s="8" t="s">
        <v>60</v>
      </c>
      <c r="E453" s="14">
        <v>40.447000000000003</v>
      </c>
      <c r="F453" s="14">
        <v>0.70300000000000296</v>
      </c>
    </row>
    <row r="454" spans="1:6" x14ac:dyDescent="0.2">
      <c r="A454" s="8" t="s">
        <v>79</v>
      </c>
      <c r="B454" s="8" t="s">
        <v>33</v>
      </c>
      <c r="C454" s="14">
        <v>42.34</v>
      </c>
      <c r="D454" s="8" t="s">
        <v>52</v>
      </c>
      <c r="E454" s="14">
        <v>42.091000000000001</v>
      </c>
      <c r="F454" s="14">
        <v>0.249000000000002</v>
      </c>
    </row>
    <row r="455" spans="1:6" x14ac:dyDescent="0.2">
      <c r="A455" s="8" t="s">
        <v>79</v>
      </c>
      <c r="B455" s="8" t="s">
        <v>34</v>
      </c>
      <c r="C455" s="14">
        <v>44.500999999999998</v>
      </c>
      <c r="D455" s="8" t="s">
        <v>51</v>
      </c>
      <c r="E455" s="14">
        <v>44.973999999999997</v>
      </c>
      <c r="F455" s="14">
        <v>0.47299999999999898</v>
      </c>
    </row>
    <row r="456" spans="1:6" x14ac:dyDescent="0.2">
      <c r="A456" s="8" t="s">
        <v>79</v>
      </c>
      <c r="B456" s="8" t="s">
        <v>36</v>
      </c>
      <c r="C456" s="14">
        <v>29.684999999999999</v>
      </c>
      <c r="D456" s="8" t="s">
        <v>40</v>
      </c>
      <c r="E456" s="14">
        <v>30.324000000000002</v>
      </c>
      <c r="F456" s="14">
        <v>0.63900000000000301</v>
      </c>
    </row>
    <row r="457" spans="1:6" x14ac:dyDescent="0.2">
      <c r="A457" s="8" t="s">
        <v>79</v>
      </c>
      <c r="B457" s="8" t="s">
        <v>36</v>
      </c>
      <c r="C457" s="14">
        <v>29.684999999999999</v>
      </c>
      <c r="D457" s="8" t="s">
        <v>54</v>
      </c>
      <c r="E457" s="14">
        <v>29.951000000000001</v>
      </c>
      <c r="F457" s="14">
        <v>0.26600000000000201</v>
      </c>
    </row>
    <row r="458" spans="1:6" x14ac:dyDescent="0.2">
      <c r="A458" s="8" t="s">
        <v>79</v>
      </c>
      <c r="B458" s="8" t="s">
        <v>38</v>
      </c>
      <c r="C458" s="14">
        <v>39.76</v>
      </c>
      <c r="D458" s="8" t="s">
        <v>42</v>
      </c>
      <c r="E458" s="14">
        <v>39.048999999999999</v>
      </c>
      <c r="F458" s="14">
        <v>0.71099999999999897</v>
      </c>
    </row>
    <row r="459" spans="1:6" x14ac:dyDescent="0.2">
      <c r="A459" s="8" t="s">
        <v>79</v>
      </c>
      <c r="B459" s="8" t="s">
        <v>38</v>
      </c>
      <c r="C459" s="14">
        <v>39.76</v>
      </c>
      <c r="D459" s="8" t="s">
        <v>59</v>
      </c>
      <c r="E459" s="14">
        <v>39.901000000000003</v>
      </c>
      <c r="F459" s="14">
        <v>0.14100000000000501</v>
      </c>
    </row>
    <row r="460" spans="1:6" x14ac:dyDescent="0.2">
      <c r="A460" s="8" t="s">
        <v>79</v>
      </c>
      <c r="B460" s="8" t="s">
        <v>38</v>
      </c>
      <c r="C460" s="14">
        <v>39.76</v>
      </c>
      <c r="D460" s="8" t="s">
        <v>60</v>
      </c>
      <c r="E460" s="14">
        <v>40.447000000000003</v>
      </c>
      <c r="F460" s="14">
        <v>0.68700000000000505</v>
      </c>
    </row>
    <row r="461" spans="1:6" x14ac:dyDescent="0.2">
      <c r="A461" s="8" t="s">
        <v>79</v>
      </c>
      <c r="B461" s="8" t="s">
        <v>40</v>
      </c>
      <c r="C461" s="14">
        <v>30.324000000000002</v>
      </c>
      <c r="D461" s="8" t="s">
        <v>54</v>
      </c>
      <c r="E461" s="14">
        <v>29.951000000000001</v>
      </c>
      <c r="F461" s="14">
        <v>0.373000000000001</v>
      </c>
    </row>
    <row r="462" spans="1:6" x14ac:dyDescent="0.2">
      <c r="A462" s="8" t="s">
        <v>79</v>
      </c>
      <c r="B462" s="8" t="s">
        <v>42</v>
      </c>
      <c r="C462" s="14">
        <v>39.048999999999999</v>
      </c>
      <c r="D462" s="8" t="s">
        <v>68</v>
      </c>
      <c r="E462" s="14">
        <v>38.908000000000001</v>
      </c>
      <c r="F462" s="14">
        <v>0.14099999999999799</v>
      </c>
    </row>
    <row r="463" spans="1:6" x14ac:dyDescent="0.2">
      <c r="A463" s="8" t="s">
        <v>79</v>
      </c>
      <c r="B463" s="8" t="s">
        <v>44</v>
      </c>
      <c r="C463" s="14">
        <v>36.091000000000001</v>
      </c>
      <c r="D463" s="8" t="s">
        <v>66</v>
      </c>
      <c r="E463" s="14">
        <v>36.165999999999997</v>
      </c>
      <c r="F463" s="14">
        <v>7.4999999999995695E-2</v>
      </c>
    </row>
    <row r="464" spans="1:6" x14ac:dyDescent="0.2">
      <c r="A464" s="8" t="s">
        <v>79</v>
      </c>
      <c r="B464" s="8" t="s">
        <v>46</v>
      </c>
      <c r="C464" s="14">
        <v>33.953000000000003</v>
      </c>
      <c r="D464" s="8" t="s">
        <v>48</v>
      </c>
      <c r="E464" s="14">
        <v>33.953000000000003</v>
      </c>
      <c r="F464" s="14">
        <v>0</v>
      </c>
    </row>
    <row r="465" spans="1:6" x14ac:dyDescent="0.2">
      <c r="A465" s="8" t="s">
        <v>79</v>
      </c>
      <c r="B465" s="8" t="s">
        <v>55</v>
      </c>
      <c r="C465" s="14">
        <v>40.813000000000002</v>
      </c>
      <c r="D465" s="8" t="s">
        <v>57</v>
      </c>
      <c r="E465" s="14">
        <v>40.813000000000002</v>
      </c>
      <c r="F465" s="14">
        <v>0</v>
      </c>
    </row>
    <row r="466" spans="1:6" x14ac:dyDescent="0.2">
      <c r="A466" s="8" t="s">
        <v>79</v>
      </c>
      <c r="B466" s="8" t="s">
        <v>55</v>
      </c>
      <c r="C466" s="14">
        <v>40.813000000000002</v>
      </c>
      <c r="D466" s="8" t="s">
        <v>60</v>
      </c>
      <c r="E466" s="14">
        <v>40.447000000000003</v>
      </c>
      <c r="F466" s="14">
        <v>0.36599999999999999</v>
      </c>
    </row>
    <row r="467" spans="1:6" x14ac:dyDescent="0.2">
      <c r="A467" s="8" t="s">
        <v>79</v>
      </c>
      <c r="B467" s="8" t="s">
        <v>57</v>
      </c>
      <c r="C467" s="14">
        <v>40.813000000000002</v>
      </c>
      <c r="D467" s="8" t="s">
        <v>60</v>
      </c>
      <c r="E467" s="14">
        <v>40.447000000000003</v>
      </c>
      <c r="F467" s="14">
        <v>0.36599999999999999</v>
      </c>
    </row>
    <row r="468" spans="1:6" x14ac:dyDescent="0.2">
      <c r="A468" s="8" t="s">
        <v>79</v>
      </c>
      <c r="B468" s="8" t="s">
        <v>59</v>
      </c>
      <c r="C468" s="14">
        <v>39.901000000000003</v>
      </c>
      <c r="D468" s="8" t="s">
        <v>60</v>
      </c>
      <c r="E468" s="14">
        <v>40.447000000000003</v>
      </c>
      <c r="F468" s="14">
        <v>0.54599999999999904</v>
      </c>
    </row>
    <row r="469" spans="1:6" x14ac:dyDescent="0.2">
      <c r="A469" s="8" t="s">
        <v>80</v>
      </c>
      <c r="B469" s="8" t="s">
        <v>19</v>
      </c>
      <c r="C469" s="14">
        <v>84.400999999999996</v>
      </c>
      <c r="D469" s="8" t="s">
        <v>27</v>
      </c>
      <c r="E469" s="14">
        <v>84.516000000000005</v>
      </c>
      <c r="F469" s="14">
        <v>0.115000000000009</v>
      </c>
    </row>
    <row r="470" spans="1:6" x14ac:dyDescent="0.2">
      <c r="A470" s="8" t="s">
        <v>80</v>
      </c>
      <c r="B470" s="8" t="s">
        <v>20</v>
      </c>
      <c r="C470" s="14">
        <v>76.623000000000005</v>
      </c>
      <c r="D470" s="8" t="s">
        <v>68</v>
      </c>
      <c r="E470" s="14">
        <v>76.864000000000004</v>
      </c>
      <c r="F470" s="14">
        <v>0.24099999999999999</v>
      </c>
    </row>
    <row r="471" spans="1:6" x14ac:dyDescent="0.2">
      <c r="A471" s="8" t="s">
        <v>80</v>
      </c>
      <c r="B471" s="8" t="s">
        <v>24</v>
      </c>
      <c r="C471" s="14">
        <v>80.852999999999994</v>
      </c>
      <c r="D471" s="8" t="s">
        <v>28</v>
      </c>
      <c r="E471" s="14">
        <v>81.7</v>
      </c>
      <c r="F471" s="14">
        <v>0.84700000000000797</v>
      </c>
    </row>
    <row r="472" spans="1:6" x14ac:dyDescent="0.2">
      <c r="A472" s="8" t="s">
        <v>80</v>
      </c>
      <c r="B472" s="8" t="s">
        <v>24</v>
      </c>
      <c r="C472" s="14">
        <v>80.852999999999994</v>
      </c>
      <c r="D472" s="8" t="s">
        <v>40</v>
      </c>
      <c r="E472" s="14">
        <v>81.637</v>
      </c>
      <c r="F472" s="14">
        <v>0.78400000000000603</v>
      </c>
    </row>
    <row r="473" spans="1:6" x14ac:dyDescent="0.2">
      <c r="A473" s="8" t="s">
        <v>80</v>
      </c>
      <c r="B473" s="8" t="s">
        <v>24</v>
      </c>
      <c r="C473" s="14">
        <v>80.852999999999994</v>
      </c>
      <c r="D473" s="8" t="s">
        <v>50</v>
      </c>
      <c r="E473" s="14">
        <v>80.239000000000004</v>
      </c>
      <c r="F473" s="14">
        <v>0.61399999999999</v>
      </c>
    </row>
    <row r="474" spans="1:6" x14ac:dyDescent="0.2">
      <c r="A474" s="8" t="s">
        <v>80</v>
      </c>
      <c r="B474" s="8" t="s">
        <v>24</v>
      </c>
      <c r="C474" s="14">
        <v>80.852999999999994</v>
      </c>
      <c r="D474" s="8" t="s">
        <v>60</v>
      </c>
      <c r="E474" s="14">
        <v>80.016000000000005</v>
      </c>
      <c r="F474" s="14">
        <v>0.83699999999998898</v>
      </c>
    </row>
    <row r="475" spans="1:6" x14ac:dyDescent="0.2">
      <c r="A475" s="8" t="s">
        <v>80</v>
      </c>
      <c r="B475" s="8" t="s">
        <v>25</v>
      </c>
      <c r="C475" s="14">
        <v>87.617000000000004</v>
      </c>
      <c r="D475" s="8" t="s">
        <v>34</v>
      </c>
      <c r="E475" s="14">
        <v>88.061999999999998</v>
      </c>
      <c r="F475" s="14">
        <v>0.44499999999999301</v>
      </c>
    </row>
    <row r="476" spans="1:6" x14ac:dyDescent="0.2">
      <c r="A476" s="8" t="s">
        <v>80</v>
      </c>
      <c r="B476" s="8" t="s">
        <v>25</v>
      </c>
      <c r="C476" s="14">
        <v>87.617000000000004</v>
      </c>
      <c r="D476" s="8" t="s">
        <v>66</v>
      </c>
      <c r="E476" s="14">
        <v>86.771000000000001</v>
      </c>
      <c r="F476" s="14">
        <v>0.84600000000000397</v>
      </c>
    </row>
    <row r="477" spans="1:6" x14ac:dyDescent="0.2">
      <c r="A477" s="8" t="s">
        <v>80</v>
      </c>
      <c r="B477" s="8" t="s">
        <v>28</v>
      </c>
      <c r="C477" s="14">
        <v>81.7</v>
      </c>
      <c r="D477" s="8" t="s">
        <v>40</v>
      </c>
      <c r="E477" s="14">
        <v>81.637</v>
      </c>
      <c r="F477" s="14">
        <v>6.3000000000002401E-2</v>
      </c>
    </row>
    <row r="478" spans="1:6" x14ac:dyDescent="0.2">
      <c r="A478" s="8" t="s">
        <v>80</v>
      </c>
      <c r="B478" s="8" t="s">
        <v>28</v>
      </c>
      <c r="C478" s="14">
        <v>81.7</v>
      </c>
      <c r="D478" s="8" t="s">
        <v>65</v>
      </c>
      <c r="E478" s="14">
        <v>82.503</v>
      </c>
      <c r="F478" s="14">
        <v>0.80299999999999705</v>
      </c>
    </row>
    <row r="479" spans="1:6" x14ac:dyDescent="0.2">
      <c r="A479" s="8" t="s">
        <v>80</v>
      </c>
      <c r="B479" s="8" t="s">
        <v>33</v>
      </c>
      <c r="C479" s="14">
        <v>83.046000000000006</v>
      </c>
      <c r="D479" s="8" t="s">
        <v>65</v>
      </c>
      <c r="E479" s="14">
        <v>82.503</v>
      </c>
      <c r="F479" s="14">
        <v>0.54300000000000603</v>
      </c>
    </row>
    <row r="480" spans="1:6" x14ac:dyDescent="0.2">
      <c r="A480" s="8" t="s">
        <v>80</v>
      </c>
      <c r="B480" s="8" t="s">
        <v>36</v>
      </c>
      <c r="C480" s="14">
        <v>95.411000000000001</v>
      </c>
      <c r="D480" s="8" t="s">
        <v>42</v>
      </c>
      <c r="E480" s="14">
        <v>94.483999999999995</v>
      </c>
      <c r="F480" s="14">
        <v>0.92700000000000704</v>
      </c>
    </row>
    <row r="481" spans="1:6" x14ac:dyDescent="0.2">
      <c r="A481" s="8" t="s">
        <v>80</v>
      </c>
      <c r="B481" s="8" t="s">
        <v>38</v>
      </c>
      <c r="C481" s="14">
        <v>86.164000000000001</v>
      </c>
      <c r="D481" s="8" t="s">
        <v>66</v>
      </c>
      <c r="E481" s="14">
        <v>86.771000000000001</v>
      </c>
      <c r="F481" s="14">
        <v>0.60699999999999898</v>
      </c>
    </row>
    <row r="482" spans="1:6" x14ac:dyDescent="0.2">
      <c r="A482" s="8" t="s">
        <v>80</v>
      </c>
      <c r="B482" s="8" t="s">
        <v>40</v>
      </c>
      <c r="C482" s="14">
        <v>81.637</v>
      </c>
      <c r="D482" s="8" t="s">
        <v>65</v>
      </c>
      <c r="E482" s="14">
        <v>82.503</v>
      </c>
      <c r="F482" s="14">
        <v>0.86599999999999999</v>
      </c>
    </row>
    <row r="483" spans="1:6" x14ac:dyDescent="0.2">
      <c r="A483" s="8" t="s">
        <v>80</v>
      </c>
      <c r="B483" s="8" t="s">
        <v>46</v>
      </c>
      <c r="C483" s="14">
        <v>118.339</v>
      </c>
      <c r="D483" s="8" t="s">
        <v>48</v>
      </c>
      <c r="E483" s="14">
        <v>118.339</v>
      </c>
      <c r="F483" s="14">
        <v>0</v>
      </c>
    </row>
    <row r="484" spans="1:6" x14ac:dyDescent="0.2">
      <c r="A484" s="8" t="s">
        <v>80</v>
      </c>
      <c r="B484" s="8" t="s">
        <v>50</v>
      </c>
      <c r="C484" s="14">
        <v>80.239000000000004</v>
      </c>
      <c r="D484" s="8" t="s">
        <v>60</v>
      </c>
      <c r="E484" s="14">
        <v>80.016000000000005</v>
      </c>
      <c r="F484" s="14">
        <v>0.222999999999999</v>
      </c>
    </row>
    <row r="485" spans="1:6" x14ac:dyDescent="0.2">
      <c r="A485" s="8" t="s">
        <v>80</v>
      </c>
      <c r="B485" s="8" t="s">
        <v>55</v>
      </c>
      <c r="C485" s="14">
        <v>74.073999999999998</v>
      </c>
      <c r="D485" s="8" t="s">
        <v>57</v>
      </c>
      <c r="E485" s="14">
        <v>74.073999999999998</v>
      </c>
      <c r="F485" s="14">
        <v>0</v>
      </c>
    </row>
    <row r="486" spans="1:6" x14ac:dyDescent="0.2">
      <c r="A486" s="8" t="s">
        <v>80</v>
      </c>
      <c r="B486" s="8" t="s">
        <v>61</v>
      </c>
      <c r="C486" s="14">
        <v>121.97</v>
      </c>
      <c r="D486" s="8" t="s">
        <v>63</v>
      </c>
      <c r="E486" s="14">
        <v>122.33199999999999</v>
      </c>
      <c r="F486" s="14">
        <v>0.36199999999999499</v>
      </c>
    </row>
    <row r="487" spans="1:6" x14ac:dyDescent="0.2">
      <c r="A487" s="8" t="s">
        <v>81</v>
      </c>
      <c r="B487" s="8" t="s">
        <v>17</v>
      </c>
      <c r="C487" s="14">
        <v>5.2290000000000001</v>
      </c>
      <c r="D487" s="8" t="s">
        <v>52</v>
      </c>
      <c r="E487" s="14">
        <v>5.0339999999999998</v>
      </c>
      <c r="F487" s="14">
        <v>0.19500000000000001</v>
      </c>
    </row>
    <row r="488" spans="1:6" x14ac:dyDescent="0.2">
      <c r="A488" s="8" t="s">
        <v>81</v>
      </c>
      <c r="B488" s="8" t="s">
        <v>19</v>
      </c>
      <c r="C488" s="14">
        <v>6.4820000000000002</v>
      </c>
      <c r="D488" s="8" t="s">
        <v>50</v>
      </c>
      <c r="E488" s="14">
        <v>6.391</v>
      </c>
      <c r="F488" s="14">
        <v>9.1000000000000206E-2</v>
      </c>
    </row>
    <row r="489" spans="1:6" x14ac:dyDescent="0.2">
      <c r="A489" s="8" t="s">
        <v>81</v>
      </c>
      <c r="B489" s="8" t="s">
        <v>19</v>
      </c>
      <c r="C489" s="14">
        <v>6.4820000000000002</v>
      </c>
      <c r="D489" s="8" t="s">
        <v>59</v>
      </c>
      <c r="E489" s="14">
        <v>6.3289999999999997</v>
      </c>
      <c r="F489" s="14">
        <v>0.153000000000001</v>
      </c>
    </row>
    <row r="490" spans="1:6" x14ac:dyDescent="0.2">
      <c r="A490" s="8" t="s">
        <v>81</v>
      </c>
      <c r="B490" s="8" t="s">
        <v>19</v>
      </c>
      <c r="C490" s="14">
        <v>6.4820000000000002</v>
      </c>
      <c r="D490" s="8" t="s">
        <v>68</v>
      </c>
      <c r="E490" s="14">
        <v>6.4660000000000002</v>
      </c>
      <c r="F490" s="14">
        <v>1.6E-2</v>
      </c>
    </row>
    <row r="491" spans="1:6" x14ac:dyDescent="0.2">
      <c r="A491" s="8" t="s">
        <v>81</v>
      </c>
      <c r="B491" s="8" t="s">
        <v>20</v>
      </c>
      <c r="C491" s="14">
        <v>2.8580000000000001</v>
      </c>
      <c r="D491" s="8" t="s">
        <v>24</v>
      </c>
      <c r="E491" s="14">
        <v>2.9390000000000001</v>
      </c>
      <c r="F491" s="14">
        <v>8.1000000000000003E-2</v>
      </c>
    </row>
    <row r="492" spans="1:6" x14ac:dyDescent="0.2">
      <c r="A492" s="8" t="s">
        <v>81</v>
      </c>
      <c r="B492" s="8" t="s">
        <v>20</v>
      </c>
      <c r="C492" s="14">
        <v>2.8580000000000001</v>
      </c>
      <c r="D492" s="8" t="s">
        <v>32</v>
      </c>
      <c r="E492" s="14">
        <v>3.0920000000000001</v>
      </c>
      <c r="F492" s="14">
        <v>0.23400000000000001</v>
      </c>
    </row>
    <row r="493" spans="1:6" x14ac:dyDescent="0.2">
      <c r="A493" s="8" t="s">
        <v>81</v>
      </c>
      <c r="B493" s="8" t="s">
        <v>24</v>
      </c>
      <c r="C493" s="14">
        <v>2.9390000000000001</v>
      </c>
      <c r="D493" s="8" t="s">
        <v>32</v>
      </c>
      <c r="E493" s="14">
        <v>3.0920000000000001</v>
      </c>
      <c r="F493" s="14">
        <v>0.153</v>
      </c>
    </row>
    <row r="494" spans="1:6" x14ac:dyDescent="0.2">
      <c r="A494" s="8" t="s">
        <v>81</v>
      </c>
      <c r="B494" s="8" t="s">
        <v>27</v>
      </c>
      <c r="C494" s="14">
        <v>2.3130000000000002</v>
      </c>
      <c r="D494" s="8" t="s">
        <v>28</v>
      </c>
      <c r="E494" s="14">
        <v>2.1659999999999999</v>
      </c>
      <c r="F494" s="14">
        <v>0.14699999999999999</v>
      </c>
    </row>
    <row r="495" spans="1:6" x14ac:dyDescent="0.2">
      <c r="A495" s="8" t="s">
        <v>81</v>
      </c>
      <c r="B495" s="8" t="s">
        <v>27</v>
      </c>
      <c r="C495" s="14">
        <v>2.3130000000000002</v>
      </c>
      <c r="D495" s="8" t="s">
        <v>38</v>
      </c>
      <c r="E495" s="14">
        <v>2.206</v>
      </c>
      <c r="F495" s="14">
        <v>0.107</v>
      </c>
    </row>
    <row r="496" spans="1:6" x14ac:dyDescent="0.2">
      <c r="A496" s="8" t="s">
        <v>81</v>
      </c>
      <c r="B496" s="8" t="s">
        <v>27</v>
      </c>
      <c r="C496" s="14">
        <v>2.3130000000000002</v>
      </c>
      <c r="D496" s="8" t="s">
        <v>42</v>
      </c>
      <c r="E496" s="14">
        <v>2.2709999999999999</v>
      </c>
      <c r="F496" s="14">
        <v>4.2000000000000301E-2</v>
      </c>
    </row>
    <row r="497" spans="1:6" x14ac:dyDescent="0.2">
      <c r="A497" s="8" t="s">
        <v>81</v>
      </c>
      <c r="B497" s="8" t="s">
        <v>27</v>
      </c>
      <c r="C497" s="14">
        <v>2.3130000000000002</v>
      </c>
      <c r="D497" s="8" t="s">
        <v>44</v>
      </c>
      <c r="E497" s="14">
        <v>2.407</v>
      </c>
      <c r="F497" s="14">
        <v>9.3999999999999903E-2</v>
      </c>
    </row>
    <row r="498" spans="1:6" x14ac:dyDescent="0.2">
      <c r="A498" s="8" t="s">
        <v>81</v>
      </c>
      <c r="B498" s="8" t="s">
        <v>27</v>
      </c>
      <c r="C498" s="14">
        <v>2.3130000000000002</v>
      </c>
      <c r="D498" s="8" t="s">
        <v>60</v>
      </c>
      <c r="E498" s="14">
        <v>2.4220000000000002</v>
      </c>
      <c r="F498" s="14">
        <v>0.109</v>
      </c>
    </row>
    <row r="499" spans="1:6" x14ac:dyDescent="0.2">
      <c r="A499" s="8" t="s">
        <v>81</v>
      </c>
      <c r="B499" s="8" t="s">
        <v>27</v>
      </c>
      <c r="C499" s="14">
        <v>2.3130000000000002</v>
      </c>
      <c r="D499" s="8" t="s">
        <v>66</v>
      </c>
      <c r="E499" s="14">
        <v>2.1970000000000001</v>
      </c>
      <c r="F499" s="14">
        <v>0.11600000000000001</v>
      </c>
    </row>
    <row r="500" spans="1:6" x14ac:dyDescent="0.2">
      <c r="A500" s="8" t="s">
        <v>81</v>
      </c>
      <c r="B500" s="8" t="s">
        <v>28</v>
      </c>
      <c r="C500" s="14">
        <v>2.1659999999999999</v>
      </c>
      <c r="D500" s="8" t="s">
        <v>38</v>
      </c>
      <c r="E500" s="14">
        <v>2.206</v>
      </c>
      <c r="F500" s="14">
        <v>0.04</v>
      </c>
    </row>
    <row r="501" spans="1:6" x14ac:dyDescent="0.2">
      <c r="A501" s="8" t="s">
        <v>81</v>
      </c>
      <c r="B501" s="8" t="s">
        <v>28</v>
      </c>
      <c r="C501" s="14">
        <v>2.1659999999999999</v>
      </c>
      <c r="D501" s="8" t="s">
        <v>42</v>
      </c>
      <c r="E501" s="14">
        <v>2.2709999999999999</v>
      </c>
      <c r="F501" s="14">
        <v>0.105</v>
      </c>
    </row>
    <row r="502" spans="1:6" x14ac:dyDescent="0.2">
      <c r="A502" s="8" t="s">
        <v>81</v>
      </c>
      <c r="B502" s="8" t="s">
        <v>28</v>
      </c>
      <c r="C502" s="14">
        <v>2.1659999999999999</v>
      </c>
      <c r="D502" s="8" t="s">
        <v>66</v>
      </c>
      <c r="E502" s="14">
        <v>2.1970000000000001</v>
      </c>
      <c r="F502" s="14">
        <v>3.10000000000001E-2</v>
      </c>
    </row>
    <row r="503" spans="1:6" x14ac:dyDescent="0.2">
      <c r="A503" s="8" t="s">
        <v>81</v>
      </c>
      <c r="B503" s="8" t="s">
        <v>30</v>
      </c>
      <c r="C503" s="14">
        <v>8.4770000000000003</v>
      </c>
      <c r="D503" s="8" t="s">
        <v>36</v>
      </c>
      <c r="E503" s="14">
        <v>7.9050000000000002</v>
      </c>
      <c r="F503" s="14">
        <v>0.57199999999999995</v>
      </c>
    </row>
    <row r="504" spans="1:6" x14ac:dyDescent="0.2">
      <c r="A504" s="8" t="s">
        <v>81</v>
      </c>
      <c r="B504" s="8" t="s">
        <v>32</v>
      </c>
      <c r="C504" s="14">
        <v>3.0920000000000001</v>
      </c>
      <c r="D504" s="8" t="s">
        <v>65</v>
      </c>
      <c r="E504" s="14">
        <v>3.419</v>
      </c>
      <c r="F504" s="14">
        <v>0.32700000000000001</v>
      </c>
    </row>
    <row r="505" spans="1:6" x14ac:dyDescent="0.2">
      <c r="A505" s="8" t="s">
        <v>81</v>
      </c>
      <c r="B505" s="8" t="s">
        <v>33</v>
      </c>
      <c r="C505" s="14">
        <v>4.391</v>
      </c>
      <c r="D505" s="8" t="s">
        <v>61</v>
      </c>
      <c r="E505" s="14">
        <v>4.63</v>
      </c>
      <c r="F505" s="14">
        <v>0.23899999999999999</v>
      </c>
    </row>
    <row r="506" spans="1:6" x14ac:dyDescent="0.2">
      <c r="A506" s="8" t="s">
        <v>81</v>
      </c>
      <c r="B506" s="8" t="s">
        <v>33</v>
      </c>
      <c r="C506" s="14">
        <v>4.391</v>
      </c>
      <c r="D506" s="8" t="s">
        <v>63</v>
      </c>
      <c r="E506" s="14">
        <v>4.1619999999999999</v>
      </c>
      <c r="F506" s="14">
        <v>0.22900000000000001</v>
      </c>
    </row>
    <row r="507" spans="1:6" x14ac:dyDescent="0.2">
      <c r="A507" s="8" t="s">
        <v>81</v>
      </c>
      <c r="B507" s="8" t="s">
        <v>38</v>
      </c>
      <c r="C507" s="14">
        <v>2.206</v>
      </c>
      <c r="D507" s="8" t="s">
        <v>42</v>
      </c>
      <c r="E507" s="14">
        <v>2.2709999999999999</v>
      </c>
      <c r="F507" s="14">
        <v>6.5000000000000002E-2</v>
      </c>
    </row>
    <row r="508" spans="1:6" x14ac:dyDescent="0.2">
      <c r="A508" s="8" t="s">
        <v>81</v>
      </c>
      <c r="B508" s="8" t="s">
        <v>38</v>
      </c>
      <c r="C508" s="14">
        <v>2.206</v>
      </c>
      <c r="D508" s="8" t="s">
        <v>44</v>
      </c>
      <c r="E508" s="14">
        <v>2.407</v>
      </c>
      <c r="F508" s="14">
        <v>0.20100000000000001</v>
      </c>
    </row>
    <row r="509" spans="1:6" x14ac:dyDescent="0.2">
      <c r="A509" s="8" t="s">
        <v>81</v>
      </c>
      <c r="B509" s="8" t="s">
        <v>38</v>
      </c>
      <c r="C509" s="14">
        <v>2.206</v>
      </c>
      <c r="D509" s="8" t="s">
        <v>60</v>
      </c>
      <c r="E509" s="14">
        <v>2.4220000000000002</v>
      </c>
      <c r="F509" s="14">
        <v>0.216</v>
      </c>
    </row>
    <row r="510" spans="1:6" x14ac:dyDescent="0.2">
      <c r="A510" s="8" t="s">
        <v>81</v>
      </c>
      <c r="B510" s="8" t="s">
        <v>38</v>
      </c>
      <c r="C510" s="14">
        <v>2.206</v>
      </c>
      <c r="D510" s="8" t="s">
        <v>66</v>
      </c>
      <c r="E510" s="14">
        <v>2.1970000000000001</v>
      </c>
      <c r="F510" s="14">
        <v>8.9999999999999004E-3</v>
      </c>
    </row>
    <row r="511" spans="1:6" x14ac:dyDescent="0.2">
      <c r="A511" s="8" t="s">
        <v>81</v>
      </c>
      <c r="B511" s="8" t="s">
        <v>42</v>
      </c>
      <c r="C511" s="14">
        <v>2.2709999999999999</v>
      </c>
      <c r="D511" s="8" t="s">
        <v>44</v>
      </c>
      <c r="E511" s="14">
        <v>2.407</v>
      </c>
      <c r="F511" s="14">
        <v>0.13600000000000001</v>
      </c>
    </row>
    <row r="512" spans="1:6" x14ac:dyDescent="0.2">
      <c r="A512" s="8" t="s">
        <v>81</v>
      </c>
      <c r="B512" s="8" t="s">
        <v>42</v>
      </c>
      <c r="C512" s="14">
        <v>2.2709999999999999</v>
      </c>
      <c r="D512" s="8" t="s">
        <v>60</v>
      </c>
      <c r="E512" s="14">
        <v>2.4220000000000002</v>
      </c>
      <c r="F512" s="14">
        <v>0.151</v>
      </c>
    </row>
    <row r="513" spans="1:6" x14ac:dyDescent="0.2">
      <c r="A513" s="8" t="s">
        <v>81</v>
      </c>
      <c r="B513" s="8" t="s">
        <v>42</v>
      </c>
      <c r="C513" s="14">
        <v>2.2709999999999999</v>
      </c>
      <c r="D513" s="8" t="s">
        <v>66</v>
      </c>
      <c r="E513" s="14">
        <v>2.1970000000000001</v>
      </c>
      <c r="F513" s="14">
        <v>7.3999999999999802E-2</v>
      </c>
    </row>
    <row r="514" spans="1:6" x14ac:dyDescent="0.2">
      <c r="A514" s="8" t="s">
        <v>81</v>
      </c>
      <c r="B514" s="8" t="s">
        <v>44</v>
      </c>
      <c r="C514" s="14">
        <v>2.407</v>
      </c>
      <c r="D514" s="8" t="s">
        <v>60</v>
      </c>
      <c r="E514" s="14">
        <v>2.4220000000000002</v>
      </c>
      <c r="F514" s="14">
        <v>1.50000000000001E-2</v>
      </c>
    </row>
    <row r="515" spans="1:6" x14ac:dyDescent="0.2">
      <c r="A515" s="8" t="s">
        <v>81</v>
      </c>
      <c r="B515" s="8" t="s">
        <v>44</v>
      </c>
      <c r="C515" s="14">
        <v>2.407</v>
      </c>
      <c r="D515" s="8" t="s">
        <v>66</v>
      </c>
      <c r="E515" s="14">
        <v>2.1970000000000001</v>
      </c>
      <c r="F515" s="14">
        <v>0.21</v>
      </c>
    </row>
    <row r="516" spans="1:6" x14ac:dyDescent="0.2">
      <c r="A516" s="8" t="s">
        <v>81</v>
      </c>
      <c r="B516" s="8" t="s">
        <v>46</v>
      </c>
      <c r="C516" s="14">
        <v>12.843999999999999</v>
      </c>
      <c r="D516" s="8" t="s">
        <v>48</v>
      </c>
      <c r="E516" s="14">
        <v>12.843999999999999</v>
      </c>
      <c r="F516" s="14">
        <v>0</v>
      </c>
    </row>
    <row r="517" spans="1:6" x14ac:dyDescent="0.2">
      <c r="A517" s="8" t="s">
        <v>81</v>
      </c>
      <c r="B517" s="8" t="s">
        <v>50</v>
      </c>
      <c r="C517" s="14">
        <v>6.391</v>
      </c>
      <c r="D517" s="8" t="s">
        <v>59</v>
      </c>
      <c r="E517" s="14">
        <v>6.3289999999999997</v>
      </c>
      <c r="F517" s="14">
        <v>6.2000000000000298E-2</v>
      </c>
    </row>
    <row r="518" spans="1:6" x14ac:dyDescent="0.2">
      <c r="A518" s="8" t="s">
        <v>81</v>
      </c>
      <c r="B518" s="8" t="s">
        <v>50</v>
      </c>
      <c r="C518" s="14">
        <v>6.391</v>
      </c>
      <c r="D518" s="8" t="s">
        <v>68</v>
      </c>
      <c r="E518" s="14">
        <v>6.4660000000000002</v>
      </c>
      <c r="F518" s="14">
        <v>7.5000000000000205E-2</v>
      </c>
    </row>
    <row r="519" spans="1:6" x14ac:dyDescent="0.2">
      <c r="A519" s="8" t="s">
        <v>81</v>
      </c>
      <c r="B519" s="8" t="s">
        <v>51</v>
      </c>
      <c r="C519" s="14">
        <v>3.79</v>
      </c>
      <c r="D519" s="8" t="s">
        <v>63</v>
      </c>
      <c r="E519" s="14">
        <v>4.1619999999999999</v>
      </c>
      <c r="F519" s="14">
        <v>0.372</v>
      </c>
    </row>
    <row r="520" spans="1:6" x14ac:dyDescent="0.2">
      <c r="A520" s="8" t="s">
        <v>81</v>
      </c>
      <c r="B520" s="8" t="s">
        <v>51</v>
      </c>
      <c r="C520" s="14">
        <v>3.79</v>
      </c>
      <c r="D520" s="8" t="s">
        <v>65</v>
      </c>
      <c r="E520" s="14">
        <v>3.419</v>
      </c>
      <c r="F520" s="14">
        <v>0.371</v>
      </c>
    </row>
    <row r="521" spans="1:6" x14ac:dyDescent="0.2">
      <c r="A521" s="8" t="s">
        <v>81</v>
      </c>
      <c r="B521" s="8" t="s">
        <v>52</v>
      </c>
      <c r="C521" s="14">
        <v>5.0339999999999998</v>
      </c>
      <c r="D521" s="8" t="s">
        <v>61</v>
      </c>
      <c r="E521" s="14">
        <v>4.63</v>
      </c>
      <c r="F521" s="14">
        <v>0.40400000000000003</v>
      </c>
    </row>
    <row r="522" spans="1:6" x14ac:dyDescent="0.2">
      <c r="A522" s="8" t="s">
        <v>81</v>
      </c>
      <c r="B522" s="8" t="s">
        <v>55</v>
      </c>
      <c r="C522" s="14">
        <v>20.111999999999998</v>
      </c>
      <c r="D522" s="8" t="s">
        <v>57</v>
      </c>
      <c r="E522" s="14">
        <v>20.111999999999998</v>
      </c>
      <c r="F522" s="14">
        <v>0</v>
      </c>
    </row>
    <row r="523" spans="1:6" x14ac:dyDescent="0.2">
      <c r="A523" s="8" t="s">
        <v>81</v>
      </c>
      <c r="B523" s="8" t="s">
        <v>59</v>
      </c>
      <c r="C523" s="14">
        <v>6.3289999999999997</v>
      </c>
      <c r="D523" s="8" t="s">
        <v>68</v>
      </c>
      <c r="E523" s="14">
        <v>6.4660000000000002</v>
      </c>
      <c r="F523" s="14">
        <v>0.13700000000000101</v>
      </c>
    </row>
    <row r="524" spans="1:6" x14ac:dyDescent="0.2">
      <c r="A524" s="8" t="s">
        <v>81</v>
      </c>
      <c r="B524" s="8" t="s">
        <v>60</v>
      </c>
      <c r="C524" s="14">
        <v>2.4220000000000002</v>
      </c>
      <c r="D524" s="8" t="s">
        <v>66</v>
      </c>
      <c r="E524" s="14">
        <v>2.1970000000000001</v>
      </c>
      <c r="F524" s="14">
        <v>0.22500000000000001</v>
      </c>
    </row>
    <row r="525" spans="1:6" x14ac:dyDescent="0.2">
      <c r="A525" s="8" t="s">
        <v>82</v>
      </c>
      <c r="B525" s="8" t="s">
        <v>17</v>
      </c>
      <c r="C525" s="14">
        <v>2.3210000000000002</v>
      </c>
      <c r="D525" s="8" t="s">
        <v>38</v>
      </c>
      <c r="E525" s="14">
        <v>2.2999999999999998</v>
      </c>
      <c r="F525" s="14">
        <v>2.10000000000004E-2</v>
      </c>
    </row>
    <row r="526" spans="1:6" x14ac:dyDescent="0.2">
      <c r="A526" s="8" t="s">
        <v>82</v>
      </c>
      <c r="B526" s="8" t="s">
        <v>17</v>
      </c>
      <c r="C526" s="14">
        <v>2.3210000000000002</v>
      </c>
      <c r="D526" s="8" t="s">
        <v>57</v>
      </c>
      <c r="E526" s="14">
        <v>2.573</v>
      </c>
      <c r="F526" s="14">
        <v>0.252</v>
      </c>
    </row>
    <row r="527" spans="1:6" x14ac:dyDescent="0.2">
      <c r="A527" s="8" t="s">
        <v>82</v>
      </c>
      <c r="B527" s="8" t="s">
        <v>19</v>
      </c>
      <c r="C527" s="14">
        <v>3.9329999999999998</v>
      </c>
      <c r="D527" s="8" t="s">
        <v>27</v>
      </c>
      <c r="E527" s="14">
        <v>3.6680000000000001</v>
      </c>
      <c r="F527" s="14">
        <v>0.26500000000000001</v>
      </c>
    </row>
    <row r="528" spans="1:6" x14ac:dyDescent="0.2">
      <c r="A528" s="8" t="s">
        <v>82</v>
      </c>
      <c r="B528" s="8" t="s">
        <v>19</v>
      </c>
      <c r="C528" s="14">
        <v>3.9329999999999998</v>
      </c>
      <c r="D528" s="8" t="s">
        <v>28</v>
      </c>
      <c r="E528" s="14">
        <v>3.5550000000000002</v>
      </c>
      <c r="F528" s="14">
        <v>0.378</v>
      </c>
    </row>
    <row r="529" spans="1:6" x14ac:dyDescent="0.2">
      <c r="A529" s="8" t="s">
        <v>82</v>
      </c>
      <c r="B529" s="8" t="s">
        <v>19</v>
      </c>
      <c r="C529" s="14">
        <v>3.9329999999999998</v>
      </c>
      <c r="D529" s="8" t="s">
        <v>33</v>
      </c>
      <c r="E529" s="14">
        <v>4.1289999999999996</v>
      </c>
      <c r="F529" s="14">
        <v>0.19600000000000001</v>
      </c>
    </row>
    <row r="530" spans="1:6" x14ac:dyDescent="0.2">
      <c r="A530" s="8" t="s">
        <v>82</v>
      </c>
      <c r="B530" s="8" t="s">
        <v>19</v>
      </c>
      <c r="C530" s="14">
        <v>3.9329999999999998</v>
      </c>
      <c r="D530" s="8" t="s">
        <v>36</v>
      </c>
      <c r="E530" s="14">
        <v>4.0620000000000003</v>
      </c>
      <c r="F530" s="14">
        <v>0.129</v>
      </c>
    </row>
    <row r="531" spans="1:6" x14ac:dyDescent="0.2">
      <c r="A531" s="8" t="s">
        <v>82</v>
      </c>
      <c r="B531" s="8" t="s">
        <v>19</v>
      </c>
      <c r="C531" s="14">
        <v>3.9329999999999998</v>
      </c>
      <c r="D531" s="8" t="s">
        <v>51</v>
      </c>
      <c r="E531" s="14">
        <v>3.6110000000000002</v>
      </c>
      <c r="F531" s="14">
        <v>0.32200000000000001</v>
      </c>
    </row>
    <row r="532" spans="1:6" x14ac:dyDescent="0.2">
      <c r="A532" s="8" t="s">
        <v>82</v>
      </c>
      <c r="B532" s="8" t="s">
        <v>19</v>
      </c>
      <c r="C532" s="14">
        <v>3.9329999999999998</v>
      </c>
      <c r="D532" s="8" t="s">
        <v>54</v>
      </c>
      <c r="E532" s="14">
        <v>3.96</v>
      </c>
      <c r="F532" s="14">
        <v>2.70000000000001E-2</v>
      </c>
    </row>
    <row r="533" spans="1:6" x14ac:dyDescent="0.2">
      <c r="A533" s="8" t="s">
        <v>82</v>
      </c>
      <c r="B533" s="8" t="s">
        <v>20</v>
      </c>
      <c r="C533" s="14">
        <v>4.5529999999999999</v>
      </c>
      <c r="D533" s="8" t="s">
        <v>22</v>
      </c>
      <c r="E533" s="14">
        <v>4.5579999999999998</v>
      </c>
      <c r="F533" s="14">
        <v>4.9999999999998899E-3</v>
      </c>
    </row>
    <row r="534" spans="1:6" x14ac:dyDescent="0.2">
      <c r="A534" s="8" t="s">
        <v>82</v>
      </c>
      <c r="B534" s="8" t="s">
        <v>20</v>
      </c>
      <c r="C534" s="14">
        <v>4.5529999999999999</v>
      </c>
      <c r="D534" s="8" t="s">
        <v>25</v>
      </c>
      <c r="E534" s="14">
        <v>4.5039999999999996</v>
      </c>
      <c r="F534" s="14">
        <v>4.9000000000000397E-2</v>
      </c>
    </row>
    <row r="535" spans="1:6" x14ac:dyDescent="0.2">
      <c r="A535" s="8" t="s">
        <v>82</v>
      </c>
      <c r="B535" s="8" t="s">
        <v>20</v>
      </c>
      <c r="C535" s="14">
        <v>4.5529999999999999</v>
      </c>
      <c r="D535" s="8" t="s">
        <v>32</v>
      </c>
      <c r="E535" s="14">
        <v>4.4429999999999996</v>
      </c>
      <c r="F535" s="14">
        <v>0.11</v>
      </c>
    </row>
    <row r="536" spans="1:6" x14ac:dyDescent="0.2">
      <c r="A536" s="8" t="s">
        <v>82</v>
      </c>
      <c r="B536" s="8" t="s">
        <v>20</v>
      </c>
      <c r="C536" s="14">
        <v>4.5529999999999999</v>
      </c>
      <c r="D536" s="8" t="s">
        <v>33</v>
      </c>
      <c r="E536" s="14">
        <v>4.1289999999999996</v>
      </c>
      <c r="F536" s="14">
        <v>0.42399999999999999</v>
      </c>
    </row>
    <row r="537" spans="1:6" x14ac:dyDescent="0.2">
      <c r="A537" s="8" t="s">
        <v>82</v>
      </c>
      <c r="B537" s="8" t="s">
        <v>20</v>
      </c>
      <c r="C537" s="14">
        <v>4.5529999999999999</v>
      </c>
      <c r="D537" s="8" t="s">
        <v>44</v>
      </c>
      <c r="E537" s="14">
        <v>4.5350000000000001</v>
      </c>
      <c r="F537" s="14">
        <v>1.7999999999999801E-2</v>
      </c>
    </row>
    <row r="538" spans="1:6" x14ac:dyDescent="0.2">
      <c r="A538" s="8" t="s">
        <v>82</v>
      </c>
      <c r="B538" s="8" t="s">
        <v>20</v>
      </c>
      <c r="C538" s="14">
        <v>4.5529999999999999</v>
      </c>
      <c r="D538" s="8" t="s">
        <v>55</v>
      </c>
      <c r="E538" s="14">
        <v>4.9969999999999999</v>
      </c>
      <c r="F538" s="14">
        <v>0.44400000000000001</v>
      </c>
    </row>
    <row r="539" spans="1:6" x14ac:dyDescent="0.2">
      <c r="A539" s="8" t="s">
        <v>82</v>
      </c>
      <c r="B539" s="8" t="s">
        <v>22</v>
      </c>
      <c r="C539" s="14">
        <v>4.5579999999999998</v>
      </c>
      <c r="D539" s="8" t="s">
        <v>25</v>
      </c>
      <c r="E539" s="14">
        <v>4.5039999999999996</v>
      </c>
      <c r="F539" s="14">
        <v>5.4000000000000298E-2</v>
      </c>
    </row>
    <row r="540" spans="1:6" x14ac:dyDescent="0.2">
      <c r="A540" s="8" t="s">
        <v>82</v>
      </c>
      <c r="B540" s="8" t="s">
        <v>22</v>
      </c>
      <c r="C540" s="14">
        <v>4.5579999999999998</v>
      </c>
      <c r="D540" s="8" t="s">
        <v>32</v>
      </c>
      <c r="E540" s="14">
        <v>4.4429999999999996</v>
      </c>
      <c r="F540" s="14">
        <v>0.115</v>
      </c>
    </row>
    <row r="541" spans="1:6" x14ac:dyDescent="0.2">
      <c r="A541" s="8" t="s">
        <v>82</v>
      </c>
      <c r="B541" s="8" t="s">
        <v>22</v>
      </c>
      <c r="C541" s="14">
        <v>4.5579999999999998</v>
      </c>
      <c r="D541" s="8" t="s">
        <v>33</v>
      </c>
      <c r="E541" s="14">
        <v>4.1289999999999996</v>
      </c>
      <c r="F541" s="14">
        <v>0.42899999999999999</v>
      </c>
    </row>
    <row r="542" spans="1:6" x14ac:dyDescent="0.2">
      <c r="A542" s="8" t="s">
        <v>82</v>
      </c>
      <c r="B542" s="8" t="s">
        <v>22</v>
      </c>
      <c r="C542" s="14">
        <v>4.5579999999999998</v>
      </c>
      <c r="D542" s="8" t="s">
        <v>44</v>
      </c>
      <c r="E542" s="14">
        <v>4.5350000000000001</v>
      </c>
      <c r="F542" s="14">
        <v>2.2999999999999701E-2</v>
      </c>
    </row>
    <row r="543" spans="1:6" x14ac:dyDescent="0.2">
      <c r="A543" s="8" t="s">
        <v>82</v>
      </c>
      <c r="B543" s="8" t="s">
        <v>22</v>
      </c>
      <c r="C543" s="14">
        <v>4.5579999999999998</v>
      </c>
      <c r="D543" s="8" t="s">
        <v>55</v>
      </c>
      <c r="E543" s="14">
        <v>4.9969999999999999</v>
      </c>
      <c r="F543" s="14">
        <v>0.439</v>
      </c>
    </row>
    <row r="544" spans="1:6" x14ac:dyDescent="0.2">
      <c r="A544" s="8" t="s">
        <v>82</v>
      </c>
      <c r="B544" s="8" t="s">
        <v>24</v>
      </c>
      <c r="C544" s="14">
        <v>5.0730000000000004</v>
      </c>
      <c r="D544" s="8" t="s">
        <v>34</v>
      </c>
      <c r="E544" s="14">
        <v>5.5350000000000001</v>
      </c>
      <c r="F544" s="14">
        <v>0.46200000000000002</v>
      </c>
    </row>
    <row r="545" spans="1:6" x14ac:dyDescent="0.2">
      <c r="A545" s="8" t="s">
        <v>82</v>
      </c>
      <c r="B545" s="8" t="s">
        <v>24</v>
      </c>
      <c r="C545" s="14">
        <v>5.0730000000000004</v>
      </c>
      <c r="D545" s="8" t="s">
        <v>55</v>
      </c>
      <c r="E545" s="14">
        <v>4.9969999999999999</v>
      </c>
      <c r="F545" s="14">
        <v>7.6000000000000498E-2</v>
      </c>
    </row>
    <row r="546" spans="1:6" x14ac:dyDescent="0.2">
      <c r="A546" s="8" t="s">
        <v>82</v>
      </c>
      <c r="B546" s="8" t="s">
        <v>25</v>
      </c>
      <c r="C546" s="14">
        <v>4.5039999999999996</v>
      </c>
      <c r="D546" s="8" t="s">
        <v>32</v>
      </c>
      <c r="E546" s="14">
        <v>4.4429999999999996</v>
      </c>
      <c r="F546" s="14">
        <v>6.0999999999999902E-2</v>
      </c>
    </row>
    <row r="547" spans="1:6" x14ac:dyDescent="0.2">
      <c r="A547" s="8" t="s">
        <v>82</v>
      </c>
      <c r="B547" s="8" t="s">
        <v>25</v>
      </c>
      <c r="C547" s="14">
        <v>4.5039999999999996</v>
      </c>
      <c r="D547" s="8" t="s">
        <v>33</v>
      </c>
      <c r="E547" s="14">
        <v>4.1289999999999996</v>
      </c>
      <c r="F547" s="14">
        <v>0.375</v>
      </c>
    </row>
    <row r="548" spans="1:6" x14ac:dyDescent="0.2">
      <c r="A548" s="8" t="s">
        <v>82</v>
      </c>
      <c r="B548" s="8" t="s">
        <v>25</v>
      </c>
      <c r="C548" s="14">
        <v>4.5039999999999996</v>
      </c>
      <c r="D548" s="8" t="s">
        <v>36</v>
      </c>
      <c r="E548" s="14">
        <v>4.0620000000000003</v>
      </c>
      <c r="F548" s="14">
        <v>0.441999999999999</v>
      </c>
    </row>
    <row r="549" spans="1:6" x14ac:dyDescent="0.2">
      <c r="A549" s="8" t="s">
        <v>82</v>
      </c>
      <c r="B549" s="8" t="s">
        <v>25</v>
      </c>
      <c r="C549" s="14">
        <v>4.5039999999999996</v>
      </c>
      <c r="D549" s="8" t="s">
        <v>44</v>
      </c>
      <c r="E549" s="14">
        <v>4.5350000000000001</v>
      </c>
      <c r="F549" s="14">
        <v>3.10000000000006E-2</v>
      </c>
    </row>
    <row r="550" spans="1:6" x14ac:dyDescent="0.2">
      <c r="A550" s="8" t="s">
        <v>82</v>
      </c>
      <c r="B550" s="8" t="s">
        <v>25</v>
      </c>
      <c r="C550" s="14">
        <v>4.5039999999999996</v>
      </c>
      <c r="D550" s="8" t="s">
        <v>55</v>
      </c>
      <c r="E550" s="14">
        <v>4.9969999999999999</v>
      </c>
      <c r="F550" s="14">
        <v>0.49299999999999999</v>
      </c>
    </row>
    <row r="551" spans="1:6" x14ac:dyDescent="0.2">
      <c r="A551" s="8" t="s">
        <v>82</v>
      </c>
      <c r="B551" s="8" t="s">
        <v>27</v>
      </c>
      <c r="C551" s="14">
        <v>3.6680000000000001</v>
      </c>
      <c r="D551" s="8" t="s">
        <v>28</v>
      </c>
      <c r="E551" s="14">
        <v>3.5550000000000002</v>
      </c>
      <c r="F551" s="14">
        <v>0.113</v>
      </c>
    </row>
    <row r="552" spans="1:6" x14ac:dyDescent="0.2">
      <c r="A552" s="8" t="s">
        <v>82</v>
      </c>
      <c r="B552" s="8" t="s">
        <v>27</v>
      </c>
      <c r="C552" s="14">
        <v>3.6680000000000001</v>
      </c>
      <c r="D552" s="8" t="s">
        <v>36</v>
      </c>
      <c r="E552" s="14">
        <v>4.0620000000000003</v>
      </c>
      <c r="F552" s="14">
        <v>0.39400000000000002</v>
      </c>
    </row>
    <row r="553" spans="1:6" x14ac:dyDescent="0.2">
      <c r="A553" s="8" t="s">
        <v>82</v>
      </c>
      <c r="B553" s="8" t="s">
        <v>27</v>
      </c>
      <c r="C553" s="14">
        <v>3.6680000000000001</v>
      </c>
      <c r="D553" s="8" t="s">
        <v>48</v>
      </c>
      <c r="E553" s="14">
        <v>3.4889999999999999</v>
      </c>
      <c r="F553" s="14">
        <v>0.17899999999999999</v>
      </c>
    </row>
    <row r="554" spans="1:6" x14ac:dyDescent="0.2">
      <c r="A554" s="8" t="s">
        <v>82</v>
      </c>
      <c r="B554" s="8" t="s">
        <v>27</v>
      </c>
      <c r="C554" s="14">
        <v>3.6680000000000001</v>
      </c>
      <c r="D554" s="8" t="s">
        <v>50</v>
      </c>
      <c r="E554" s="14">
        <v>3.383</v>
      </c>
      <c r="F554" s="14">
        <v>0.28499999999999998</v>
      </c>
    </row>
    <row r="555" spans="1:6" x14ac:dyDescent="0.2">
      <c r="A555" s="8" t="s">
        <v>82</v>
      </c>
      <c r="B555" s="8" t="s">
        <v>27</v>
      </c>
      <c r="C555" s="14">
        <v>3.6680000000000001</v>
      </c>
      <c r="D555" s="8" t="s">
        <v>51</v>
      </c>
      <c r="E555" s="14">
        <v>3.6110000000000002</v>
      </c>
      <c r="F555" s="14">
        <v>5.6999999999999898E-2</v>
      </c>
    </row>
    <row r="556" spans="1:6" x14ac:dyDescent="0.2">
      <c r="A556" s="8" t="s">
        <v>82</v>
      </c>
      <c r="B556" s="8" t="s">
        <v>27</v>
      </c>
      <c r="C556" s="14">
        <v>3.6680000000000001</v>
      </c>
      <c r="D556" s="8" t="s">
        <v>54</v>
      </c>
      <c r="E556" s="14">
        <v>3.96</v>
      </c>
      <c r="F556" s="14">
        <v>0.29199999999999998</v>
      </c>
    </row>
    <row r="557" spans="1:6" x14ac:dyDescent="0.2">
      <c r="A557" s="8" t="s">
        <v>82</v>
      </c>
      <c r="B557" s="8" t="s">
        <v>28</v>
      </c>
      <c r="C557" s="14">
        <v>3.5550000000000002</v>
      </c>
      <c r="D557" s="8" t="s">
        <v>48</v>
      </c>
      <c r="E557" s="14">
        <v>3.4889999999999999</v>
      </c>
      <c r="F557" s="14">
        <v>6.6000000000000295E-2</v>
      </c>
    </row>
    <row r="558" spans="1:6" x14ac:dyDescent="0.2">
      <c r="A558" s="8" t="s">
        <v>82</v>
      </c>
      <c r="B558" s="8" t="s">
        <v>28</v>
      </c>
      <c r="C558" s="14">
        <v>3.5550000000000002</v>
      </c>
      <c r="D558" s="8" t="s">
        <v>50</v>
      </c>
      <c r="E558" s="14">
        <v>3.383</v>
      </c>
      <c r="F558" s="14">
        <v>0.17199999999999999</v>
      </c>
    </row>
    <row r="559" spans="1:6" x14ac:dyDescent="0.2">
      <c r="A559" s="8" t="s">
        <v>82</v>
      </c>
      <c r="B559" s="8" t="s">
        <v>28</v>
      </c>
      <c r="C559" s="14">
        <v>3.5550000000000002</v>
      </c>
      <c r="D559" s="8" t="s">
        <v>51</v>
      </c>
      <c r="E559" s="14">
        <v>3.6110000000000002</v>
      </c>
      <c r="F559" s="14">
        <v>5.6000000000000098E-2</v>
      </c>
    </row>
    <row r="560" spans="1:6" x14ac:dyDescent="0.2">
      <c r="A560" s="8" t="s">
        <v>82</v>
      </c>
      <c r="B560" s="8" t="s">
        <v>28</v>
      </c>
      <c r="C560" s="14">
        <v>3.5550000000000002</v>
      </c>
      <c r="D560" s="8" t="s">
        <v>65</v>
      </c>
      <c r="E560" s="14">
        <v>3.2709999999999999</v>
      </c>
      <c r="F560" s="14">
        <v>0.28399999999999997</v>
      </c>
    </row>
    <row r="561" spans="1:6" x14ac:dyDescent="0.2">
      <c r="A561" s="8" t="s">
        <v>82</v>
      </c>
      <c r="B561" s="8" t="s">
        <v>30</v>
      </c>
      <c r="C561" s="14">
        <v>9.7110000000000003</v>
      </c>
      <c r="D561" s="8" t="s">
        <v>52</v>
      </c>
      <c r="E561" s="14">
        <v>10.101000000000001</v>
      </c>
      <c r="F561" s="14">
        <v>0.39000000000000101</v>
      </c>
    </row>
    <row r="562" spans="1:6" x14ac:dyDescent="0.2">
      <c r="A562" s="8" t="s">
        <v>82</v>
      </c>
      <c r="B562" s="8" t="s">
        <v>30</v>
      </c>
      <c r="C562" s="14">
        <v>9.7110000000000003</v>
      </c>
      <c r="D562" s="8" t="s">
        <v>59</v>
      </c>
      <c r="E562" s="14">
        <v>9.5169999999999995</v>
      </c>
      <c r="F562" s="14">
        <v>0.194000000000001</v>
      </c>
    </row>
    <row r="563" spans="1:6" x14ac:dyDescent="0.2">
      <c r="A563" s="8" t="s">
        <v>82</v>
      </c>
      <c r="B563" s="8" t="s">
        <v>32</v>
      </c>
      <c r="C563" s="14">
        <v>4.4429999999999996</v>
      </c>
      <c r="D563" s="8" t="s">
        <v>33</v>
      </c>
      <c r="E563" s="14">
        <v>4.1289999999999996</v>
      </c>
      <c r="F563" s="14">
        <v>0.314</v>
      </c>
    </row>
    <row r="564" spans="1:6" x14ac:dyDescent="0.2">
      <c r="A564" s="8" t="s">
        <v>82</v>
      </c>
      <c r="B564" s="8" t="s">
        <v>32</v>
      </c>
      <c r="C564" s="14">
        <v>4.4429999999999996</v>
      </c>
      <c r="D564" s="8" t="s">
        <v>36</v>
      </c>
      <c r="E564" s="14">
        <v>4.0620000000000003</v>
      </c>
      <c r="F564" s="14">
        <v>0.38099999999999901</v>
      </c>
    </row>
    <row r="565" spans="1:6" x14ac:dyDescent="0.2">
      <c r="A565" s="8" t="s">
        <v>82</v>
      </c>
      <c r="B565" s="8" t="s">
        <v>32</v>
      </c>
      <c r="C565" s="14">
        <v>4.4429999999999996</v>
      </c>
      <c r="D565" s="8" t="s">
        <v>44</v>
      </c>
      <c r="E565" s="14">
        <v>4.5350000000000001</v>
      </c>
      <c r="F565" s="14">
        <v>9.2000000000000498E-2</v>
      </c>
    </row>
    <row r="566" spans="1:6" x14ac:dyDescent="0.2">
      <c r="A566" s="8" t="s">
        <v>82</v>
      </c>
      <c r="B566" s="8" t="s">
        <v>33</v>
      </c>
      <c r="C566" s="14">
        <v>4.1289999999999996</v>
      </c>
      <c r="D566" s="8" t="s">
        <v>36</v>
      </c>
      <c r="E566" s="14">
        <v>4.0620000000000003</v>
      </c>
      <c r="F566" s="14">
        <v>6.6999999999999296E-2</v>
      </c>
    </row>
    <row r="567" spans="1:6" x14ac:dyDescent="0.2">
      <c r="A567" s="8" t="s">
        <v>82</v>
      </c>
      <c r="B567" s="8" t="s">
        <v>33</v>
      </c>
      <c r="C567" s="14">
        <v>4.1289999999999996</v>
      </c>
      <c r="D567" s="8" t="s">
        <v>44</v>
      </c>
      <c r="E567" s="14">
        <v>4.5350000000000001</v>
      </c>
      <c r="F567" s="14">
        <v>0.40600000000000103</v>
      </c>
    </row>
    <row r="568" spans="1:6" x14ac:dyDescent="0.2">
      <c r="A568" s="8" t="s">
        <v>82</v>
      </c>
      <c r="B568" s="8" t="s">
        <v>33</v>
      </c>
      <c r="C568" s="14">
        <v>4.1289999999999996</v>
      </c>
      <c r="D568" s="8" t="s">
        <v>54</v>
      </c>
      <c r="E568" s="14">
        <v>3.96</v>
      </c>
      <c r="F568" s="14">
        <v>0.16900000000000001</v>
      </c>
    </row>
    <row r="569" spans="1:6" x14ac:dyDescent="0.2">
      <c r="A569" s="8" t="s">
        <v>82</v>
      </c>
      <c r="B569" s="8" t="s">
        <v>34</v>
      </c>
      <c r="C569" s="14">
        <v>5.5350000000000001</v>
      </c>
      <c r="D569" s="8" t="s">
        <v>55</v>
      </c>
      <c r="E569" s="14">
        <v>4.9969999999999999</v>
      </c>
      <c r="F569" s="14">
        <v>0.53800000000000003</v>
      </c>
    </row>
    <row r="570" spans="1:6" x14ac:dyDescent="0.2">
      <c r="A570" s="8" t="s">
        <v>82</v>
      </c>
      <c r="B570" s="8" t="s">
        <v>36</v>
      </c>
      <c r="C570" s="14">
        <v>4.0620000000000003</v>
      </c>
      <c r="D570" s="8" t="s">
        <v>54</v>
      </c>
      <c r="E570" s="14">
        <v>3.96</v>
      </c>
      <c r="F570" s="14">
        <v>0.10199999999999999</v>
      </c>
    </row>
    <row r="571" spans="1:6" x14ac:dyDescent="0.2">
      <c r="A571" s="8" t="s">
        <v>82</v>
      </c>
      <c r="B571" s="8" t="s">
        <v>38</v>
      </c>
      <c r="C571" s="14">
        <v>2.2999999999999998</v>
      </c>
      <c r="D571" s="8" t="s">
        <v>40</v>
      </c>
      <c r="E571" s="14">
        <v>2.0830000000000002</v>
      </c>
      <c r="F571" s="14">
        <v>0.217</v>
      </c>
    </row>
    <row r="572" spans="1:6" x14ac:dyDescent="0.2">
      <c r="A572" s="8" t="s">
        <v>82</v>
      </c>
      <c r="B572" s="8" t="s">
        <v>38</v>
      </c>
      <c r="C572" s="14">
        <v>2.2999999999999998</v>
      </c>
      <c r="D572" s="8" t="s">
        <v>66</v>
      </c>
      <c r="E572" s="14">
        <v>2.0859999999999999</v>
      </c>
      <c r="F572" s="14">
        <v>0.214</v>
      </c>
    </row>
    <row r="573" spans="1:6" x14ac:dyDescent="0.2">
      <c r="A573" s="8" t="s">
        <v>82</v>
      </c>
      <c r="B573" s="8" t="s">
        <v>40</v>
      </c>
      <c r="C573" s="14">
        <v>2.0830000000000002</v>
      </c>
      <c r="D573" s="8" t="s">
        <v>66</v>
      </c>
      <c r="E573" s="14">
        <v>2.0859999999999999</v>
      </c>
      <c r="F573" s="14">
        <v>2.99999999999967E-3</v>
      </c>
    </row>
    <row r="574" spans="1:6" x14ac:dyDescent="0.2">
      <c r="A574" s="8" t="s">
        <v>82</v>
      </c>
      <c r="B574" s="8" t="s">
        <v>42</v>
      </c>
      <c r="C574" s="14">
        <v>8.48</v>
      </c>
      <c r="D574" s="8" t="s">
        <v>60</v>
      </c>
      <c r="E574" s="14">
        <v>7.7629999999999999</v>
      </c>
      <c r="F574" s="14">
        <v>0.71700000000000097</v>
      </c>
    </row>
    <row r="575" spans="1:6" x14ac:dyDescent="0.2">
      <c r="A575" s="8" t="s">
        <v>82</v>
      </c>
      <c r="B575" s="8" t="s">
        <v>44</v>
      </c>
      <c r="C575" s="14">
        <v>4.5350000000000001</v>
      </c>
      <c r="D575" s="8" t="s">
        <v>55</v>
      </c>
      <c r="E575" s="14">
        <v>4.9969999999999999</v>
      </c>
      <c r="F575" s="14">
        <v>0.46200000000000002</v>
      </c>
    </row>
    <row r="576" spans="1:6" x14ac:dyDescent="0.2">
      <c r="A576" s="8" t="s">
        <v>82</v>
      </c>
      <c r="B576" s="8" t="s">
        <v>46</v>
      </c>
      <c r="C576" s="14">
        <v>2.7469999999999999</v>
      </c>
      <c r="D576" s="8" t="s">
        <v>57</v>
      </c>
      <c r="E576" s="14">
        <v>2.573</v>
      </c>
      <c r="F576" s="14">
        <v>0.17399999999999999</v>
      </c>
    </row>
    <row r="577" spans="1:6" x14ac:dyDescent="0.2">
      <c r="A577" s="8" t="s">
        <v>82</v>
      </c>
      <c r="B577" s="8" t="s">
        <v>46</v>
      </c>
      <c r="C577" s="14">
        <v>2.7469999999999999</v>
      </c>
      <c r="D577" s="8" t="s">
        <v>68</v>
      </c>
      <c r="E577" s="14">
        <v>3.0169999999999999</v>
      </c>
      <c r="F577" s="14">
        <v>0.27</v>
      </c>
    </row>
    <row r="578" spans="1:6" x14ac:dyDescent="0.2">
      <c r="A578" s="8" t="s">
        <v>82</v>
      </c>
      <c r="B578" s="8" t="s">
        <v>48</v>
      </c>
      <c r="C578" s="14">
        <v>3.4889999999999999</v>
      </c>
      <c r="D578" s="8" t="s">
        <v>50</v>
      </c>
      <c r="E578" s="14">
        <v>3.383</v>
      </c>
      <c r="F578" s="14">
        <v>0.106</v>
      </c>
    </row>
    <row r="579" spans="1:6" x14ac:dyDescent="0.2">
      <c r="A579" s="8" t="s">
        <v>82</v>
      </c>
      <c r="B579" s="8" t="s">
        <v>48</v>
      </c>
      <c r="C579" s="14">
        <v>3.4889999999999999</v>
      </c>
      <c r="D579" s="8" t="s">
        <v>51</v>
      </c>
      <c r="E579" s="14">
        <v>3.6110000000000002</v>
      </c>
      <c r="F579" s="14">
        <v>0.122</v>
      </c>
    </row>
    <row r="580" spans="1:6" x14ac:dyDescent="0.2">
      <c r="A580" s="8" t="s">
        <v>82</v>
      </c>
      <c r="B580" s="8" t="s">
        <v>48</v>
      </c>
      <c r="C580" s="14">
        <v>3.4889999999999999</v>
      </c>
      <c r="D580" s="8" t="s">
        <v>65</v>
      </c>
      <c r="E580" s="14">
        <v>3.2709999999999999</v>
      </c>
      <c r="F580" s="14">
        <v>0.218</v>
      </c>
    </row>
    <row r="581" spans="1:6" x14ac:dyDescent="0.2">
      <c r="A581" s="8" t="s">
        <v>82</v>
      </c>
      <c r="B581" s="8" t="s">
        <v>50</v>
      </c>
      <c r="C581" s="14">
        <v>3.383</v>
      </c>
      <c r="D581" s="8" t="s">
        <v>51</v>
      </c>
      <c r="E581" s="14">
        <v>3.6110000000000002</v>
      </c>
      <c r="F581" s="14">
        <v>0.22800000000000001</v>
      </c>
    </row>
    <row r="582" spans="1:6" x14ac:dyDescent="0.2">
      <c r="A582" s="8" t="s">
        <v>82</v>
      </c>
      <c r="B582" s="8" t="s">
        <v>50</v>
      </c>
      <c r="C582" s="14">
        <v>3.383</v>
      </c>
      <c r="D582" s="8" t="s">
        <v>65</v>
      </c>
      <c r="E582" s="14">
        <v>3.2709999999999999</v>
      </c>
      <c r="F582" s="14">
        <v>0.112</v>
      </c>
    </row>
    <row r="583" spans="1:6" x14ac:dyDescent="0.2">
      <c r="A583" s="8" t="s">
        <v>82</v>
      </c>
      <c r="B583" s="8" t="s">
        <v>51</v>
      </c>
      <c r="C583" s="14">
        <v>3.6110000000000002</v>
      </c>
      <c r="D583" s="8" t="s">
        <v>54</v>
      </c>
      <c r="E583" s="14">
        <v>3.96</v>
      </c>
      <c r="F583" s="14">
        <v>0.34899999999999998</v>
      </c>
    </row>
    <row r="584" spans="1:6" x14ac:dyDescent="0.2">
      <c r="A584" s="8" t="s">
        <v>82</v>
      </c>
      <c r="B584" s="8" t="s">
        <v>51</v>
      </c>
      <c r="C584" s="14">
        <v>3.6110000000000002</v>
      </c>
      <c r="D584" s="8" t="s">
        <v>65</v>
      </c>
      <c r="E584" s="14">
        <v>3.2709999999999999</v>
      </c>
      <c r="F584" s="14">
        <v>0.34</v>
      </c>
    </row>
    <row r="585" spans="1:6" x14ac:dyDescent="0.2">
      <c r="A585" s="8" t="s">
        <v>82</v>
      </c>
      <c r="B585" s="8" t="s">
        <v>52</v>
      </c>
      <c r="C585" s="14">
        <v>10.101000000000001</v>
      </c>
      <c r="D585" s="8" t="s">
        <v>59</v>
      </c>
      <c r="E585" s="14">
        <v>9.5169999999999995</v>
      </c>
      <c r="F585" s="14">
        <v>0.58400000000000096</v>
      </c>
    </row>
    <row r="586" spans="1:6" x14ac:dyDescent="0.2">
      <c r="A586" s="8" t="s">
        <v>82</v>
      </c>
      <c r="B586" s="8" t="s">
        <v>61</v>
      </c>
      <c r="C586" s="14">
        <v>6.6449999999999996</v>
      </c>
      <c r="D586" s="8" t="s">
        <v>63</v>
      </c>
      <c r="E586" s="14">
        <v>6.3319999999999999</v>
      </c>
      <c r="F586" s="14">
        <v>0.313</v>
      </c>
    </row>
    <row r="587" spans="1:6" x14ac:dyDescent="0.2">
      <c r="A587" s="8" t="s">
        <v>82</v>
      </c>
      <c r="B587" s="8" t="s">
        <v>65</v>
      </c>
      <c r="C587" s="14">
        <v>3.2709999999999999</v>
      </c>
      <c r="D587" s="8" t="s">
        <v>68</v>
      </c>
      <c r="E587" s="14">
        <v>3.0169999999999999</v>
      </c>
      <c r="F587" s="14">
        <v>0.254</v>
      </c>
    </row>
    <row r="588" spans="1:6" x14ac:dyDescent="0.2">
      <c r="A588" s="8" t="s">
        <v>83</v>
      </c>
      <c r="B588" s="8" t="s">
        <v>19</v>
      </c>
      <c r="C588" s="14">
        <v>233</v>
      </c>
      <c r="D588" s="8" t="s">
        <v>22</v>
      </c>
      <c r="E588" s="14">
        <v>258</v>
      </c>
      <c r="F588" s="14">
        <v>25</v>
      </c>
    </row>
    <row r="589" spans="1:6" x14ac:dyDescent="0.2">
      <c r="A589" s="8" t="s">
        <v>83</v>
      </c>
      <c r="B589" s="8" t="s">
        <v>19</v>
      </c>
      <c r="C589" s="14">
        <v>233</v>
      </c>
      <c r="D589" s="8" t="s">
        <v>32</v>
      </c>
      <c r="E589" s="14">
        <v>243</v>
      </c>
      <c r="F589" s="14">
        <v>10</v>
      </c>
    </row>
    <row r="590" spans="1:6" x14ac:dyDescent="0.2">
      <c r="A590" s="8" t="s">
        <v>83</v>
      </c>
      <c r="B590" s="8" t="s">
        <v>19</v>
      </c>
      <c r="C590" s="14">
        <v>233</v>
      </c>
      <c r="D590" s="8" t="s">
        <v>34</v>
      </c>
      <c r="E590" s="14">
        <v>235</v>
      </c>
      <c r="F590" s="14">
        <v>2</v>
      </c>
    </row>
    <row r="591" spans="1:6" x14ac:dyDescent="0.2">
      <c r="A591" s="8" t="s">
        <v>83</v>
      </c>
      <c r="B591" s="8" t="s">
        <v>20</v>
      </c>
      <c r="C591" s="14">
        <v>353</v>
      </c>
      <c r="D591" s="8" t="s">
        <v>28</v>
      </c>
      <c r="E591" s="14">
        <v>355</v>
      </c>
      <c r="F591" s="14">
        <v>2</v>
      </c>
    </row>
    <row r="592" spans="1:6" x14ac:dyDescent="0.2">
      <c r="A592" s="8" t="s">
        <v>83</v>
      </c>
      <c r="B592" s="8" t="s">
        <v>20</v>
      </c>
      <c r="C592" s="14">
        <v>353</v>
      </c>
      <c r="D592" s="8" t="s">
        <v>33</v>
      </c>
      <c r="E592" s="14">
        <v>329</v>
      </c>
      <c r="F592" s="14">
        <v>24</v>
      </c>
    </row>
    <row r="593" spans="1:6" x14ac:dyDescent="0.2">
      <c r="A593" s="8" t="s">
        <v>83</v>
      </c>
      <c r="B593" s="8" t="s">
        <v>20</v>
      </c>
      <c r="C593" s="14">
        <v>353</v>
      </c>
      <c r="D593" s="8" t="s">
        <v>44</v>
      </c>
      <c r="E593" s="14">
        <v>335</v>
      </c>
      <c r="F593" s="14">
        <v>18</v>
      </c>
    </row>
    <row r="594" spans="1:6" x14ac:dyDescent="0.2">
      <c r="A594" s="8" t="s">
        <v>83</v>
      </c>
      <c r="B594" s="8" t="s">
        <v>20</v>
      </c>
      <c r="C594" s="14">
        <v>353</v>
      </c>
      <c r="D594" s="8" t="s">
        <v>48</v>
      </c>
      <c r="E594" s="14">
        <v>389</v>
      </c>
      <c r="F594" s="14">
        <v>36</v>
      </c>
    </row>
    <row r="595" spans="1:6" x14ac:dyDescent="0.2">
      <c r="A595" s="8" t="s">
        <v>83</v>
      </c>
      <c r="B595" s="8" t="s">
        <v>20</v>
      </c>
      <c r="C595" s="14">
        <v>353</v>
      </c>
      <c r="D595" s="8" t="s">
        <v>60</v>
      </c>
      <c r="E595" s="14">
        <v>363</v>
      </c>
      <c r="F595" s="14">
        <v>10</v>
      </c>
    </row>
    <row r="596" spans="1:6" x14ac:dyDescent="0.2">
      <c r="A596" s="8" t="s">
        <v>83</v>
      </c>
      <c r="B596" s="8" t="s">
        <v>20</v>
      </c>
      <c r="C596" s="14">
        <v>353</v>
      </c>
      <c r="D596" s="8" t="s">
        <v>63</v>
      </c>
      <c r="E596" s="14">
        <v>332</v>
      </c>
      <c r="F596" s="14">
        <v>21</v>
      </c>
    </row>
    <row r="597" spans="1:6" x14ac:dyDescent="0.2">
      <c r="A597" s="8" t="s">
        <v>83</v>
      </c>
      <c r="B597" s="8" t="s">
        <v>22</v>
      </c>
      <c r="C597" s="14">
        <v>258</v>
      </c>
      <c r="D597" s="8" t="s">
        <v>32</v>
      </c>
      <c r="E597" s="14">
        <v>243</v>
      </c>
      <c r="F597" s="14">
        <v>15</v>
      </c>
    </row>
    <row r="598" spans="1:6" x14ac:dyDescent="0.2">
      <c r="A598" s="8" t="s">
        <v>83</v>
      </c>
      <c r="B598" s="8" t="s">
        <v>22</v>
      </c>
      <c r="C598" s="14">
        <v>258</v>
      </c>
      <c r="D598" s="8" t="s">
        <v>34</v>
      </c>
      <c r="E598" s="14">
        <v>235</v>
      </c>
      <c r="F598" s="14">
        <v>23</v>
      </c>
    </row>
    <row r="599" spans="1:6" x14ac:dyDescent="0.2">
      <c r="A599" s="8" t="s">
        <v>83</v>
      </c>
      <c r="B599" s="8" t="s">
        <v>22</v>
      </c>
      <c r="C599" s="14">
        <v>258</v>
      </c>
      <c r="D599" s="8" t="s">
        <v>65</v>
      </c>
      <c r="E599" s="14">
        <v>271</v>
      </c>
      <c r="F599" s="14">
        <v>13</v>
      </c>
    </row>
    <row r="600" spans="1:6" x14ac:dyDescent="0.2">
      <c r="A600" s="8" t="s">
        <v>83</v>
      </c>
      <c r="B600" s="8" t="s">
        <v>24</v>
      </c>
      <c r="C600" s="14">
        <v>173</v>
      </c>
      <c r="D600" s="8" t="s">
        <v>27</v>
      </c>
      <c r="E600" s="14">
        <v>168</v>
      </c>
      <c r="F600" s="14">
        <v>5</v>
      </c>
    </row>
    <row r="601" spans="1:6" x14ac:dyDescent="0.2">
      <c r="A601" s="8" t="s">
        <v>83</v>
      </c>
      <c r="B601" s="8" t="s">
        <v>24</v>
      </c>
      <c r="C601" s="14">
        <v>173</v>
      </c>
      <c r="D601" s="8" t="s">
        <v>36</v>
      </c>
      <c r="E601" s="14">
        <v>162</v>
      </c>
      <c r="F601" s="14">
        <v>11</v>
      </c>
    </row>
    <row r="602" spans="1:6" x14ac:dyDescent="0.2">
      <c r="A602" s="8" t="s">
        <v>83</v>
      </c>
      <c r="B602" s="8" t="s">
        <v>24</v>
      </c>
      <c r="C602" s="14">
        <v>173</v>
      </c>
      <c r="D602" s="8" t="s">
        <v>50</v>
      </c>
      <c r="E602" s="14">
        <v>183</v>
      </c>
      <c r="F602" s="14">
        <v>10</v>
      </c>
    </row>
    <row r="603" spans="1:6" x14ac:dyDescent="0.2">
      <c r="A603" s="8" t="s">
        <v>83</v>
      </c>
      <c r="B603" s="8" t="s">
        <v>24</v>
      </c>
      <c r="C603" s="14">
        <v>173</v>
      </c>
      <c r="D603" s="8" t="s">
        <v>54</v>
      </c>
      <c r="E603" s="14">
        <v>160</v>
      </c>
      <c r="F603" s="14">
        <v>13</v>
      </c>
    </row>
    <row r="604" spans="1:6" x14ac:dyDescent="0.2">
      <c r="A604" s="8" t="s">
        <v>83</v>
      </c>
      <c r="B604" s="8" t="s">
        <v>24</v>
      </c>
      <c r="C604" s="14">
        <v>173</v>
      </c>
      <c r="D604" s="8" t="s">
        <v>57</v>
      </c>
      <c r="E604" s="14">
        <v>173</v>
      </c>
      <c r="F604" s="14">
        <v>0</v>
      </c>
    </row>
    <row r="605" spans="1:6" x14ac:dyDescent="0.2">
      <c r="A605" s="8" t="s">
        <v>83</v>
      </c>
      <c r="B605" s="8" t="s">
        <v>25</v>
      </c>
      <c r="C605" s="14">
        <v>304</v>
      </c>
      <c r="D605" s="8" t="s">
        <v>33</v>
      </c>
      <c r="E605" s="14">
        <v>329</v>
      </c>
      <c r="F605" s="14">
        <v>25</v>
      </c>
    </row>
    <row r="606" spans="1:6" x14ac:dyDescent="0.2">
      <c r="A606" s="8" t="s">
        <v>83</v>
      </c>
      <c r="B606" s="8" t="s">
        <v>25</v>
      </c>
      <c r="C606" s="14">
        <v>304</v>
      </c>
      <c r="D606" s="8" t="s">
        <v>44</v>
      </c>
      <c r="E606" s="14">
        <v>335</v>
      </c>
      <c r="F606" s="14">
        <v>31</v>
      </c>
    </row>
    <row r="607" spans="1:6" x14ac:dyDescent="0.2">
      <c r="A607" s="8" t="s">
        <v>83</v>
      </c>
      <c r="B607" s="8" t="s">
        <v>25</v>
      </c>
      <c r="C607" s="14">
        <v>304</v>
      </c>
      <c r="D607" s="8" t="s">
        <v>55</v>
      </c>
      <c r="E607" s="14">
        <v>297</v>
      </c>
      <c r="F607" s="14">
        <v>7</v>
      </c>
    </row>
    <row r="608" spans="1:6" x14ac:dyDescent="0.2">
      <c r="A608" s="8" t="s">
        <v>83</v>
      </c>
      <c r="B608" s="8" t="s">
        <v>25</v>
      </c>
      <c r="C608" s="14">
        <v>304</v>
      </c>
      <c r="D608" s="8" t="s">
        <v>63</v>
      </c>
      <c r="E608" s="14">
        <v>332</v>
      </c>
      <c r="F608" s="14">
        <v>28</v>
      </c>
    </row>
    <row r="609" spans="1:6" x14ac:dyDescent="0.2">
      <c r="A609" s="8" t="s">
        <v>83</v>
      </c>
      <c r="B609" s="8" t="s">
        <v>25</v>
      </c>
      <c r="C609" s="14">
        <v>304</v>
      </c>
      <c r="D609" s="8" t="s">
        <v>68</v>
      </c>
      <c r="E609" s="14">
        <v>317</v>
      </c>
      <c r="F609" s="14">
        <v>13</v>
      </c>
    </row>
    <row r="610" spans="1:6" x14ac:dyDescent="0.2">
      <c r="A610" s="8" t="s">
        <v>83</v>
      </c>
      <c r="B610" s="8" t="s">
        <v>27</v>
      </c>
      <c r="C610" s="14">
        <v>168</v>
      </c>
      <c r="D610" s="8" t="s">
        <v>36</v>
      </c>
      <c r="E610" s="14">
        <v>162</v>
      </c>
      <c r="F610" s="14">
        <v>6</v>
      </c>
    </row>
    <row r="611" spans="1:6" x14ac:dyDescent="0.2">
      <c r="A611" s="8" t="s">
        <v>83</v>
      </c>
      <c r="B611" s="8" t="s">
        <v>27</v>
      </c>
      <c r="C611" s="14">
        <v>168</v>
      </c>
      <c r="D611" s="8" t="s">
        <v>50</v>
      </c>
      <c r="E611" s="14">
        <v>183</v>
      </c>
      <c r="F611" s="14">
        <v>15</v>
      </c>
    </row>
    <row r="612" spans="1:6" x14ac:dyDescent="0.2">
      <c r="A612" s="8" t="s">
        <v>83</v>
      </c>
      <c r="B612" s="8" t="s">
        <v>27</v>
      </c>
      <c r="C612" s="14">
        <v>168</v>
      </c>
      <c r="D612" s="8" t="s">
        <v>54</v>
      </c>
      <c r="E612" s="14">
        <v>160</v>
      </c>
      <c r="F612" s="14">
        <v>8</v>
      </c>
    </row>
    <row r="613" spans="1:6" x14ac:dyDescent="0.2">
      <c r="A613" s="8" t="s">
        <v>83</v>
      </c>
      <c r="B613" s="8" t="s">
        <v>27</v>
      </c>
      <c r="C613" s="14">
        <v>168</v>
      </c>
      <c r="D613" s="8" t="s">
        <v>57</v>
      </c>
      <c r="E613" s="14">
        <v>173</v>
      </c>
      <c r="F613" s="14">
        <v>5</v>
      </c>
    </row>
    <row r="614" spans="1:6" x14ac:dyDescent="0.2">
      <c r="A614" s="8" t="s">
        <v>83</v>
      </c>
      <c r="B614" s="8" t="s">
        <v>28</v>
      </c>
      <c r="C614" s="14">
        <v>355</v>
      </c>
      <c r="D614" s="8" t="s">
        <v>33</v>
      </c>
      <c r="E614" s="14">
        <v>329</v>
      </c>
      <c r="F614" s="14">
        <v>26</v>
      </c>
    </row>
    <row r="615" spans="1:6" x14ac:dyDescent="0.2">
      <c r="A615" s="8" t="s">
        <v>83</v>
      </c>
      <c r="B615" s="8" t="s">
        <v>28</v>
      </c>
      <c r="C615" s="14">
        <v>355</v>
      </c>
      <c r="D615" s="8" t="s">
        <v>44</v>
      </c>
      <c r="E615" s="14">
        <v>335</v>
      </c>
      <c r="F615" s="14">
        <v>20</v>
      </c>
    </row>
    <row r="616" spans="1:6" x14ac:dyDescent="0.2">
      <c r="A616" s="8" t="s">
        <v>83</v>
      </c>
      <c r="B616" s="8" t="s">
        <v>28</v>
      </c>
      <c r="C616" s="14">
        <v>355</v>
      </c>
      <c r="D616" s="8" t="s">
        <v>48</v>
      </c>
      <c r="E616" s="14">
        <v>389</v>
      </c>
      <c r="F616" s="14">
        <v>34</v>
      </c>
    </row>
    <row r="617" spans="1:6" x14ac:dyDescent="0.2">
      <c r="A617" s="8" t="s">
        <v>83</v>
      </c>
      <c r="B617" s="8" t="s">
        <v>28</v>
      </c>
      <c r="C617" s="14">
        <v>355</v>
      </c>
      <c r="D617" s="8" t="s">
        <v>60</v>
      </c>
      <c r="E617" s="14">
        <v>363</v>
      </c>
      <c r="F617" s="14">
        <v>8</v>
      </c>
    </row>
    <row r="618" spans="1:6" x14ac:dyDescent="0.2">
      <c r="A618" s="8" t="s">
        <v>83</v>
      </c>
      <c r="B618" s="8" t="s">
        <v>28</v>
      </c>
      <c r="C618" s="14">
        <v>355</v>
      </c>
      <c r="D618" s="8" t="s">
        <v>63</v>
      </c>
      <c r="E618" s="14">
        <v>332</v>
      </c>
      <c r="F618" s="14">
        <v>23</v>
      </c>
    </row>
    <row r="619" spans="1:6" x14ac:dyDescent="0.2">
      <c r="A619" s="8" t="s">
        <v>83</v>
      </c>
      <c r="B619" s="8" t="s">
        <v>32</v>
      </c>
      <c r="C619" s="14">
        <v>243</v>
      </c>
      <c r="D619" s="8" t="s">
        <v>34</v>
      </c>
      <c r="E619" s="14">
        <v>235</v>
      </c>
      <c r="F619" s="14">
        <v>8</v>
      </c>
    </row>
    <row r="620" spans="1:6" x14ac:dyDescent="0.2">
      <c r="A620" s="8" t="s">
        <v>83</v>
      </c>
      <c r="B620" s="8" t="s">
        <v>33</v>
      </c>
      <c r="C620" s="14">
        <v>329</v>
      </c>
      <c r="D620" s="8" t="s">
        <v>44</v>
      </c>
      <c r="E620" s="14">
        <v>335</v>
      </c>
      <c r="F620" s="14">
        <v>6</v>
      </c>
    </row>
    <row r="621" spans="1:6" x14ac:dyDescent="0.2">
      <c r="A621" s="8" t="s">
        <v>83</v>
      </c>
      <c r="B621" s="8" t="s">
        <v>33</v>
      </c>
      <c r="C621" s="14">
        <v>329</v>
      </c>
      <c r="D621" s="8" t="s">
        <v>55</v>
      </c>
      <c r="E621" s="14">
        <v>297</v>
      </c>
      <c r="F621" s="14">
        <v>32</v>
      </c>
    </row>
    <row r="622" spans="1:6" x14ac:dyDescent="0.2">
      <c r="A622" s="8" t="s">
        <v>83</v>
      </c>
      <c r="B622" s="8" t="s">
        <v>33</v>
      </c>
      <c r="C622" s="14">
        <v>329</v>
      </c>
      <c r="D622" s="8" t="s">
        <v>60</v>
      </c>
      <c r="E622" s="14">
        <v>363</v>
      </c>
      <c r="F622" s="14">
        <v>34</v>
      </c>
    </row>
    <row r="623" spans="1:6" x14ac:dyDescent="0.2">
      <c r="A623" s="8" t="s">
        <v>83</v>
      </c>
      <c r="B623" s="8" t="s">
        <v>33</v>
      </c>
      <c r="C623" s="14">
        <v>329</v>
      </c>
      <c r="D623" s="8" t="s">
        <v>63</v>
      </c>
      <c r="E623" s="14">
        <v>332</v>
      </c>
      <c r="F623" s="14">
        <v>3</v>
      </c>
    </row>
    <row r="624" spans="1:6" x14ac:dyDescent="0.2">
      <c r="A624" s="8" t="s">
        <v>83</v>
      </c>
      <c r="B624" s="8" t="s">
        <v>33</v>
      </c>
      <c r="C624" s="14">
        <v>329</v>
      </c>
      <c r="D624" s="8" t="s">
        <v>68</v>
      </c>
      <c r="E624" s="14">
        <v>317</v>
      </c>
      <c r="F624" s="14">
        <v>12</v>
      </c>
    </row>
    <row r="625" spans="1:6" x14ac:dyDescent="0.2">
      <c r="A625" s="8" t="s">
        <v>83</v>
      </c>
      <c r="B625" s="8" t="s">
        <v>36</v>
      </c>
      <c r="C625" s="14">
        <v>162</v>
      </c>
      <c r="D625" s="8" t="s">
        <v>54</v>
      </c>
      <c r="E625" s="14">
        <v>160</v>
      </c>
      <c r="F625" s="14">
        <v>2</v>
      </c>
    </row>
    <row r="626" spans="1:6" x14ac:dyDescent="0.2">
      <c r="A626" s="8" t="s">
        <v>83</v>
      </c>
      <c r="B626" s="8" t="s">
        <v>36</v>
      </c>
      <c r="C626" s="14">
        <v>162</v>
      </c>
      <c r="D626" s="8" t="s">
        <v>57</v>
      </c>
      <c r="E626" s="14">
        <v>173</v>
      </c>
      <c r="F626" s="14">
        <v>11</v>
      </c>
    </row>
    <row r="627" spans="1:6" x14ac:dyDescent="0.2">
      <c r="A627" s="8" t="s">
        <v>83</v>
      </c>
      <c r="B627" s="8" t="s">
        <v>44</v>
      </c>
      <c r="C627" s="14">
        <v>335</v>
      </c>
      <c r="D627" s="8" t="s">
        <v>60</v>
      </c>
      <c r="E627" s="14">
        <v>363</v>
      </c>
      <c r="F627" s="14">
        <v>28</v>
      </c>
    </row>
    <row r="628" spans="1:6" x14ac:dyDescent="0.2">
      <c r="A628" s="8" t="s">
        <v>83</v>
      </c>
      <c r="B628" s="8" t="s">
        <v>44</v>
      </c>
      <c r="C628" s="14">
        <v>335</v>
      </c>
      <c r="D628" s="8" t="s">
        <v>63</v>
      </c>
      <c r="E628" s="14">
        <v>332</v>
      </c>
      <c r="F628" s="14">
        <v>3</v>
      </c>
    </row>
    <row r="629" spans="1:6" x14ac:dyDescent="0.2">
      <c r="A629" s="8" t="s">
        <v>83</v>
      </c>
      <c r="B629" s="8" t="s">
        <v>44</v>
      </c>
      <c r="C629" s="14">
        <v>335</v>
      </c>
      <c r="D629" s="8" t="s">
        <v>68</v>
      </c>
      <c r="E629" s="14">
        <v>317</v>
      </c>
      <c r="F629" s="14">
        <v>18</v>
      </c>
    </row>
    <row r="630" spans="1:6" x14ac:dyDescent="0.2">
      <c r="A630" s="8" t="s">
        <v>83</v>
      </c>
      <c r="B630" s="8" t="s">
        <v>46</v>
      </c>
      <c r="C630" s="14">
        <v>447</v>
      </c>
      <c r="D630" s="8" t="s">
        <v>51</v>
      </c>
      <c r="E630" s="14">
        <v>411</v>
      </c>
      <c r="F630" s="14">
        <v>36</v>
      </c>
    </row>
    <row r="631" spans="1:6" x14ac:dyDescent="0.2">
      <c r="A631" s="8" t="s">
        <v>83</v>
      </c>
      <c r="B631" s="8" t="s">
        <v>46</v>
      </c>
      <c r="C631" s="14">
        <v>447</v>
      </c>
      <c r="D631" s="8" t="s">
        <v>61</v>
      </c>
      <c r="E631" s="14">
        <v>445</v>
      </c>
      <c r="F631" s="14">
        <v>2</v>
      </c>
    </row>
    <row r="632" spans="1:6" x14ac:dyDescent="0.2">
      <c r="A632" s="8" t="s">
        <v>83</v>
      </c>
      <c r="B632" s="8" t="s">
        <v>48</v>
      </c>
      <c r="C632" s="14">
        <v>389</v>
      </c>
      <c r="D632" s="8" t="s">
        <v>51</v>
      </c>
      <c r="E632" s="14">
        <v>411</v>
      </c>
      <c r="F632" s="14">
        <v>22</v>
      </c>
    </row>
    <row r="633" spans="1:6" x14ac:dyDescent="0.2">
      <c r="A633" s="8" t="s">
        <v>83</v>
      </c>
      <c r="B633" s="8" t="s">
        <v>48</v>
      </c>
      <c r="C633" s="14">
        <v>389</v>
      </c>
      <c r="D633" s="8" t="s">
        <v>52</v>
      </c>
      <c r="E633" s="14">
        <v>401</v>
      </c>
      <c r="F633" s="14">
        <v>12</v>
      </c>
    </row>
    <row r="634" spans="1:6" x14ac:dyDescent="0.2">
      <c r="A634" s="8" t="s">
        <v>83</v>
      </c>
      <c r="B634" s="8" t="s">
        <v>48</v>
      </c>
      <c r="C634" s="14">
        <v>389</v>
      </c>
      <c r="D634" s="8" t="s">
        <v>60</v>
      </c>
      <c r="E634" s="14">
        <v>363</v>
      </c>
      <c r="F634" s="14">
        <v>26</v>
      </c>
    </row>
    <row r="635" spans="1:6" x14ac:dyDescent="0.2">
      <c r="A635" s="8" t="s">
        <v>83</v>
      </c>
      <c r="B635" s="8" t="s">
        <v>50</v>
      </c>
      <c r="C635" s="14">
        <v>183</v>
      </c>
      <c r="D635" s="8" t="s">
        <v>57</v>
      </c>
      <c r="E635" s="14">
        <v>173</v>
      </c>
      <c r="F635" s="14">
        <v>10</v>
      </c>
    </row>
    <row r="636" spans="1:6" x14ac:dyDescent="0.2">
      <c r="A636" s="8" t="s">
        <v>83</v>
      </c>
      <c r="B636" s="8" t="s">
        <v>51</v>
      </c>
      <c r="C636" s="14">
        <v>411</v>
      </c>
      <c r="D636" s="8" t="s">
        <v>52</v>
      </c>
      <c r="E636" s="14">
        <v>401</v>
      </c>
      <c r="F636" s="14">
        <v>10</v>
      </c>
    </row>
    <row r="637" spans="1:6" x14ac:dyDescent="0.2">
      <c r="A637" s="8" t="s">
        <v>83</v>
      </c>
      <c r="B637" s="8" t="s">
        <v>51</v>
      </c>
      <c r="C637" s="14">
        <v>411</v>
      </c>
      <c r="D637" s="8" t="s">
        <v>61</v>
      </c>
      <c r="E637" s="14">
        <v>445</v>
      </c>
      <c r="F637" s="14">
        <v>34</v>
      </c>
    </row>
    <row r="638" spans="1:6" x14ac:dyDescent="0.2">
      <c r="A638" s="8" t="s">
        <v>83</v>
      </c>
      <c r="B638" s="8" t="s">
        <v>52</v>
      </c>
      <c r="C638" s="14">
        <v>401</v>
      </c>
      <c r="D638" s="8" t="s">
        <v>60</v>
      </c>
      <c r="E638" s="14">
        <v>363</v>
      </c>
      <c r="F638" s="14">
        <v>38</v>
      </c>
    </row>
    <row r="639" spans="1:6" x14ac:dyDescent="0.2">
      <c r="A639" s="8" t="s">
        <v>83</v>
      </c>
      <c r="B639" s="8" t="s">
        <v>52</v>
      </c>
      <c r="C639" s="14">
        <v>401</v>
      </c>
      <c r="D639" s="8" t="s">
        <v>61</v>
      </c>
      <c r="E639" s="14">
        <v>445</v>
      </c>
      <c r="F639" s="14">
        <v>44</v>
      </c>
    </row>
    <row r="640" spans="1:6" x14ac:dyDescent="0.2">
      <c r="A640" s="8" t="s">
        <v>83</v>
      </c>
      <c r="B640" s="8" t="s">
        <v>54</v>
      </c>
      <c r="C640" s="14">
        <v>160</v>
      </c>
      <c r="D640" s="8" t="s">
        <v>57</v>
      </c>
      <c r="E640" s="14">
        <v>173</v>
      </c>
      <c r="F640" s="14">
        <v>13</v>
      </c>
    </row>
    <row r="641" spans="1:6" x14ac:dyDescent="0.2">
      <c r="A641" s="8" t="s">
        <v>83</v>
      </c>
      <c r="B641" s="8" t="s">
        <v>55</v>
      </c>
      <c r="C641" s="14">
        <v>297</v>
      </c>
      <c r="D641" s="8" t="s">
        <v>65</v>
      </c>
      <c r="E641" s="14">
        <v>271</v>
      </c>
      <c r="F641" s="14">
        <v>26</v>
      </c>
    </row>
    <row r="642" spans="1:6" x14ac:dyDescent="0.2">
      <c r="A642" s="8" t="s">
        <v>83</v>
      </c>
      <c r="B642" s="8" t="s">
        <v>55</v>
      </c>
      <c r="C642" s="14">
        <v>297</v>
      </c>
      <c r="D642" s="8" t="s">
        <v>68</v>
      </c>
      <c r="E642" s="14">
        <v>317</v>
      </c>
      <c r="F642" s="14">
        <v>20</v>
      </c>
    </row>
    <row r="643" spans="1:6" x14ac:dyDescent="0.2">
      <c r="A643" s="8" t="s">
        <v>83</v>
      </c>
      <c r="B643" s="8" t="s">
        <v>60</v>
      </c>
      <c r="C643" s="14">
        <v>363</v>
      </c>
      <c r="D643" s="8" t="s">
        <v>63</v>
      </c>
      <c r="E643" s="14">
        <v>332</v>
      </c>
      <c r="F643" s="14">
        <v>31</v>
      </c>
    </row>
    <row r="644" spans="1:6" x14ac:dyDescent="0.2">
      <c r="A644" s="8" t="s">
        <v>83</v>
      </c>
      <c r="B644" s="8" t="s">
        <v>63</v>
      </c>
      <c r="C644" s="14">
        <v>332</v>
      </c>
      <c r="D644" s="8" t="s">
        <v>68</v>
      </c>
      <c r="E644" s="14">
        <v>317</v>
      </c>
      <c r="F644" s="14">
        <v>15</v>
      </c>
    </row>
    <row r="645" spans="1:6" x14ac:dyDescent="0.2">
      <c r="A645" s="8" t="s">
        <v>84</v>
      </c>
      <c r="B645" s="8" t="s">
        <v>17</v>
      </c>
      <c r="C645" s="14">
        <v>119</v>
      </c>
      <c r="D645" s="8" t="s">
        <v>28</v>
      </c>
      <c r="E645" s="14">
        <v>110</v>
      </c>
      <c r="F645" s="14">
        <v>9</v>
      </c>
    </row>
    <row r="646" spans="1:6" x14ac:dyDescent="0.2">
      <c r="A646" s="8" t="s">
        <v>84</v>
      </c>
      <c r="B646" s="8" t="s">
        <v>17</v>
      </c>
      <c r="C646" s="14">
        <v>119</v>
      </c>
      <c r="D646" s="8" t="s">
        <v>61</v>
      </c>
      <c r="E646" s="14">
        <v>126</v>
      </c>
      <c r="F646" s="14">
        <v>7</v>
      </c>
    </row>
    <row r="647" spans="1:6" x14ac:dyDescent="0.2">
      <c r="A647" s="8" t="s">
        <v>84</v>
      </c>
      <c r="B647" s="8" t="s">
        <v>17</v>
      </c>
      <c r="C647" s="14">
        <v>119</v>
      </c>
      <c r="D647" s="8" t="s">
        <v>63</v>
      </c>
      <c r="E647" s="14">
        <v>131</v>
      </c>
      <c r="F647" s="14">
        <v>12</v>
      </c>
    </row>
    <row r="648" spans="1:6" x14ac:dyDescent="0.2">
      <c r="A648" s="8" t="s">
        <v>84</v>
      </c>
      <c r="B648" s="8" t="s">
        <v>17</v>
      </c>
      <c r="C648" s="14">
        <v>119</v>
      </c>
      <c r="D648" s="8" t="s">
        <v>68</v>
      </c>
      <c r="E648" s="14">
        <v>121</v>
      </c>
      <c r="F648" s="14">
        <v>2</v>
      </c>
    </row>
    <row r="649" spans="1:6" x14ac:dyDescent="0.2">
      <c r="A649" s="8" t="s">
        <v>84</v>
      </c>
      <c r="B649" s="8" t="s">
        <v>20</v>
      </c>
      <c r="C649" s="14">
        <v>77</v>
      </c>
      <c r="D649" s="8" t="s">
        <v>25</v>
      </c>
      <c r="E649" s="14">
        <v>73</v>
      </c>
      <c r="F649" s="14">
        <v>4</v>
      </c>
    </row>
    <row r="650" spans="1:6" x14ac:dyDescent="0.2">
      <c r="A650" s="8" t="s">
        <v>84</v>
      </c>
      <c r="B650" s="8" t="s">
        <v>20</v>
      </c>
      <c r="C650" s="14">
        <v>77</v>
      </c>
      <c r="D650" s="8" t="s">
        <v>27</v>
      </c>
      <c r="E650" s="14">
        <v>71</v>
      </c>
      <c r="F650" s="14">
        <v>6</v>
      </c>
    </row>
    <row r="651" spans="1:6" x14ac:dyDescent="0.2">
      <c r="A651" s="8" t="s">
        <v>84</v>
      </c>
      <c r="B651" s="8" t="s">
        <v>20</v>
      </c>
      <c r="C651" s="14">
        <v>77</v>
      </c>
      <c r="D651" s="8" t="s">
        <v>34</v>
      </c>
      <c r="E651" s="14">
        <v>73</v>
      </c>
      <c r="F651" s="14">
        <v>4</v>
      </c>
    </row>
    <row r="652" spans="1:6" x14ac:dyDescent="0.2">
      <c r="A652" s="8" t="s">
        <v>84</v>
      </c>
      <c r="B652" s="8" t="s">
        <v>20</v>
      </c>
      <c r="C652" s="14">
        <v>77</v>
      </c>
      <c r="D652" s="8" t="s">
        <v>38</v>
      </c>
      <c r="E652" s="14">
        <v>81</v>
      </c>
      <c r="F652" s="14">
        <v>4</v>
      </c>
    </row>
    <row r="653" spans="1:6" x14ac:dyDescent="0.2">
      <c r="A653" s="8" t="s">
        <v>84</v>
      </c>
      <c r="B653" s="8" t="s">
        <v>20</v>
      </c>
      <c r="C653" s="14">
        <v>77</v>
      </c>
      <c r="D653" s="8" t="s">
        <v>60</v>
      </c>
      <c r="E653" s="14">
        <v>74</v>
      </c>
      <c r="F653" s="14">
        <v>3</v>
      </c>
    </row>
    <row r="654" spans="1:6" x14ac:dyDescent="0.2">
      <c r="A654" s="8" t="s">
        <v>84</v>
      </c>
      <c r="B654" s="8" t="s">
        <v>20</v>
      </c>
      <c r="C654" s="14">
        <v>77</v>
      </c>
      <c r="D654" s="8" t="s">
        <v>66</v>
      </c>
      <c r="E654" s="14">
        <v>85</v>
      </c>
      <c r="F654" s="14">
        <v>8</v>
      </c>
    </row>
    <row r="655" spans="1:6" x14ac:dyDescent="0.2">
      <c r="A655" s="8" t="s">
        <v>84</v>
      </c>
      <c r="B655" s="8" t="s">
        <v>22</v>
      </c>
      <c r="C655" s="14">
        <v>58</v>
      </c>
      <c r="D655" s="8" t="s">
        <v>33</v>
      </c>
      <c r="E655" s="14">
        <v>53</v>
      </c>
      <c r="F655" s="14">
        <v>5</v>
      </c>
    </row>
    <row r="656" spans="1:6" x14ac:dyDescent="0.2">
      <c r="A656" s="8" t="s">
        <v>84</v>
      </c>
      <c r="B656" s="8" t="s">
        <v>22</v>
      </c>
      <c r="C656" s="14">
        <v>58</v>
      </c>
      <c r="D656" s="8" t="s">
        <v>46</v>
      </c>
      <c r="E656" s="14">
        <v>57</v>
      </c>
      <c r="F656" s="14">
        <v>1</v>
      </c>
    </row>
    <row r="657" spans="1:6" x14ac:dyDescent="0.2">
      <c r="A657" s="8" t="s">
        <v>84</v>
      </c>
      <c r="B657" s="8" t="s">
        <v>24</v>
      </c>
      <c r="C657" s="14">
        <v>88</v>
      </c>
      <c r="D657" s="8" t="s">
        <v>32</v>
      </c>
      <c r="E657" s="14">
        <v>97</v>
      </c>
      <c r="F657" s="14">
        <v>9</v>
      </c>
    </row>
    <row r="658" spans="1:6" x14ac:dyDescent="0.2">
      <c r="A658" s="8" t="s">
        <v>84</v>
      </c>
      <c r="B658" s="8" t="s">
        <v>24</v>
      </c>
      <c r="C658" s="14">
        <v>88</v>
      </c>
      <c r="D658" s="8" t="s">
        <v>38</v>
      </c>
      <c r="E658" s="14">
        <v>81</v>
      </c>
      <c r="F658" s="14">
        <v>7</v>
      </c>
    </row>
    <row r="659" spans="1:6" x14ac:dyDescent="0.2">
      <c r="A659" s="8" t="s">
        <v>84</v>
      </c>
      <c r="B659" s="8" t="s">
        <v>24</v>
      </c>
      <c r="C659" s="14">
        <v>88</v>
      </c>
      <c r="D659" s="8" t="s">
        <v>65</v>
      </c>
      <c r="E659" s="14">
        <v>95</v>
      </c>
      <c r="F659" s="14">
        <v>7</v>
      </c>
    </row>
    <row r="660" spans="1:6" x14ac:dyDescent="0.2">
      <c r="A660" s="8" t="s">
        <v>84</v>
      </c>
      <c r="B660" s="8" t="s">
        <v>24</v>
      </c>
      <c r="C660" s="14">
        <v>88</v>
      </c>
      <c r="D660" s="8" t="s">
        <v>66</v>
      </c>
      <c r="E660" s="14">
        <v>85</v>
      </c>
      <c r="F660" s="14">
        <v>3</v>
      </c>
    </row>
    <row r="661" spans="1:6" x14ac:dyDescent="0.2">
      <c r="A661" s="8" t="s">
        <v>84</v>
      </c>
      <c r="B661" s="8" t="s">
        <v>25</v>
      </c>
      <c r="C661" s="14">
        <v>73</v>
      </c>
      <c r="D661" s="8" t="s">
        <v>27</v>
      </c>
      <c r="E661" s="14">
        <v>71</v>
      </c>
      <c r="F661" s="14">
        <v>2</v>
      </c>
    </row>
    <row r="662" spans="1:6" x14ac:dyDescent="0.2">
      <c r="A662" s="8" t="s">
        <v>84</v>
      </c>
      <c r="B662" s="8" t="s">
        <v>25</v>
      </c>
      <c r="C662" s="14">
        <v>73</v>
      </c>
      <c r="D662" s="8" t="s">
        <v>34</v>
      </c>
      <c r="E662" s="14">
        <v>73</v>
      </c>
      <c r="F662" s="14">
        <v>0</v>
      </c>
    </row>
    <row r="663" spans="1:6" x14ac:dyDescent="0.2">
      <c r="A663" s="8" t="s">
        <v>84</v>
      </c>
      <c r="B663" s="8" t="s">
        <v>25</v>
      </c>
      <c r="C663" s="14">
        <v>73</v>
      </c>
      <c r="D663" s="8" t="s">
        <v>38</v>
      </c>
      <c r="E663" s="14">
        <v>81</v>
      </c>
      <c r="F663" s="14">
        <v>8</v>
      </c>
    </row>
    <row r="664" spans="1:6" x14ac:dyDescent="0.2">
      <c r="A664" s="8" t="s">
        <v>84</v>
      </c>
      <c r="B664" s="8" t="s">
        <v>25</v>
      </c>
      <c r="C664" s="14">
        <v>73</v>
      </c>
      <c r="D664" s="8" t="s">
        <v>60</v>
      </c>
      <c r="E664" s="14">
        <v>74</v>
      </c>
      <c r="F664" s="14">
        <v>1</v>
      </c>
    </row>
    <row r="665" spans="1:6" x14ac:dyDescent="0.2">
      <c r="A665" s="8" t="s">
        <v>84</v>
      </c>
      <c r="B665" s="8" t="s">
        <v>27</v>
      </c>
      <c r="C665" s="14">
        <v>71</v>
      </c>
      <c r="D665" s="8" t="s">
        <v>34</v>
      </c>
      <c r="E665" s="14">
        <v>73</v>
      </c>
      <c r="F665" s="14">
        <v>2</v>
      </c>
    </row>
    <row r="666" spans="1:6" x14ac:dyDescent="0.2">
      <c r="A666" s="8" t="s">
        <v>84</v>
      </c>
      <c r="B666" s="8" t="s">
        <v>27</v>
      </c>
      <c r="C666" s="14">
        <v>71</v>
      </c>
      <c r="D666" s="8" t="s">
        <v>60</v>
      </c>
      <c r="E666" s="14">
        <v>74</v>
      </c>
      <c r="F666" s="14">
        <v>3</v>
      </c>
    </row>
    <row r="667" spans="1:6" x14ac:dyDescent="0.2">
      <c r="A667" s="8" t="s">
        <v>84</v>
      </c>
      <c r="B667" s="8" t="s">
        <v>28</v>
      </c>
      <c r="C667" s="14">
        <v>110</v>
      </c>
      <c r="D667" s="8" t="s">
        <v>68</v>
      </c>
      <c r="E667" s="14">
        <v>121</v>
      </c>
      <c r="F667" s="14">
        <v>11</v>
      </c>
    </row>
    <row r="668" spans="1:6" x14ac:dyDescent="0.2">
      <c r="A668" s="8" t="s">
        <v>84</v>
      </c>
      <c r="B668" s="8" t="s">
        <v>32</v>
      </c>
      <c r="C668" s="14">
        <v>97</v>
      </c>
      <c r="D668" s="8" t="s">
        <v>65</v>
      </c>
      <c r="E668" s="14">
        <v>95</v>
      </c>
      <c r="F668" s="14">
        <v>2</v>
      </c>
    </row>
    <row r="669" spans="1:6" x14ac:dyDescent="0.2">
      <c r="A669" s="8" t="s">
        <v>84</v>
      </c>
      <c r="B669" s="8" t="s">
        <v>33</v>
      </c>
      <c r="C669" s="14">
        <v>53</v>
      </c>
      <c r="D669" s="8" t="s">
        <v>42</v>
      </c>
      <c r="E669" s="14">
        <v>51</v>
      </c>
      <c r="F669" s="14">
        <v>2</v>
      </c>
    </row>
    <row r="670" spans="1:6" x14ac:dyDescent="0.2">
      <c r="A670" s="8" t="s">
        <v>84</v>
      </c>
      <c r="B670" s="8" t="s">
        <v>33</v>
      </c>
      <c r="C670" s="14">
        <v>53</v>
      </c>
      <c r="D670" s="8" t="s">
        <v>46</v>
      </c>
      <c r="E670" s="14">
        <v>57</v>
      </c>
      <c r="F670" s="14">
        <v>4</v>
      </c>
    </row>
    <row r="671" spans="1:6" x14ac:dyDescent="0.2">
      <c r="A671" s="8" t="s">
        <v>84</v>
      </c>
      <c r="B671" s="8" t="s">
        <v>34</v>
      </c>
      <c r="C671" s="14">
        <v>73</v>
      </c>
      <c r="D671" s="8" t="s">
        <v>38</v>
      </c>
      <c r="E671" s="14">
        <v>81</v>
      </c>
      <c r="F671" s="14">
        <v>8</v>
      </c>
    </row>
    <row r="672" spans="1:6" x14ac:dyDescent="0.2">
      <c r="A672" s="8" t="s">
        <v>84</v>
      </c>
      <c r="B672" s="8" t="s">
        <v>34</v>
      </c>
      <c r="C672" s="14">
        <v>73</v>
      </c>
      <c r="D672" s="8" t="s">
        <v>60</v>
      </c>
      <c r="E672" s="14">
        <v>74</v>
      </c>
      <c r="F672" s="14">
        <v>1</v>
      </c>
    </row>
    <row r="673" spans="1:6" x14ac:dyDescent="0.2">
      <c r="A673" s="8" t="s">
        <v>84</v>
      </c>
      <c r="B673" s="8" t="s">
        <v>36</v>
      </c>
      <c r="C673" s="14">
        <v>160</v>
      </c>
      <c r="D673" s="8" t="s">
        <v>54</v>
      </c>
      <c r="E673" s="14">
        <v>165</v>
      </c>
      <c r="F673" s="14">
        <v>5</v>
      </c>
    </row>
    <row r="674" spans="1:6" x14ac:dyDescent="0.2">
      <c r="A674" s="8" t="s">
        <v>84</v>
      </c>
      <c r="B674" s="8" t="s">
        <v>36</v>
      </c>
      <c r="C674" s="14">
        <v>160</v>
      </c>
      <c r="D674" s="8" t="s">
        <v>59</v>
      </c>
      <c r="E674" s="14">
        <v>154</v>
      </c>
      <c r="F674" s="14">
        <v>6</v>
      </c>
    </row>
    <row r="675" spans="1:6" x14ac:dyDescent="0.2">
      <c r="A675" s="8" t="s">
        <v>84</v>
      </c>
      <c r="B675" s="8" t="s">
        <v>38</v>
      </c>
      <c r="C675" s="14">
        <v>81</v>
      </c>
      <c r="D675" s="8" t="s">
        <v>60</v>
      </c>
      <c r="E675" s="14">
        <v>74</v>
      </c>
      <c r="F675" s="14">
        <v>7</v>
      </c>
    </row>
    <row r="676" spans="1:6" x14ac:dyDescent="0.2">
      <c r="A676" s="8" t="s">
        <v>84</v>
      </c>
      <c r="B676" s="8" t="s">
        <v>38</v>
      </c>
      <c r="C676" s="14">
        <v>81</v>
      </c>
      <c r="D676" s="8" t="s">
        <v>66</v>
      </c>
      <c r="E676" s="14">
        <v>85</v>
      </c>
      <c r="F676" s="14">
        <v>4</v>
      </c>
    </row>
    <row r="677" spans="1:6" x14ac:dyDescent="0.2">
      <c r="A677" s="8" t="s">
        <v>84</v>
      </c>
      <c r="B677" s="8" t="s">
        <v>44</v>
      </c>
      <c r="C677" s="14">
        <v>191</v>
      </c>
      <c r="D677" s="8" t="s">
        <v>50</v>
      </c>
      <c r="E677" s="14">
        <v>198</v>
      </c>
      <c r="F677" s="14">
        <v>7</v>
      </c>
    </row>
    <row r="678" spans="1:6" x14ac:dyDescent="0.2">
      <c r="A678" s="8" t="s">
        <v>84</v>
      </c>
      <c r="B678" s="8" t="s">
        <v>44</v>
      </c>
      <c r="C678" s="14">
        <v>191</v>
      </c>
      <c r="D678" s="8" t="s">
        <v>52</v>
      </c>
      <c r="E678" s="14">
        <v>186</v>
      </c>
      <c r="F678" s="14">
        <v>5</v>
      </c>
    </row>
    <row r="679" spans="1:6" x14ac:dyDescent="0.2">
      <c r="A679" s="8" t="s">
        <v>84</v>
      </c>
      <c r="B679" s="8" t="s">
        <v>44</v>
      </c>
      <c r="C679" s="14">
        <v>191</v>
      </c>
      <c r="D679" s="8" t="s">
        <v>55</v>
      </c>
      <c r="E679" s="14">
        <v>181</v>
      </c>
      <c r="F679" s="14">
        <v>10</v>
      </c>
    </row>
    <row r="680" spans="1:6" x14ac:dyDescent="0.2">
      <c r="A680" s="8" t="s">
        <v>84</v>
      </c>
      <c r="B680" s="8" t="s">
        <v>50</v>
      </c>
      <c r="C680" s="14">
        <v>198</v>
      </c>
      <c r="D680" s="8" t="s">
        <v>52</v>
      </c>
      <c r="E680" s="14">
        <v>186</v>
      </c>
      <c r="F680" s="14">
        <v>12</v>
      </c>
    </row>
    <row r="681" spans="1:6" x14ac:dyDescent="0.2">
      <c r="A681" s="8" t="s">
        <v>84</v>
      </c>
      <c r="B681" s="8" t="s">
        <v>50</v>
      </c>
      <c r="C681" s="14">
        <v>198</v>
      </c>
      <c r="D681" s="8" t="s">
        <v>55</v>
      </c>
      <c r="E681" s="14">
        <v>181</v>
      </c>
      <c r="F681" s="14">
        <v>17</v>
      </c>
    </row>
    <row r="682" spans="1:6" x14ac:dyDescent="0.2">
      <c r="A682" s="8" t="s">
        <v>84</v>
      </c>
      <c r="B682" s="8" t="s">
        <v>50</v>
      </c>
      <c r="C682" s="14">
        <v>198</v>
      </c>
      <c r="D682" s="8" t="s">
        <v>57</v>
      </c>
      <c r="E682" s="14">
        <v>216</v>
      </c>
      <c r="F682" s="14">
        <v>18</v>
      </c>
    </row>
    <row r="683" spans="1:6" x14ac:dyDescent="0.2">
      <c r="A683" s="8" t="s">
        <v>84</v>
      </c>
      <c r="B683" s="8" t="s">
        <v>52</v>
      </c>
      <c r="C683" s="14">
        <v>186</v>
      </c>
      <c r="D683" s="8" t="s">
        <v>55</v>
      </c>
      <c r="E683" s="14">
        <v>181</v>
      </c>
      <c r="F683" s="14">
        <v>5</v>
      </c>
    </row>
    <row r="684" spans="1:6" x14ac:dyDescent="0.2">
      <c r="A684" s="8" t="s">
        <v>84</v>
      </c>
      <c r="B684" s="8" t="s">
        <v>54</v>
      </c>
      <c r="C684" s="14">
        <v>165</v>
      </c>
      <c r="D684" s="8" t="s">
        <v>55</v>
      </c>
      <c r="E684" s="14">
        <v>181</v>
      </c>
      <c r="F684" s="14">
        <v>16</v>
      </c>
    </row>
    <row r="685" spans="1:6" x14ac:dyDescent="0.2">
      <c r="A685" s="8" t="s">
        <v>84</v>
      </c>
      <c r="B685" s="8" t="s">
        <v>54</v>
      </c>
      <c r="C685" s="14">
        <v>165</v>
      </c>
      <c r="D685" s="8" t="s">
        <v>59</v>
      </c>
      <c r="E685" s="14">
        <v>154</v>
      </c>
      <c r="F685" s="14">
        <v>11</v>
      </c>
    </row>
    <row r="686" spans="1:6" x14ac:dyDescent="0.2">
      <c r="A686" s="8" t="s">
        <v>84</v>
      </c>
      <c r="B686" s="8" t="s">
        <v>61</v>
      </c>
      <c r="C686" s="14">
        <v>126</v>
      </c>
      <c r="D686" s="8" t="s">
        <v>63</v>
      </c>
      <c r="E686" s="14">
        <v>131</v>
      </c>
      <c r="F686" s="14">
        <v>5</v>
      </c>
    </row>
    <row r="687" spans="1:6" x14ac:dyDescent="0.2">
      <c r="A687" s="8" t="s">
        <v>84</v>
      </c>
      <c r="B687" s="8" t="s">
        <v>61</v>
      </c>
      <c r="C687" s="14">
        <v>126</v>
      </c>
      <c r="D687" s="8" t="s">
        <v>68</v>
      </c>
      <c r="E687" s="14">
        <v>121</v>
      </c>
      <c r="F687" s="14">
        <v>5</v>
      </c>
    </row>
    <row r="688" spans="1:6" x14ac:dyDescent="0.2">
      <c r="A688" s="8" t="s">
        <v>84</v>
      </c>
      <c r="B688" s="8" t="s">
        <v>63</v>
      </c>
      <c r="C688" s="14">
        <v>131</v>
      </c>
      <c r="D688" s="8" t="s">
        <v>68</v>
      </c>
      <c r="E688" s="14">
        <v>121</v>
      </c>
      <c r="F688" s="14">
        <v>10</v>
      </c>
    </row>
  </sheetData>
  <autoFilter ref="A1:F68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NFL Teams</vt:lpstr>
      <vt:lpstr>Ränge</vt:lpstr>
      <vt:lpstr>Kategorien</vt:lpstr>
      <vt:lpstr>Paar-Check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2026-09-23T08:10:11Z</dcterms:created>
  <dcterms:modified xsi:type="dcterms:W3CDTF">2026-09-23T08:10:11Z</dcterms:modified>
  <dc:language>en-US</dc:language>
</cp:coreProperties>
</file>