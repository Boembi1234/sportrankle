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1-Strecken" sheetId="1" state="visible" r:id="rId3"/>
    <sheet name="Ränge" sheetId="2" state="visible" r:id="rId4"/>
    <sheet name="Kategorien" sheetId="3" state="visible" r:id="rId5"/>
  </sheets>
  <definedNames>
    <definedName function="false" hidden="true" localSheetId="0" name="_xlnm._FilterDatabase" vbProcedure="false">'F1-Strecken'!$A$1:$Q$21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<sst xmlns="http://schemas.openxmlformats.org/spreadsheetml/2006/main" count="159" uniqueCount="117">
  <si>
    <t xml:space="preserve">Strecke</t>
  </si>
  <si>
    <t xml:space="preserve">Streckenlänge (km)</t>
  </si>
  <si>
    <t xml:space="preserve">Kurven (Anzahl)</t>
  </si>
  <si>
    <t xml:space="preserve">Rennrunden (Anzahl)</t>
  </si>
  <si>
    <t xml:space="preserve">Renndistanz (km)</t>
  </si>
  <si>
    <t xml:space="preserve">Kurven pro km (Kurven/km)</t>
  </si>
  <si>
    <t xml:space="preserve">Erster F1-Grand-Prix (Jahr)</t>
  </si>
  <si>
    <t xml:space="preserve">Ausgetragene F1-GPs (Anzahl)</t>
  </si>
  <si>
    <t xml:space="preserve">Rundenrekord (Sekunden)</t>
  </si>
  <si>
    <t xml:space="preserve">Eröffnungsjahr der Strecke (Jahr)</t>
  </si>
  <si>
    <t xml:space="preserve">Höhe über Meer (m)</t>
  </si>
  <si>
    <t xml:space="preserve">Höhenunterschied (m)</t>
  </si>
  <si>
    <t xml:space="preserve">Zuschauer Rennwochenende (Personen)</t>
  </si>
  <si>
    <t xml:space="preserve">Längste Gerade (m)</t>
  </si>
  <si>
    <t xml:space="preserve">DRS-Zonen (Stand 2025) (Anzahl)</t>
  </si>
  <si>
    <t xml:space="preserve">Breitengrad (Grad)</t>
  </si>
  <si>
    <t xml:space="preserve">Anmerkung / Prüfen</t>
  </si>
  <si>
    <t xml:space="preserve">Monza (Italien)</t>
  </si>
  <si>
    <t xml:space="preserve">Rundenrekord Barrichello 2004; Zuschauer ca. 2024; Höhendifferenz und längste Gerade ca.</t>
  </si>
  <si>
    <t xml:space="preserve">Silverstone (Grossbritannien)</t>
  </si>
  <si>
    <t xml:space="preserve">GPs inkl. 70th Anniversary GP 2020; Rekord Verstappen 2020; Zuschauer 2024 (Rekord)</t>
  </si>
  <si>
    <t xml:space="preserve">Spa-Francorchamps (Belgien)</t>
  </si>
  <si>
    <t xml:space="preserve">Rekord Bottas 2018; Kemmel-Gerade; GP-Anzahl prüfen</t>
  </si>
  <si>
    <t xml:space="preserve">Monaco (Monaco)</t>
  </si>
  <si>
    <t xml:space="preserve">Rekord Hamilton 2021; Zuschauer ca.</t>
  </si>
  <si>
    <t xml:space="preserve">Suzuka (Japan)</t>
  </si>
  <si>
    <t xml:space="preserve">Rekord Hamilton 2019; Zuschauer 2024; längste Gerade ca.</t>
  </si>
  <si>
    <t xml:space="preserve">Interlagos (Brasilien)</t>
  </si>
  <si>
    <t xml:space="preserve">Rekord Bottas 2018; GP-Anzahl und längste Gerade prüfen</t>
  </si>
  <si>
    <t xml:space="preserve">Montreal (Kanada)</t>
  </si>
  <si>
    <t xml:space="preserve">Rekord Bottas 2019; Zuschauer ca.</t>
  </si>
  <si>
    <t xml:space="preserve">Melbourne / Albert Park (Australien)</t>
  </si>
  <si>
    <t xml:space="preserve">Layout seit 2022; Rekord Leclerc 2024; Zuschauer 2025 (Rekord); längste Gerade ca.</t>
  </si>
  <si>
    <t xml:space="preserve">Barcelona-Catalunya (Spanien)</t>
  </si>
  <si>
    <t xml:space="preserve">Layout ohne Schikane seit 2023; Rekord prüfen; Zuschauer ca.</t>
  </si>
  <si>
    <t xml:space="preserve">Hungaroring (Ungarn)</t>
  </si>
  <si>
    <t xml:space="preserve">Rekord Hamilton 2020; Zuschauer ca.</t>
  </si>
  <si>
    <t xml:space="preserve">Zandvoort (Niederlande)</t>
  </si>
  <si>
    <t xml:space="preserve">Rekord Hamilton 2021; Höhendifferenz ca.</t>
  </si>
  <si>
    <t xml:space="preserve">Red Bull Ring (Österreich)</t>
  </si>
  <si>
    <t xml:space="preserve">GPs inkl. Österreichring/A1-Ring und Steiermark-GPs 2020/21; Rekord Sainz 2020</t>
  </si>
  <si>
    <t xml:space="preserve">Bahrain (Bahrain)</t>
  </si>
  <si>
    <t xml:space="preserve">GPs inkl. Sakhir-GP 2020; Rekord de la Rosa 2005; Zuschauer ca.</t>
  </si>
  <si>
    <t xml:space="preserve">Jeddah (Saudi-Arabien)</t>
  </si>
  <si>
    <t xml:space="preserve">Rekord Hamilton 2021; Zuschauer und längste Gerade ca.</t>
  </si>
  <si>
    <t xml:space="preserve">Baku (Aserbaidschan)</t>
  </si>
  <si>
    <t xml:space="preserve">Rekord Leclerc 2019; Höhe (teils unter Meeresniveau) und Zuschauer prüfen</t>
  </si>
  <si>
    <t xml:space="preserve">Singapur / Marina Bay (Singapur)</t>
  </si>
  <si>
    <t xml:space="preserve">Layout seit 2023; Rekord Norris 2024; Zuschauer 2024</t>
  </si>
  <si>
    <t xml:space="preserve">Austin / COTA (USA)</t>
  </si>
  <si>
    <t xml:space="preserve">Rekord Leclerc 2019; Zuschauer 2024</t>
  </si>
  <si>
    <t xml:space="preserve">Mexiko-Stadt (Mexiko)</t>
  </si>
  <si>
    <t xml:space="preserve">Rekord Bottas 2021; Höhendifferenz ca.; Zuschauer 2024</t>
  </si>
  <si>
    <t xml:space="preserve">Las Vegas (USA)</t>
  </si>
  <si>
    <t xml:space="preserve">nur Strip-Kurs (Caesars Palace 1981/82 nicht gezählt); Rekord Hamilton 2024; Zuschauer ca.</t>
  </si>
  <si>
    <t xml:space="preserve">Abu Dhabi / Yas Marina (VAE)</t>
  </si>
  <si>
    <t xml:space="preserve">Layout seit 2021; Rekord Magnussen 2024 prüfen; Zuschauer ca.</t>
  </si>
  <si>
    <t xml:space="preserve">Streckenlänge</t>
  </si>
  <si>
    <t xml:space="preserve">Kurven</t>
  </si>
  <si>
    <t xml:space="preserve">Rennrunden</t>
  </si>
  <si>
    <t xml:space="preserve">Renndistanz</t>
  </si>
  <si>
    <t xml:space="preserve">Kurven pro km</t>
  </si>
  <si>
    <t xml:space="preserve">Erster F1-Grand-Prix</t>
  </si>
  <si>
    <t xml:space="preserve">Ausgetragene F1-GPs</t>
  </si>
  <si>
    <t xml:space="preserve">Rundenrekord</t>
  </si>
  <si>
    <t xml:space="preserve">Eröffnungsjahr der Strecke</t>
  </si>
  <si>
    <t xml:space="preserve">Höhe über Meer</t>
  </si>
  <si>
    <t xml:space="preserve">Höhenunterschied</t>
  </si>
  <si>
    <t xml:space="preserve">Zuschauer Rennwochenende</t>
  </si>
  <si>
    <t xml:space="preserve">Längste Gerade</t>
  </si>
  <si>
    <t xml:space="preserve">DRS-Zonen (Stand 2025)</t>
  </si>
  <si>
    <t xml:space="preserve">Breitengrad</t>
  </si>
  <si>
    <t xml:space="preserve">Rang 1 = bester Wert in Spielrichtung (siehe Blatt Kategorien). Formeln beziehen sich live auf das Datenblatt.</t>
  </si>
  <si>
    <t xml:space="preserve">#</t>
  </si>
  <si>
    <t xml:space="preserve">Kategorie</t>
  </si>
  <si>
    <t xml:space="preserve">Einheit</t>
  </si>
  <si>
    <t xml:space="preserve">Rang 1 =</t>
  </si>
  <si>
    <t xml:space="preserve">Datenqualität</t>
  </si>
  <si>
    <t xml:space="preserve">Definition / Hinweis</t>
  </si>
  <si>
    <t xml:space="preserve">km</t>
  </si>
  <si>
    <t xml:space="preserve">längste</t>
  </si>
  <si>
    <t xml:space="preserve">hart</t>
  </si>
  <si>
    <t xml:space="preserve">Offizielle Länge des aktuellen Layouts</t>
  </si>
  <si>
    <t xml:space="preserve">Anzahl</t>
  </si>
  <si>
    <t xml:space="preserve">meiste</t>
  </si>
  <si>
    <t xml:space="preserve">Offizielle Kurvenzahl des aktuellen Layouts</t>
  </si>
  <si>
    <t xml:space="preserve">Runden des Grand Prix (reguläre Distanz)</t>
  </si>
  <si>
    <t xml:space="preserve">Formel: Runden x Streckenlänge</t>
  </si>
  <si>
    <t xml:space="preserve">Kurven/km</t>
  </si>
  <si>
    <t xml:space="preserve">Formel: Kurven / Streckenlänge (Dichte)</t>
  </si>
  <si>
    <t xml:space="preserve">Jahr</t>
  </si>
  <si>
    <t xml:space="preserve">frühestes</t>
  </si>
  <si>
    <t xml:space="preserve">Erster WM-Lauf auf dieser Strecke</t>
  </si>
  <si>
    <t xml:space="preserve">mittel</t>
  </si>
  <si>
    <t xml:space="preserve">WM-Läufe 1950 bis Ende 2025 (inkl. Doppelrennen 2020/21); bei 'prüfen' unsicher</t>
  </si>
  <si>
    <t xml:space="preserve">Sekunden</t>
  </si>
  <si>
    <t xml:space="preserve">schnellste</t>
  </si>
  <si>
    <t xml:space="preserve">Offizieller Rennrunden-Rekord auf dem aktuellen Layout (Fahrer/Jahr in Anmerkung)</t>
  </si>
  <si>
    <t xml:space="preserve">ältestes</t>
  </si>
  <si>
    <t xml:space="preserve">Erstes Rennen auf der Anlage, unabhängig von F1</t>
  </si>
  <si>
    <t xml:space="preserve">m</t>
  </si>
  <si>
    <t xml:space="preserve">höchste</t>
  </si>
  <si>
    <t xml:space="preserve">ungefähre Höhe der Start-Ziel-Geraden</t>
  </si>
  <si>
    <t xml:space="preserve">grösster</t>
  </si>
  <si>
    <t xml:space="preserve">weich</t>
  </si>
  <si>
    <t xml:space="preserve">Differenz höchster/tiefster Punkt; teils ca.</t>
  </si>
  <si>
    <t xml:space="preserve">Personen</t>
  </si>
  <si>
    <t xml:space="preserve">Veranstalterangaben 2024/25, gerundet; nicht vergleichbar erhoben</t>
  </si>
  <si>
    <t xml:space="preserve">Vollgas-Abschnitt gemäss Streckenbetreiber, teils ca.</t>
  </si>
  <si>
    <t xml:space="preserve">letzte Saison mit DRS; ab 2026 abgeschafft</t>
  </si>
  <si>
    <t xml:space="preserve">Grad</t>
  </si>
  <si>
    <t xml:space="preserve">nördlichste</t>
  </si>
  <si>
    <t xml:space="preserve">Dezimalgrad; Süden negativ</t>
  </si>
  <si>
    <t xml:space="preserve">Hinweise</t>
  </si>
  <si>
    <t xml:space="preserve">Stand 22.09.2026. Werte aus allgemeinem Wissen, nicht einzeln gegen Primärquellen verifiziert; 'prüfen' in der Anmerkung markiert unsichere Zellen.</t>
  </si>
  <si>
    <t xml:space="preserve">Harte Kategorien (Länge, Kurven, Runden, Rekord, Jahre, DRS, Breitengrad) eignen sich für die Tagesrunde; Zuschauer und Höhenunterschied nur mit Quelle/Jahr anzeigen.</t>
  </si>
  <si>
    <t xml:space="preserve">Belastbare Quelle zum Gegenprüfen: Jolpica-API (Ergast-Nachfolger) für Rennen, Runden, Jahre; f1.com-Streckenseiten für Länge, Kurven, Rundenrekord.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</si>
</sst>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74ADC"/>
        <bgColor rgb="FF333399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74AD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2F2F2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74ADC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6" min="2" style="0" width="13"/>
    <col collapsed="false" customWidth="true" hidden="false" outlineLevel="0" max="17" min="17" style="0" width="62"/>
  </cols>
  <sheetData>
    <row r="1" customFormat="false" ht="5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23.85" hidden="false" customHeight="false" outlineLevel="0" collapsed="false">
      <c r="A2" s="2" t="s">
        <v>17</v>
      </c>
      <c r="B2" s="3" t="n">
        <v>5.793</v>
      </c>
      <c r="C2" s="3" t="n">
        <v>11</v>
      </c>
      <c r="D2" s="3" t="n">
        <v>53</v>
      </c>
      <c r="E2" s="3" t="n">
        <f aca="false">ROUND(D2*B2,1)</f>
        <v>307</v>
      </c>
      <c r="F2" s="3" t="n">
        <f aca="false">ROUND(C2/B2,2)</f>
        <v>1.9</v>
      </c>
      <c r="G2" s="3" t="n">
        <v>1950</v>
      </c>
      <c r="H2" s="3" t="n">
        <v>75</v>
      </c>
      <c r="I2" s="3" t="n">
        <v>81.046</v>
      </c>
      <c r="J2" s="3" t="n">
        <v>1922</v>
      </c>
      <c r="K2" s="3" t="n">
        <v>160</v>
      </c>
      <c r="L2" s="3" t="n">
        <v>10</v>
      </c>
      <c r="M2" s="4" t="n">
        <v>335000</v>
      </c>
      <c r="N2" s="3" t="n">
        <v>1120</v>
      </c>
      <c r="O2" s="3" t="n">
        <v>2</v>
      </c>
      <c r="P2" s="3" t="n">
        <v>45.62</v>
      </c>
      <c r="Q2" s="5" t="s">
        <v>18</v>
      </c>
    </row>
    <row r="3" customFormat="false" ht="23.85" hidden="false" customHeight="false" outlineLevel="0" collapsed="false">
      <c r="A3" s="2" t="s">
        <v>19</v>
      </c>
      <c r="B3" s="3" t="n">
        <v>5.891</v>
      </c>
      <c r="C3" s="3" t="n">
        <v>18</v>
      </c>
      <c r="D3" s="3" t="n">
        <v>52</v>
      </c>
      <c r="E3" s="3" t="n">
        <f aca="false">ROUND(D3*B3,1)</f>
        <v>306.3</v>
      </c>
      <c r="F3" s="3" t="n">
        <f aca="false">ROUND(C3/B3,2)</f>
        <v>3.06</v>
      </c>
      <c r="G3" s="3" t="n">
        <v>1950</v>
      </c>
      <c r="H3" s="3" t="n">
        <v>60</v>
      </c>
      <c r="I3" s="3" t="n">
        <v>87.097</v>
      </c>
      <c r="J3" s="3" t="n">
        <v>1948</v>
      </c>
      <c r="K3" s="3" t="n">
        <v>150</v>
      </c>
      <c r="L3" s="3" t="n">
        <v>15</v>
      </c>
      <c r="M3" s="4" t="n">
        <v>480000</v>
      </c>
      <c r="N3" s="3" t="n">
        <v>770</v>
      </c>
      <c r="O3" s="3" t="n">
        <v>2</v>
      </c>
      <c r="P3" s="3" t="n">
        <v>52.07</v>
      </c>
      <c r="Q3" s="5" t="s">
        <v>20</v>
      </c>
    </row>
    <row r="4" customFormat="false" ht="15" hidden="false" customHeight="false" outlineLevel="0" collapsed="false">
      <c r="A4" s="2" t="s">
        <v>21</v>
      </c>
      <c r="B4" s="3" t="n">
        <v>7.004</v>
      </c>
      <c r="C4" s="3" t="n">
        <v>19</v>
      </c>
      <c r="D4" s="3" t="n">
        <v>44</v>
      </c>
      <c r="E4" s="3" t="n">
        <f aca="false">ROUND(D4*B4,1)</f>
        <v>308.2</v>
      </c>
      <c r="F4" s="3" t="n">
        <f aca="false">ROUND(C4/B4,2)</f>
        <v>2.71</v>
      </c>
      <c r="G4" s="3" t="n">
        <v>1950</v>
      </c>
      <c r="H4" s="3" t="n">
        <v>58</v>
      </c>
      <c r="I4" s="3" t="n">
        <v>104.701</v>
      </c>
      <c r="J4" s="3" t="n">
        <v>1921</v>
      </c>
      <c r="K4" s="3" t="n">
        <v>400</v>
      </c>
      <c r="L4" s="3" t="n">
        <v>102</v>
      </c>
      <c r="M4" s="4" t="n">
        <v>380000</v>
      </c>
      <c r="N4" s="3" t="n">
        <v>800</v>
      </c>
      <c r="O4" s="3" t="n">
        <v>2</v>
      </c>
      <c r="P4" s="3" t="n">
        <v>50.44</v>
      </c>
      <c r="Q4" s="5" t="s">
        <v>22</v>
      </c>
    </row>
    <row r="5" customFormat="false" ht="15" hidden="false" customHeight="false" outlineLevel="0" collapsed="false">
      <c r="A5" s="2" t="s">
        <v>23</v>
      </c>
      <c r="B5" s="3" t="n">
        <v>3.337</v>
      </c>
      <c r="C5" s="3" t="n">
        <v>19</v>
      </c>
      <c r="D5" s="3" t="n">
        <v>78</v>
      </c>
      <c r="E5" s="3" t="n">
        <f aca="false">ROUND(D5*B5,1)</f>
        <v>260.3</v>
      </c>
      <c r="F5" s="3" t="n">
        <f aca="false">ROUND(C5/B5,2)</f>
        <v>5.69</v>
      </c>
      <c r="G5" s="3" t="n">
        <v>1950</v>
      </c>
      <c r="H5" s="3" t="n">
        <v>71</v>
      </c>
      <c r="I5" s="3" t="n">
        <v>72.909</v>
      </c>
      <c r="J5" s="3" t="n">
        <v>1929</v>
      </c>
      <c r="K5" s="3" t="n">
        <v>10</v>
      </c>
      <c r="L5" s="3" t="n">
        <v>42</v>
      </c>
      <c r="M5" s="4" t="n">
        <v>200000</v>
      </c>
      <c r="N5" s="3" t="n">
        <v>510</v>
      </c>
      <c r="O5" s="3" t="n">
        <v>1</v>
      </c>
      <c r="P5" s="3" t="n">
        <v>43.73</v>
      </c>
      <c r="Q5" s="5" t="s">
        <v>24</v>
      </c>
    </row>
    <row r="6" customFormat="false" ht="15" hidden="false" customHeight="false" outlineLevel="0" collapsed="false">
      <c r="A6" s="2" t="s">
        <v>25</v>
      </c>
      <c r="B6" s="3" t="n">
        <v>5.807</v>
      </c>
      <c r="C6" s="3" t="n">
        <v>18</v>
      </c>
      <c r="D6" s="3" t="n">
        <v>53</v>
      </c>
      <c r="E6" s="3" t="n">
        <f aca="false">ROUND(D6*B6,1)</f>
        <v>307.8</v>
      </c>
      <c r="F6" s="3" t="n">
        <f aca="false">ROUND(C6/B6,2)</f>
        <v>3.1</v>
      </c>
      <c r="G6" s="3" t="n">
        <v>1987</v>
      </c>
      <c r="H6" s="3" t="n">
        <v>35</v>
      </c>
      <c r="I6" s="3" t="n">
        <v>90.983</v>
      </c>
      <c r="J6" s="3" t="n">
        <v>1962</v>
      </c>
      <c r="K6" s="3" t="n">
        <v>45</v>
      </c>
      <c r="L6" s="3" t="n">
        <v>40</v>
      </c>
      <c r="M6" s="4" t="n">
        <v>229000</v>
      </c>
      <c r="N6" s="3" t="n">
        <v>1200</v>
      </c>
      <c r="O6" s="3" t="n">
        <v>1</v>
      </c>
      <c r="P6" s="3" t="n">
        <v>34.84</v>
      </c>
      <c r="Q6" s="5" t="s">
        <v>26</v>
      </c>
    </row>
    <row r="7" customFormat="false" ht="15" hidden="false" customHeight="false" outlineLevel="0" collapsed="false">
      <c r="A7" s="2" t="s">
        <v>27</v>
      </c>
      <c r="B7" s="3" t="n">
        <v>4.309</v>
      </c>
      <c r="C7" s="3" t="n">
        <v>15</v>
      </c>
      <c r="D7" s="3" t="n">
        <v>71</v>
      </c>
      <c r="E7" s="3" t="n">
        <f aca="false">ROUND(D7*B7,1)</f>
        <v>305.9</v>
      </c>
      <c r="F7" s="3" t="n">
        <f aca="false">ROUND(C7/B7,2)</f>
        <v>3.48</v>
      </c>
      <c r="G7" s="3" t="n">
        <v>1973</v>
      </c>
      <c r="H7" s="3" t="n">
        <v>42</v>
      </c>
      <c r="I7" s="3" t="n">
        <v>70.54</v>
      </c>
      <c r="J7" s="3" t="n">
        <v>1940</v>
      </c>
      <c r="K7" s="3" t="n">
        <v>780</v>
      </c>
      <c r="L7" s="3" t="n">
        <v>43</v>
      </c>
      <c r="M7" s="4" t="n">
        <v>290000</v>
      </c>
      <c r="N7" s="3" t="n">
        <v>1100</v>
      </c>
      <c r="O7" s="3" t="n">
        <v>2</v>
      </c>
      <c r="P7" s="3" t="n">
        <v>-23.7</v>
      </c>
      <c r="Q7" s="5" t="s">
        <v>28</v>
      </c>
    </row>
    <row r="8" customFormat="false" ht="15" hidden="false" customHeight="false" outlineLevel="0" collapsed="false">
      <c r="A8" s="2" t="s">
        <v>29</v>
      </c>
      <c r="B8" s="3" t="n">
        <v>4.361</v>
      </c>
      <c r="C8" s="3" t="n">
        <v>14</v>
      </c>
      <c r="D8" s="3" t="n">
        <v>70</v>
      </c>
      <c r="E8" s="3" t="n">
        <f aca="false">ROUND(D8*B8,1)</f>
        <v>305.3</v>
      </c>
      <c r="F8" s="3" t="n">
        <f aca="false">ROUND(C8/B8,2)</f>
        <v>3.21</v>
      </c>
      <c r="G8" s="3" t="n">
        <v>1978</v>
      </c>
      <c r="H8" s="3" t="n">
        <v>44</v>
      </c>
      <c r="I8" s="3" t="n">
        <v>73.078</v>
      </c>
      <c r="J8" s="3" t="n">
        <v>1978</v>
      </c>
      <c r="K8" s="3" t="n">
        <v>12</v>
      </c>
      <c r="L8" s="3" t="n">
        <v>5</v>
      </c>
      <c r="M8" s="4" t="n">
        <v>350000</v>
      </c>
      <c r="N8" s="3" t="n">
        <v>1190</v>
      </c>
      <c r="O8" s="3" t="n">
        <v>2</v>
      </c>
      <c r="P8" s="3" t="n">
        <v>45.5</v>
      </c>
      <c r="Q8" s="5" t="s">
        <v>30</v>
      </c>
    </row>
    <row r="9" customFormat="false" ht="23.85" hidden="false" customHeight="false" outlineLevel="0" collapsed="false">
      <c r="A9" s="2" t="s">
        <v>31</v>
      </c>
      <c r="B9" s="3" t="n">
        <v>5.278</v>
      </c>
      <c r="C9" s="3" t="n">
        <v>14</v>
      </c>
      <c r="D9" s="3" t="n">
        <v>58</v>
      </c>
      <c r="E9" s="3" t="n">
        <f aca="false">ROUND(D9*B9,1)</f>
        <v>306.1</v>
      </c>
      <c r="F9" s="3" t="n">
        <f aca="false">ROUND(C9/B9,2)</f>
        <v>2.65</v>
      </c>
      <c r="G9" s="3" t="n">
        <v>1996</v>
      </c>
      <c r="H9" s="3" t="n">
        <v>28</v>
      </c>
      <c r="I9" s="3" t="n">
        <v>79.813</v>
      </c>
      <c r="J9" s="3" t="n">
        <v>1996</v>
      </c>
      <c r="K9" s="3" t="n">
        <v>10</v>
      </c>
      <c r="L9" s="3" t="n">
        <v>3</v>
      </c>
      <c r="M9" s="4" t="n">
        <v>465000</v>
      </c>
      <c r="N9" s="3" t="n">
        <v>900</v>
      </c>
      <c r="O9" s="3" t="n">
        <v>4</v>
      </c>
      <c r="P9" s="3" t="n">
        <v>-37.85</v>
      </c>
      <c r="Q9" s="5" t="s">
        <v>32</v>
      </c>
    </row>
    <row r="10" customFormat="false" ht="15" hidden="false" customHeight="false" outlineLevel="0" collapsed="false">
      <c r="A10" s="2" t="s">
        <v>33</v>
      </c>
      <c r="B10" s="3" t="n">
        <v>4.657</v>
      </c>
      <c r="C10" s="3" t="n">
        <v>14</v>
      </c>
      <c r="D10" s="3" t="n">
        <v>66</v>
      </c>
      <c r="E10" s="3" t="n">
        <f aca="false">ROUND(D10*B10,1)</f>
        <v>307.4</v>
      </c>
      <c r="F10" s="3" t="n">
        <f aca="false">ROUND(C10/B10,2)</f>
        <v>3.01</v>
      </c>
      <c r="G10" s="3" t="n">
        <v>1991</v>
      </c>
      <c r="H10" s="3" t="n">
        <v>35</v>
      </c>
      <c r="I10" s="3" t="n">
        <v>76.33</v>
      </c>
      <c r="J10" s="3" t="n">
        <v>1991</v>
      </c>
      <c r="K10" s="3" t="n">
        <v>100</v>
      </c>
      <c r="L10" s="3" t="n">
        <v>30</v>
      </c>
      <c r="M10" s="4" t="n">
        <v>300000</v>
      </c>
      <c r="N10" s="3" t="n">
        <v>1047</v>
      </c>
      <c r="O10" s="3" t="n">
        <v>2</v>
      </c>
      <c r="P10" s="3" t="n">
        <v>41.57</v>
      </c>
      <c r="Q10" s="5" t="s">
        <v>34</v>
      </c>
    </row>
    <row r="11" customFormat="false" ht="15" hidden="false" customHeight="false" outlineLevel="0" collapsed="false">
      <c r="A11" s="2" t="s">
        <v>35</v>
      </c>
      <c r="B11" s="3" t="n">
        <v>4.381</v>
      </c>
      <c r="C11" s="3" t="n">
        <v>14</v>
      </c>
      <c r="D11" s="3" t="n">
        <v>70</v>
      </c>
      <c r="E11" s="3" t="n">
        <f aca="false">ROUND(D11*B11,1)</f>
        <v>306.7</v>
      </c>
      <c r="F11" s="3" t="n">
        <f aca="false">ROUND(C11/B11,2)</f>
        <v>3.2</v>
      </c>
      <c r="G11" s="3" t="n">
        <v>1986</v>
      </c>
      <c r="H11" s="3" t="n">
        <v>40</v>
      </c>
      <c r="I11" s="3" t="n">
        <v>76.627</v>
      </c>
      <c r="J11" s="3" t="n">
        <v>1986</v>
      </c>
      <c r="K11" s="3" t="n">
        <v>250</v>
      </c>
      <c r="L11" s="3" t="n">
        <v>36</v>
      </c>
      <c r="M11" s="4" t="n">
        <v>300000</v>
      </c>
      <c r="N11" s="3" t="n">
        <v>908</v>
      </c>
      <c r="O11" s="3" t="n">
        <v>2</v>
      </c>
      <c r="P11" s="3" t="n">
        <v>47.58</v>
      </c>
      <c r="Q11" s="5" t="s">
        <v>36</v>
      </c>
    </row>
    <row r="12" customFormat="false" ht="15" hidden="false" customHeight="false" outlineLevel="0" collapsed="false">
      <c r="A12" s="2" t="s">
        <v>37</v>
      </c>
      <c r="B12" s="3" t="n">
        <v>4.259</v>
      </c>
      <c r="C12" s="3" t="n">
        <v>14</v>
      </c>
      <c r="D12" s="3" t="n">
        <v>72</v>
      </c>
      <c r="E12" s="3" t="n">
        <f aca="false">ROUND(D12*B12,1)</f>
        <v>306.6</v>
      </c>
      <c r="F12" s="3" t="n">
        <f aca="false">ROUND(C12/B12,2)</f>
        <v>3.29</v>
      </c>
      <c r="G12" s="3" t="n">
        <v>1952</v>
      </c>
      <c r="H12" s="3" t="n">
        <v>35</v>
      </c>
      <c r="I12" s="3" t="n">
        <v>71.097</v>
      </c>
      <c r="J12" s="3" t="n">
        <v>1948</v>
      </c>
      <c r="K12" s="3" t="n">
        <v>5</v>
      </c>
      <c r="L12" s="3" t="n">
        <v>15</v>
      </c>
      <c r="M12" s="4" t="n">
        <v>305000</v>
      </c>
      <c r="N12" s="3" t="n">
        <v>700</v>
      </c>
      <c r="O12" s="3" t="n">
        <v>2</v>
      </c>
      <c r="P12" s="3" t="n">
        <v>52.39</v>
      </c>
      <c r="Q12" s="5" t="s">
        <v>38</v>
      </c>
    </row>
    <row r="13" customFormat="false" ht="23.85" hidden="false" customHeight="false" outlineLevel="0" collapsed="false">
      <c r="A13" s="2" t="s">
        <v>39</v>
      </c>
      <c r="B13" s="3" t="n">
        <v>4.318</v>
      </c>
      <c r="C13" s="3" t="n">
        <v>10</v>
      </c>
      <c r="D13" s="3" t="n">
        <v>71</v>
      </c>
      <c r="E13" s="3" t="n">
        <f aca="false">ROUND(D13*B13,1)</f>
        <v>306.6</v>
      </c>
      <c r="F13" s="3" t="n">
        <f aca="false">ROUND(C13/B13,2)</f>
        <v>2.32</v>
      </c>
      <c r="G13" s="3" t="n">
        <v>1970</v>
      </c>
      <c r="H13" s="3" t="n">
        <v>39</v>
      </c>
      <c r="I13" s="3" t="n">
        <v>65.619</v>
      </c>
      <c r="J13" s="3" t="n">
        <v>1969</v>
      </c>
      <c r="K13" s="3" t="n">
        <v>680</v>
      </c>
      <c r="L13" s="3" t="n">
        <v>65</v>
      </c>
      <c r="M13" s="4" t="n">
        <v>300000</v>
      </c>
      <c r="N13" s="3" t="n">
        <v>800</v>
      </c>
      <c r="O13" s="3" t="n">
        <v>3</v>
      </c>
      <c r="P13" s="3" t="n">
        <v>47.22</v>
      </c>
      <c r="Q13" s="5" t="s">
        <v>40</v>
      </c>
    </row>
    <row r="14" customFormat="false" ht="15" hidden="false" customHeight="false" outlineLevel="0" collapsed="false">
      <c r="A14" s="2" t="s">
        <v>41</v>
      </c>
      <c r="B14" s="3" t="n">
        <v>5.412</v>
      </c>
      <c r="C14" s="3" t="n">
        <v>15</v>
      </c>
      <c r="D14" s="3" t="n">
        <v>57</v>
      </c>
      <c r="E14" s="3" t="n">
        <f aca="false">ROUND(D14*B14,1)</f>
        <v>308.5</v>
      </c>
      <c r="F14" s="3" t="n">
        <f aca="false">ROUND(C14/B14,2)</f>
        <v>2.77</v>
      </c>
      <c r="G14" s="3" t="n">
        <v>2004</v>
      </c>
      <c r="H14" s="3" t="n">
        <v>22</v>
      </c>
      <c r="I14" s="3" t="n">
        <v>91.447</v>
      </c>
      <c r="J14" s="3" t="n">
        <v>2004</v>
      </c>
      <c r="K14" s="3" t="n">
        <v>7</v>
      </c>
      <c r="L14" s="3" t="n">
        <v>18</v>
      </c>
      <c r="M14" s="4" t="n">
        <v>100000</v>
      </c>
      <c r="N14" s="3" t="n">
        <v>1090</v>
      </c>
      <c r="O14" s="3" t="n">
        <v>3</v>
      </c>
      <c r="P14" s="3" t="n">
        <v>26.03</v>
      </c>
      <c r="Q14" s="5" t="s">
        <v>42</v>
      </c>
    </row>
    <row r="15" customFormat="false" ht="15" hidden="false" customHeight="false" outlineLevel="0" collapsed="false">
      <c r="A15" s="2" t="s">
        <v>43</v>
      </c>
      <c r="B15" s="3" t="n">
        <v>6.174</v>
      </c>
      <c r="C15" s="3" t="n">
        <v>27</v>
      </c>
      <c r="D15" s="3" t="n">
        <v>50</v>
      </c>
      <c r="E15" s="3" t="n">
        <f aca="false">ROUND(D15*B15,1)</f>
        <v>308.7</v>
      </c>
      <c r="F15" s="3" t="n">
        <f aca="false">ROUND(C15/B15,2)</f>
        <v>4.37</v>
      </c>
      <c r="G15" s="3" t="n">
        <v>2021</v>
      </c>
      <c r="H15" s="3" t="n">
        <v>5</v>
      </c>
      <c r="I15" s="3" t="n">
        <v>90.734</v>
      </c>
      <c r="J15" s="3" t="n">
        <v>2021</v>
      </c>
      <c r="K15" s="3" t="n">
        <v>3</v>
      </c>
      <c r="L15" s="3" t="n">
        <v>5</v>
      </c>
      <c r="M15" s="4" t="n">
        <v>140000</v>
      </c>
      <c r="N15" s="3" t="n">
        <v>1300</v>
      </c>
      <c r="O15" s="3" t="n">
        <v>3</v>
      </c>
      <c r="P15" s="3" t="n">
        <v>21.63</v>
      </c>
      <c r="Q15" s="5" t="s">
        <v>44</v>
      </c>
    </row>
    <row r="16" customFormat="false" ht="23.85" hidden="false" customHeight="false" outlineLevel="0" collapsed="false">
      <c r="A16" s="2" t="s">
        <v>45</v>
      </c>
      <c r="B16" s="3" t="n">
        <v>6.003</v>
      </c>
      <c r="C16" s="3" t="n">
        <v>20</v>
      </c>
      <c r="D16" s="3" t="n">
        <v>51</v>
      </c>
      <c r="E16" s="3" t="n">
        <f aca="false">ROUND(D16*B16,1)</f>
        <v>306.2</v>
      </c>
      <c r="F16" s="3" t="n">
        <f aca="false">ROUND(C16/B16,2)</f>
        <v>3.33</v>
      </c>
      <c r="G16" s="3" t="n">
        <v>2016</v>
      </c>
      <c r="H16" s="3" t="n">
        <v>9</v>
      </c>
      <c r="I16" s="3" t="n">
        <v>103.009</v>
      </c>
      <c r="J16" s="3" t="n">
        <v>2016</v>
      </c>
      <c r="K16" s="3" t="n">
        <v>5</v>
      </c>
      <c r="L16" s="3" t="n">
        <v>35</v>
      </c>
      <c r="M16" s="4" t="n">
        <v>90000</v>
      </c>
      <c r="N16" s="3" t="n">
        <v>2200</v>
      </c>
      <c r="O16" s="3" t="n">
        <v>2</v>
      </c>
      <c r="P16" s="3" t="n">
        <v>40.37</v>
      </c>
      <c r="Q16" s="5" t="s">
        <v>46</v>
      </c>
    </row>
    <row r="17" customFormat="false" ht="15" hidden="false" customHeight="false" outlineLevel="0" collapsed="false">
      <c r="A17" s="2" t="s">
        <v>47</v>
      </c>
      <c r="B17" s="3" t="n">
        <v>4.94</v>
      </c>
      <c r="C17" s="3" t="n">
        <v>19</v>
      </c>
      <c r="D17" s="3" t="n">
        <v>62</v>
      </c>
      <c r="E17" s="3" t="n">
        <f aca="false">ROUND(D17*B17,1)</f>
        <v>306.3</v>
      </c>
      <c r="F17" s="3" t="n">
        <f aca="false">ROUND(C17/B17,2)</f>
        <v>3.85</v>
      </c>
      <c r="G17" s="3" t="n">
        <v>2008</v>
      </c>
      <c r="H17" s="3" t="n">
        <v>16</v>
      </c>
      <c r="I17" s="3" t="n">
        <v>94.486</v>
      </c>
      <c r="J17" s="3" t="n">
        <v>2008</v>
      </c>
      <c r="K17" s="3" t="n">
        <v>5</v>
      </c>
      <c r="L17" s="3" t="n">
        <v>5</v>
      </c>
      <c r="M17" s="4" t="n">
        <v>270000</v>
      </c>
      <c r="N17" s="3" t="n">
        <v>700</v>
      </c>
      <c r="O17" s="3" t="n">
        <v>3</v>
      </c>
      <c r="P17" s="3" t="n">
        <v>1.29</v>
      </c>
      <c r="Q17" s="5" t="s">
        <v>48</v>
      </c>
    </row>
    <row r="18" customFormat="false" ht="15" hidden="false" customHeight="false" outlineLevel="0" collapsed="false">
      <c r="A18" s="2" t="s">
        <v>49</v>
      </c>
      <c r="B18" s="3" t="n">
        <v>5.513</v>
      </c>
      <c r="C18" s="3" t="n">
        <v>20</v>
      </c>
      <c r="D18" s="3" t="n">
        <v>56</v>
      </c>
      <c r="E18" s="3" t="n">
        <f aca="false">ROUND(D18*B18,1)</f>
        <v>308.7</v>
      </c>
      <c r="F18" s="3" t="n">
        <f aca="false">ROUND(C18/B18,2)</f>
        <v>3.63</v>
      </c>
      <c r="G18" s="3" t="n">
        <v>2012</v>
      </c>
      <c r="H18" s="3" t="n">
        <v>13</v>
      </c>
      <c r="I18" s="3" t="n">
        <v>96.169</v>
      </c>
      <c r="J18" s="3" t="n">
        <v>2012</v>
      </c>
      <c r="K18" s="3" t="n">
        <v>170</v>
      </c>
      <c r="L18" s="3" t="n">
        <v>41</v>
      </c>
      <c r="M18" s="4" t="n">
        <v>430000</v>
      </c>
      <c r="N18" s="3" t="n">
        <v>1200</v>
      </c>
      <c r="O18" s="3" t="n">
        <v>2</v>
      </c>
      <c r="P18" s="3" t="n">
        <v>30.13</v>
      </c>
      <c r="Q18" s="5" t="s">
        <v>50</v>
      </c>
    </row>
    <row r="19" customFormat="false" ht="15" hidden="false" customHeight="false" outlineLevel="0" collapsed="false">
      <c r="A19" s="2" t="s">
        <v>51</v>
      </c>
      <c r="B19" s="3" t="n">
        <v>4.304</v>
      </c>
      <c r="C19" s="3" t="n">
        <v>17</v>
      </c>
      <c r="D19" s="3" t="n">
        <v>71</v>
      </c>
      <c r="E19" s="3" t="n">
        <f aca="false">ROUND(D19*B19,1)</f>
        <v>305.6</v>
      </c>
      <c r="F19" s="3" t="n">
        <f aca="false">ROUND(C19/B19,2)</f>
        <v>3.95</v>
      </c>
      <c r="G19" s="3" t="n">
        <v>1963</v>
      </c>
      <c r="H19" s="3" t="n">
        <v>25</v>
      </c>
      <c r="I19" s="3" t="n">
        <v>77.774</v>
      </c>
      <c r="J19" s="3" t="n">
        <v>1959</v>
      </c>
      <c r="K19" s="3" t="n">
        <v>2240</v>
      </c>
      <c r="L19" s="3" t="n">
        <v>10</v>
      </c>
      <c r="M19" s="4" t="n">
        <v>400000</v>
      </c>
      <c r="N19" s="3" t="n">
        <v>1200</v>
      </c>
      <c r="O19" s="3" t="n">
        <v>3</v>
      </c>
      <c r="P19" s="3" t="n">
        <v>19.4</v>
      </c>
      <c r="Q19" s="5" t="s">
        <v>52</v>
      </c>
    </row>
    <row r="20" customFormat="false" ht="23.85" hidden="false" customHeight="false" outlineLevel="0" collapsed="false">
      <c r="A20" s="2" t="s">
        <v>53</v>
      </c>
      <c r="B20" s="3" t="n">
        <v>6.201</v>
      </c>
      <c r="C20" s="3" t="n">
        <v>17</v>
      </c>
      <c r="D20" s="3" t="n">
        <v>50</v>
      </c>
      <c r="E20" s="3" t="n">
        <f aca="false">ROUND(D20*B20,1)</f>
        <v>310.1</v>
      </c>
      <c r="F20" s="3" t="n">
        <f aca="false">ROUND(C20/B20,2)</f>
        <v>2.74</v>
      </c>
      <c r="G20" s="3" t="n">
        <v>2023</v>
      </c>
      <c r="H20" s="3" t="n">
        <v>3</v>
      </c>
      <c r="I20" s="3" t="n">
        <v>94.876</v>
      </c>
      <c r="J20" s="3" t="n">
        <v>2023</v>
      </c>
      <c r="K20" s="3" t="n">
        <v>610</v>
      </c>
      <c r="L20" s="3" t="n">
        <v>5</v>
      </c>
      <c r="M20" s="4" t="n">
        <v>300000</v>
      </c>
      <c r="N20" s="3" t="n">
        <v>1900</v>
      </c>
      <c r="O20" s="3" t="n">
        <v>2</v>
      </c>
      <c r="P20" s="3" t="n">
        <v>36.12</v>
      </c>
      <c r="Q20" s="5" t="s">
        <v>54</v>
      </c>
    </row>
    <row r="21" customFormat="false" ht="15" hidden="false" customHeight="false" outlineLevel="0" collapsed="false">
      <c r="A21" s="2" t="s">
        <v>55</v>
      </c>
      <c r="B21" s="3" t="n">
        <v>5.281</v>
      </c>
      <c r="C21" s="3" t="n">
        <v>16</v>
      </c>
      <c r="D21" s="3" t="n">
        <v>58</v>
      </c>
      <c r="E21" s="3" t="n">
        <f aca="false">ROUND(D21*B21,1)</f>
        <v>306.3</v>
      </c>
      <c r="F21" s="3" t="n">
        <f aca="false">ROUND(C21/B21,2)</f>
        <v>3.03</v>
      </c>
      <c r="G21" s="3" t="n">
        <v>2009</v>
      </c>
      <c r="H21" s="3" t="n">
        <v>17</v>
      </c>
      <c r="I21" s="3" t="n">
        <v>85.637</v>
      </c>
      <c r="J21" s="3" t="n">
        <v>2009</v>
      </c>
      <c r="K21" s="3" t="n">
        <v>5</v>
      </c>
      <c r="L21" s="3" t="n">
        <v>5</v>
      </c>
      <c r="M21" s="4" t="n">
        <v>190000</v>
      </c>
      <c r="N21" s="3" t="n">
        <v>1200</v>
      </c>
      <c r="O21" s="3" t="n">
        <v>2</v>
      </c>
      <c r="P21" s="3" t="n">
        <v>24.47</v>
      </c>
      <c r="Q21" s="5" t="s">
        <v>56</v>
      </c>
    </row>
  </sheetData>
  <autoFilter ref="A1:Q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6" min="2" style="0" width="13"/>
  </cols>
  <sheetData>
    <row r="1" customFormat="false" ht="57.75" hidden="false" customHeight="true" outlineLevel="0" collapsed="false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</row>
    <row r="2" customFormat="false" ht="15" hidden="false" customHeight="false" outlineLevel="0" collapsed="false">
      <c r="A2" s="6" t="str">
        <f aca="false">'F1-Strecken'!A2</f>
        <v>Monza (Italien)</v>
      </c>
      <c r="B2" s="7" t="n">
        <f aca="false">IF('F1-Strecken'!B2="","",RANK('F1-Strecken'!B2,'F1-Strecken'!$B$2:$B$21,0))</f>
        <v>7</v>
      </c>
      <c r="C2" s="7" t="n">
        <f aca="false">IF('F1-Strecken'!C2="","",RANK('F1-Strecken'!C2,'F1-Strecken'!$C$2:$C$21,0))</f>
        <v>19</v>
      </c>
      <c r="D2" s="7" t="n">
        <f aca="false">IF('F1-Strecken'!D2="","",RANK('F1-Strecken'!D2,'F1-Strecken'!$D$2:$D$21,0))</f>
        <v>14</v>
      </c>
      <c r="E2" s="7" t="n">
        <f aca="false">IF('F1-Strecken'!E2="","",RANK('F1-Strecken'!E2,'F1-Strecken'!$E$2:$E$21,0))</f>
        <v>8</v>
      </c>
      <c r="F2" s="7" t="n">
        <f aca="false">IF('F1-Strecken'!F2="","",RANK('F1-Strecken'!F2,'F1-Strecken'!$F$2:$F$21,0))</f>
        <v>20</v>
      </c>
      <c r="G2" s="7" t="n">
        <f aca="false">IF('F1-Strecken'!G2="","",RANK('F1-Strecken'!G2,'F1-Strecken'!$G$2:$G$21,1))</f>
        <v>1</v>
      </c>
      <c r="H2" s="7" t="n">
        <f aca="false">IF('F1-Strecken'!H2="","",RANK('F1-Strecken'!H2,'F1-Strecken'!$H$2:$H$21,0))</f>
        <v>1</v>
      </c>
      <c r="I2" s="7" t="n">
        <f aca="false">IF('F1-Strecken'!I2="","",RANK('F1-Strecken'!I2,'F1-Strecken'!$I$2:$I$21,1))</f>
        <v>10</v>
      </c>
      <c r="J2" s="7" t="n">
        <f aca="false">IF('F1-Strecken'!J2="","",RANK('F1-Strecken'!J2,'F1-Strecken'!$J$2:$J$21,1))</f>
        <v>2</v>
      </c>
      <c r="K2" s="7" t="n">
        <f aca="false">IF('F1-Strecken'!K2="","",RANK('F1-Strecken'!K2,'F1-Strecken'!$K$2:$K$21,0))</f>
        <v>8</v>
      </c>
      <c r="L2" s="7" t="n">
        <f aca="false">IF('F1-Strecken'!L2="","",RANK('F1-Strecken'!L2,'F1-Strecken'!$L$2:$L$21,0))</f>
        <v>13</v>
      </c>
      <c r="M2" s="7" t="n">
        <f aca="false">IF('F1-Strecken'!M2="","",RANK('F1-Strecken'!M2,'F1-Strecken'!$M$2:$M$21,0))</f>
        <v>7</v>
      </c>
      <c r="N2" s="7" t="n">
        <f aca="false">IF('F1-Strecken'!N2="","",RANK('F1-Strecken'!N2,'F1-Strecken'!$N$2:$N$21,0))</f>
        <v>9</v>
      </c>
      <c r="O2" s="7" t="n">
        <f aca="false">IF('F1-Strecken'!O2="","",RANK('F1-Strecken'!O2,'F1-Strecken'!$O$2:$O$21,0))</f>
        <v>7</v>
      </c>
      <c r="P2" s="7" t="n">
        <f aca="false">IF('F1-Strecken'!P2="","",RANK('F1-Strecken'!P2,'F1-Strecken'!$P$2:$P$21,0))</f>
        <v>6</v>
      </c>
    </row>
    <row r="3" customFormat="false" ht="15" hidden="false" customHeight="false" outlineLevel="0" collapsed="false">
      <c r="A3" s="6" t="str">
        <f aca="false">'F1-Strecken'!A3</f>
        <v>Silverstone (Grossbritannien)</v>
      </c>
      <c r="B3" s="7" t="n">
        <f aca="false">IF('F1-Strecken'!B3="","",RANK('F1-Strecken'!B3,'F1-Strecken'!$B$2:$B$21,0))</f>
        <v>5</v>
      </c>
      <c r="C3" s="7" t="n">
        <f aca="false">IF('F1-Strecken'!C3="","",RANK('F1-Strecken'!C3,'F1-Strecken'!$C$2:$C$21,0))</f>
        <v>7</v>
      </c>
      <c r="D3" s="7" t="n">
        <f aca="false">IF('F1-Strecken'!D3="","",RANK('F1-Strecken'!D3,'F1-Strecken'!$D$2:$D$21,0))</f>
        <v>16</v>
      </c>
      <c r="E3" s="7" t="n">
        <f aca="false">IF('F1-Strecken'!E3="","",RANK('F1-Strecken'!E3,'F1-Strecken'!$E$2:$E$21,0))</f>
        <v>12</v>
      </c>
      <c r="F3" s="7" t="n">
        <f aca="false">IF('F1-Strecken'!F3="","",RANK('F1-Strecken'!F3,'F1-Strecken'!$F$2:$F$21,0))</f>
        <v>12</v>
      </c>
      <c r="G3" s="7" t="n">
        <f aca="false">IF('F1-Strecken'!G3="","",RANK('F1-Strecken'!G3,'F1-Strecken'!$G$2:$G$21,1))</f>
        <v>1</v>
      </c>
      <c r="H3" s="7" t="n">
        <f aca="false">IF('F1-Strecken'!H3="","",RANK('F1-Strecken'!H3,'F1-Strecken'!$H$2:$H$21,0))</f>
        <v>3</v>
      </c>
      <c r="I3" s="7" t="n">
        <f aca="false">IF('F1-Strecken'!I3="","",RANK('F1-Strecken'!I3,'F1-Strecken'!$I$2:$I$21,1))</f>
        <v>12</v>
      </c>
      <c r="J3" s="7" t="n">
        <f aca="false">IF('F1-Strecken'!J3="","",RANK('F1-Strecken'!J3,'F1-Strecken'!$J$2:$J$21,1))</f>
        <v>5</v>
      </c>
      <c r="K3" s="7" t="n">
        <f aca="false">IF('F1-Strecken'!K3="","",RANK('F1-Strecken'!K3,'F1-Strecken'!$K$2:$K$21,0))</f>
        <v>9</v>
      </c>
      <c r="L3" s="7" t="n">
        <f aca="false">IF('F1-Strecken'!L3="","",RANK('F1-Strecken'!L3,'F1-Strecken'!$L$2:$L$21,0))</f>
        <v>11</v>
      </c>
      <c r="M3" s="7" t="n">
        <f aca="false">IF('F1-Strecken'!M3="","",RANK('F1-Strecken'!M3,'F1-Strecken'!$M$2:$M$21,0))</f>
        <v>1</v>
      </c>
      <c r="N3" s="7" t="n">
        <f aca="false">IF('F1-Strecken'!N3="","",RANK('F1-Strecken'!N3,'F1-Strecken'!$N$2:$N$21,0))</f>
        <v>17</v>
      </c>
      <c r="O3" s="7" t="n">
        <f aca="false">IF('F1-Strecken'!O3="","",RANK('F1-Strecken'!O3,'F1-Strecken'!$O$2:$O$21,0))</f>
        <v>7</v>
      </c>
      <c r="P3" s="7" t="n">
        <f aca="false">IF('F1-Strecken'!P3="","",RANK('F1-Strecken'!P3,'F1-Strecken'!$P$2:$P$21,0))</f>
        <v>2</v>
      </c>
    </row>
    <row r="4" customFormat="false" ht="15" hidden="false" customHeight="false" outlineLevel="0" collapsed="false">
      <c r="A4" s="6" t="str">
        <f aca="false">'F1-Strecken'!A4</f>
        <v>Spa-Francorchamps (Belgien)</v>
      </c>
      <c r="B4" s="7" t="n">
        <f aca="false">IF('F1-Strecken'!B4="","",RANK('F1-Strecken'!B4,'F1-Strecken'!$B$2:$B$21,0))</f>
        <v>1</v>
      </c>
      <c r="C4" s="7" t="n">
        <f aca="false">IF('F1-Strecken'!C4="","",RANK('F1-Strecken'!C4,'F1-Strecken'!$C$2:$C$21,0))</f>
        <v>4</v>
      </c>
      <c r="D4" s="7" t="n">
        <f aca="false">IF('F1-Strecken'!D4="","",RANK('F1-Strecken'!D4,'F1-Strecken'!$D$2:$D$21,0))</f>
        <v>20</v>
      </c>
      <c r="E4" s="7" t="n">
        <f aca="false">IF('F1-Strecken'!E4="","",RANK('F1-Strecken'!E4,'F1-Strecken'!$E$2:$E$21,0))</f>
        <v>5</v>
      </c>
      <c r="F4" s="7" t="n">
        <f aca="false">IF('F1-Strecken'!F4="","",RANK('F1-Strecken'!F4,'F1-Strecken'!$F$2:$F$21,0))</f>
        <v>17</v>
      </c>
      <c r="G4" s="7" t="n">
        <f aca="false">IF('F1-Strecken'!G4="","",RANK('F1-Strecken'!G4,'F1-Strecken'!$G$2:$G$21,1))</f>
        <v>1</v>
      </c>
      <c r="H4" s="7" t="n">
        <f aca="false">IF('F1-Strecken'!H4="","",RANK('F1-Strecken'!H4,'F1-Strecken'!$H$2:$H$21,0))</f>
        <v>4</v>
      </c>
      <c r="I4" s="7" t="n">
        <f aca="false">IF('F1-Strecken'!I4="","",RANK('F1-Strecken'!I4,'F1-Strecken'!$I$2:$I$21,1))</f>
        <v>20</v>
      </c>
      <c r="J4" s="7" t="n">
        <f aca="false">IF('F1-Strecken'!J4="","",RANK('F1-Strecken'!J4,'F1-Strecken'!$J$2:$J$21,1))</f>
        <v>1</v>
      </c>
      <c r="K4" s="7" t="n">
        <f aca="false">IF('F1-Strecken'!K4="","",RANK('F1-Strecken'!K4,'F1-Strecken'!$K$2:$K$21,0))</f>
        <v>5</v>
      </c>
      <c r="L4" s="7" t="n">
        <f aca="false">IF('F1-Strecken'!L4="","",RANK('F1-Strecken'!L4,'F1-Strecken'!$L$2:$L$21,0))</f>
        <v>1</v>
      </c>
      <c r="M4" s="7" t="n">
        <f aca="false">IF('F1-Strecken'!M4="","",RANK('F1-Strecken'!M4,'F1-Strecken'!$M$2:$M$21,0))</f>
        <v>5</v>
      </c>
      <c r="N4" s="7" t="n">
        <f aca="false">IF('F1-Strecken'!N4="","",RANK('F1-Strecken'!N4,'F1-Strecken'!$N$2:$N$21,0))</f>
        <v>15</v>
      </c>
      <c r="O4" s="7" t="n">
        <f aca="false">IF('F1-Strecken'!O4="","",RANK('F1-Strecken'!O4,'F1-Strecken'!$O$2:$O$21,0))</f>
        <v>7</v>
      </c>
      <c r="P4" s="7" t="n">
        <f aca="false">IF('F1-Strecken'!P4="","",RANK('F1-Strecken'!P4,'F1-Strecken'!$P$2:$P$21,0))</f>
        <v>3</v>
      </c>
    </row>
    <row r="5" customFormat="false" ht="15" hidden="false" customHeight="false" outlineLevel="0" collapsed="false">
      <c r="A5" s="6" t="str">
        <f aca="false">'F1-Strecken'!A5</f>
        <v>Monaco (Monaco)</v>
      </c>
      <c r="B5" s="7" t="n">
        <f aca="false">IF('F1-Strecken'!B5="","",RANK('F1-Strecken'!B5,'F1-Strecken'!$B$2:$B$21,0))</f>
        <v>20</v>
      </c>
      <c r="C5" s="7" t="n">
        <f aca="false">IF('F1-Strecken'!C5="","",RANK('F1-Strecken'!C5,'F1-Strecken'!$C$2:$C$21,0))</f>
        <v>4</v>
      </c>
      <c r="D5" s="7" t="n">
        <f aca="false">IF('F1-Strecken'!D5="","",RANK('F1-Strecken'!D5,'F1-Strecken'!$D$2:$D$21,0))</f>
        <v>1</v>
      </c>
      <c r="E5" s="7" t="n">
        <f aca="false">IF('F1-Strecken'!E5="","",RANK('F1-Strecken'!E5,'F1-Strecken'!$E$2:$E$21,0))</f>
        <v>20</v>
      </c>
      <c r="F5" s="7" t="n">
        <f aca="false">IF('F1-Strecken'!F5="","",RANK('F1-Strecken'!F5,'F1-Strecken'!$F$2:$F$21,0))</f>
        <v>1</v>
      </c>
      <c r="G5" s="7" t="n">
        <f aca="false">IF('F1-Strecken'!G5="","",RANK('F1-Strecken'!G5,'F1-Strecken'!$G$2:$G$21,1))</f>
        <v>1</v>
      </c>
      <c r="H5" s="7" t="n">
        <f aca="false">IF('F1-Strecken'!H5="","",RANK('F1-Strecken'!H5,'F1-Strecken'!$H$2:$H$21,0))</f>
        <v>2</v>
      </c>
      <c r="I5" s="7" t="n">
        <f aca="false">IF('F1-Strecken'!I5="","",RANK('F1-Strecken'!I5,'F1-Strecken'!$I$2:$I$21,1))</f>
        <v>4</v>
      </c>
      <c r="J5" s="7" t="n">
        <f aca="false">IF('F1-Strecken'!J5="","",RANK('F1-Strecken'!J5,'F1-Strecken'!$J$2:$J$21,1))</f>
        <v>3</v>
      </c>
      <c r="K5" s="7" t="n">
        <f aca="false">IF('F1-Strecken'!K5="","",RANK('F1-Strecken'!K5,'F1-Strecken'!$K$2:$K$21,0))</f>
        <v>13</v>
      </c>
      <c r="L5" s="7" t="n">
        <f aca="false">IF('F1-Strecken'!L5="","",RANK('F1-Strecken'!L5,'F1-Strecken'!$L$2:$L$21,0))</f>
        <v>4</v>
      </c>
      <c r="M5" s="7" t="n">
        <f aca="false">IF('F1-Strecken'!M5="","",RANK('F1-Strecken'!M5,'F1-Strecken'!$M$2:$M$21,0))</f>
        <v>16</v>
      </c>
      <c r="N5" s="7" t="n">
        <f aca="false">IF('F1-Strecken'!N5="","",RANK('F1-Strecken'!N5,'F1-Strecken'!$N$2:$N$21,0))</f>
        <v>20</v>
      </c>
      <c r="O5" s="7" t="n">
        <f aca="false">IF('F1-Strecken'!O5="","",RANK('F1-Strecken'!O5,'F1-Strecken'!$O$2:$O$21,0))</f>
        <v>19</v>
      </c>
      <c r="P5" s="7" t="n">
        <f aca="false">IF('F1-Strecken'!P5="","",RANK('F1-Strecken'!P5,'F1-Strecken'!$P$2:$P$21,0))</f>
        <v>8</v>
      </c>
    </row>
    <row r="6" customFormat="false" ht="15" hidden="false" customHeight="false" outlineLevel="0" collapsed="false">
      <c r="A6" s="6" t="str">
        <f aca="false">'F1-Strecken'!A6</f>
        <v>Suzuka (Japan)</v>
      </c>
      <c r="B6" s="7" t="n">
        <f aca="false">IF('F1-Strecken'!B6="","",RANK('F1-Strecken'!B6,'F1-Strecken'!$B$2:$B$21,0))</f>
        <v>6</v>
      </c>
      <c r="C6" s="7" t="n">
        <f aca="false">IF('F1-Strecken'!C6="","",RANK('F1-Strecken'!C6,'F1-Strecken'!$C$2:$C$21,0))</f>
        <v>7</v>
      </c>
      <c r="D6" s="7" t="n">
        <f aca="false">IF('F1-Strecken'!D6="","",RANK('F1-Strecken'!D6,'F1-Strecken'!$D$2:$D$21,0))</f>
        <v>14</v>
      </c>
      <c r="E6" s="7" t="n">
        <f aca="false">IF('F1-Strecken'!E6="","",RANK('F1-Strecken'!E6,'F1-Strecken'!$E$2:$E$21,0))</f>
        <v>6</v>
      </c>
      <c r="F6" s="7" t="n">
        <f aca="false">IF('F1-Strecken'!F6="","",RANK('F1-Strecken'!F6,'F1-Strecken'!$F$2:$F$21,0))</f>
        <v>11</v>
      </c>
      <c r="G6" s="7" t="n">
        <f aca="false">IF('F1-Strecken'!G6="","",RANK('F1-Strecken'!G6,'F1-Strecken'!$G$2:$G$21,1))</f>
        <v>11</v>
      </c>
      <c r="H6" s="7" t="n">
        <f aca="false">IF('F1-Strecken'!H6="","",RANK('F1-Strecken'!H6,'F1-Strecken'!$H$2:$H$21,0))</f>
        <v>9</v>
      </c>
      <c r="I6" s="7" t="n">
        <f aca="false">IF('F1-Strecken'!I6="","",RANK('F1-Strecken'!I6,'F1-Strecken'!$I$2:$I$21,1))</f>
        <v>14</v>
      </c>
      <c r="J6" s="7" t="n">
        <f aca="false">IF('F1-Strecken'!J6="","",RANK('F1-Strecken'!J6,'F1-Strecken'!$J$2:$J$21,1))</f>
        <v>8</v>
      </c>
      <c r="K6" s="7" t="n">
        <f aca="false">IF('F1-Strecken'!K6="","",RANK('F1-Strecken'!K6,'F1-Strecken'!$K$2:$K$21,0))</f>
        <v>11</v>
      </c>
      <c r="L6" s="7" t="n">
        <f aca="false">IF('F1-Strecken'!L6="","",RANK('F1-Strecken'!L6,'F1-Strecken'!$L$2:$L$21,0))</f>
        <v>6</v>
      </c>
      <c r="M6" s="7" t="n">
        <f aca="false">IF('F1-Strecken'!M6="","",RANK('F1-Strecken'!M6,'F1-Strecken'!$M$2:$M$21,0))</f>
        <v>15</v>
      </c>
      <c r="N6" s="7" t="n">
        <f aca="false">IF('F1-Strecken'!N6="","",RANK('F1-Strecken'!N6,'F1-Strecken'!$N$2:$N$21,0))</f>
        <v>4</v>
      </c>
      <c r="O6" s="7" t="n">
        <f aca="false">IF('F1-Strecken'!O6="","",RANK('F1-Strecken'!O6,'F1-Strecken'!$O$2:$O$21,0))</f>
        <v>19</v>
      </c>
      <c r="P6" s="7" t="n">
        <f aca="false">IF('F1-Strecken'!P6="","",RANK('F1-Strecken'!P6,'F1-Strecken'!$P$2:$P$21,0))</f>
        <v>12</v>
      </c>
    </row>
    <row r="7" customFormat="false" ht="15" hidden="false" customHeight="false" outlineLevel="0" collapsed="false">
      <c r="A7" s="6" t="str">
        <f aca="false">'F1-Strecken'!A7</f>
        <v>Interlagos (Brasilien)</v>
      </c>
      <c r="B7" s="7" t="n">
        <f aca="false">IF('F1-Strecken'!B7="","",RANK('F1-Strecken'!B7,'F1-Strecken'!$B$2:$B$21,0))</f>
        <v>17</v>
      </c>
      <c r="C7" s="7" t="n">
        <f aca="false">IF('F1-Strecken'!C7="","",RANK('F1-Strecken'!C7,'F1-Strecken'!$C$2:$C$21,0))</f>
        <v>12</v>
      </c>
      <c r="D7" s="7" t="n">
        <f aca="false">IF('F1-Strecken'!D7="","",RANK('F1-Strecken'!D7,'F1-Strecken'!$D$2:$D$21,0))</f>
        <v>3</v>
      </c>
      <c r="E7" s="7" t="n">
        <f aca="false">IF('F1-Strecken'!E7="","",RANK('F1-Strecken'!E7,'F1-Strecken'!$E$2:$E$21,0))</f>
        <v>17</v>
      </c>
      <c r="F7" s="7" t="n">
        <f aca="false">IF('F1-Strecken'!F7="","",RANK('F1-Strecken'!F7,'F1-Strecken'!$F$2:$F$21,0))</f>
        <v>6</v>
      </c>
      <c r="G7" s="7" t="n">
        <f aca="false">IF('F1-Strecken'!G7="","",RANK('F1-Strecken'!G7,'F1-Strecken'!$G$2:$G$21,1))</f>
        <v>8</v>
      </c>
      <c r="H7" s="7" t="n">
        <f aca="false">IF('F1-Strecken'!H7="","",RANK('F1-Strecken'!H7,'F1-Strecken'!$H$2:$H$21,0))</f>
        <v>6</v>
      </c>
      <c r="I7" s="7" t="n">
        <f aca="false">IF('F1-Strecken'!I7="","",RANK('F1-Strecken'!I7,'F1-Strecken'!$I$2:$I$21,1))</f>
        <v>2</v>
      </c>
      <c r="J7" s="7" t="n">
        <f aca="false">IF('F1-Strecken'!J7="","",RANK('F1-Strecken'!J7,'F1-Strecken'!$J$2:$J$21,1))</f>
        <v>4</v>
      </c>
      <c r="K7" s="7" t="n">
        <f aca="false">IF('F1-Strecken'!K7="","",RANK('F1-Strecken'!K7,'F1-Strecken'!$K$2:$K$21,0))</f>
        <v>2</v>
      </c>
      <c r="L7" s="7" t="n">
        <f aca="false">IF('F1-Strecken'!L7="","",RANK('F1-Strecken'!L7,'F1-Strecken'!$L$2:$L$21,0))</f>
        <v>3</v>
      </c>
      <c r="M7" s="7" t="n">
        <f aca="false">IF('F1-Strecken'!M7="","",RANK('F1-Strecken'!M7,'F1-Strecken'!$M$2:$M$21,0))</f>
        <v>13</v>
      </c>
      <c r="N7" s="7" t="n">
        <f aca="false">IF('F1-Strecken'!N7="","",RANK('F1-Strecken'!N7,'F1-Strecken'!$N$2:$N$21,0))</f>
        <v>10</v>
      </c>
      <c r="O7" s="7" t="n">
        <f aca="false">IF('F1-Strecken'!O7="","",RANK('F1-Strecken'!O7,'F1-Strecken'!$O$2:$O$21,0))</f>
        <v>7</v>
      </c>
      <c r="P7" s="7" t="n">
        <f aca="false">IF('F1-Strecken'!P7="","",RANK('F1-Strecken'!P7,'F1-Strecken'!$P$2:$P$21,0))</f>
        <v>19</v>
      </c>
    </row>
    <row r="8" customFormat="false" ht="15" hidden="false" customHeight="false" outlineLevel="0" collapsed="false">
      <c r="A8" s="6" t="str">
        <f aca="false">'F1-Strecken'!A8</f>
        <v>Montreal (Kanada)</v>
      </c>
      <c r="B8" s="7" t="n">
        <f aca="false">IF('F1-Strecken'!B8="","",RANK('F1-Strecken'!B8,'F1-Strecken'!$B$2:$B$21,0))</f>
        <v>15</v>
      </c>
      <c r="C8" s="7" t="n">
        <f aca="false">IF('F1-Strecken'!C8="","",RANK('F1-Strecken'!C8,'F1-Strecken'!$C$2:$C$21,0))</f>
        <v>14</v>
      </c>
      <c r="D8" s="7" t="n">
        <f aca="false">IF('F1-Strecken'!D8="","",RANK('F1-Strecken'!D8,'F1-Strecken'!$D$2:$D$21,0))</f>
        <v>6</v>
      </c>
      <c r="E8" s="7" t="n">
        <f aca="false">IF('F1-Strecken'!E8="","",RANK('F1-Strecken'!E8,'F1-Strecken'!$E$2:$E$21,0))</f>
        <v>19</v>
      </c>
      <c r="F8" s="7" t="n">
        <f aca="false">IF('F1-Strecken'!F8="","",RANK('F1-Strecken'!F8,'F1-Strecken'!$F$2:$F$21,0))</f>
        <v>9</v>
      </c>
      <c r="G8" s="7" t="n">
        <f aca="false">IF('F1-Strecken'!G8="","",RANK('F1-Strecken'!G8,'F1-Strecken'!$G$2:$G$21,1))</f>
        <v>9</v>
      </c>
      <c r="H8" s="7" t="n">
        <f aca="false">IF('F1-Strecken'!H8="","",RANK('F1-Strecken'!H8,'F1-Strecken'!$H$2:$H$21,0))</f>
        <v>5</v>
      </c>
      <c r="I8" s="7" t="n">
        <f aca="false">IF('F1-Strecken'!I8="","",RANK('F1-Strecken'!I8,'F1-Strecken'!$I$2:$I$21,1))</f>
        <v>5</v>
      </c>
      <c r="J8" s="7" t="n">
        <f aca="false">IF('F1-Strecken'!J8="","",RANK('F1-Strecken'!J8,'F1-Strecken'!$J$2:$J$21,1))</f>
        <v>10</v>
      </c>
      <c r="K8" s="7" t="n">
        <f aca="false">IF('F1-Strecken'!K8="","",RANK('F1-Strecken'!K8,'F1-Strecken'!$K$2:$K$21,0))</f>
        <v>12</v>
      </c>
      <c r="L8" s="7" t="n">
        <f aca="false">IF('F1-Strecken'!L8="","",RANK('F1-Strecken'!L8,'F1-Strecken'!$L$2:$L$21,0))</f>
        <v>15</v>
      </c>
      <c r="M8" s="7" t="n">
        <f aca="false">IF('F1-Strecken'!M8="","",RANK('F1-Strecken'!M8,'F1-Strecken'!$M$2:$M$21,0))</f>
        <v>6</v>
      </c>
      <c r="N8" s="7" t="n">
        <f aca="false">IF('F1-Strecken'!N8="","",RANK('F1-Strecken'!N8,'F1-Strecken'!$N$2:$N$21,0))</f>
        <v>8</v>
      </c>
      <c r="O8" s="7" t="n">
        <f aca="false">IF('F1-Strecken'!O8="","",RANK('F1-Strecken'!O8,'F1-Strecken'!$O$2:$O$21,0))</f>
        <v>7</v>
      </c>
      <c r="P8" s="7" t="n">
        <f aca="false">IF('F1-Strecken'!P8="","",RANK('F1-Strecken'!P8,'F1-Strecken'!$P$2:$P$21,0))</f>
        <v>7</v>
      </c>
    </row>
    <row r="9" customFormat="false" ht="15" hidden="false" customHeight="false" outlineLevel="0" collapsed="false">
      <c r="A9" s="6" t="str">
        <f aca="false">'F1-Strecken'!A9</f>
        <v>Melbourne / Albert Park (Australien)</v>
      </c>
      <c r="B9" s="7" t="n">
        <f aca="false">IF('F1-Strecken'!B9="","",RANK('F1-Strecken'!B9,'F1-Strecken'!$B$2:$B$21,0))</f>
        <v>11</v>
      </c>
      <c r="C9" s="7" t="n">
        <f aca="false">IF('F1-Strecken'!C9="","",RANK('F1-Strecken'!C9,'F1-Strecken'!$C$2:$C$21,0))</f>
        <v>14</v>
      </c>
      <c r="D9" s="7" t="n">
        <f aca="false">IF('F1-Strecken'!D9="","",RANK('F1-Strecken'!D9,'F1-Strecken'!$D$2:$D$21,0))</f>
        <v>10</v>
      </c>
      <c r="E9" s="7" t="n">
        <f aca="false">IF('F1-Strecken'!E9="","",RANK('F1-Strecken'!E9,'F1-Strecken'!$E$2:$E$21,0))</f>
        <v>16</v>
      </c>
      <c r="F9" s="7" t="n">
        <f aca="false">IF('F1-Strecken'!F9="","",RANK('F1-Strecken'!F9,'F1-Strecken'!$F$2:$F$21,0))</f>
        <v>18</v>
      </c>
      <c r="G9" s="7" t="n">
        <f aca="false">IF('F1-Strecken'!G9="","",RANK('F1-Strecken'!G9,'F1-Strecken'!$G$2:$G$21,1))</f>
        <v>13</v>
      </c>
      <c r="H9" s="7" t="n">
        <f aca="false">IF('F1-Strecken'!H9="","",RANK('F1-Strecken'!H9,'F1-Strecken'!$H$2:$H$21,0))</f>
        <v>12</v>
      </c>
      <c r="I9" s="7" t="n">
        <f aca="false">IF('F1-Strecken'!I9="","",RANK('F1-Strecken'!I9,'F1-Strecken'!$I$2:$I$21,1))</f>
        <v>9</v>
      </c>
      <c r="J9" s="7" t="n">
        <f aca="false">IF('F1-Strecken'!J9="","",RANK('F1-Strecken'!J9,'F1-Strecken'!$J$2:$J$21,1))</f>
        <v>13</v>
      </c>
      <c r="K9" s="7" t="n">
        <f aca="false">IF('F1-Strecken'!K9="","",RANK('F1-Strecken'!K9,'F1-Strecken'!$K$2:$K$21,0))</f>
        <v>13</v>
      </c>
      <c r="L9" s="7" t="n">
        <f aca="false">IF('F1-Strecken'!L9="","",RANK('F1-Strecken'!L9,'F1-Strecken'!$L$2:$L$21,0))</f>
        <v>20</v>
      </c>
      <c r="M9" s="7" t="n">
        <f aca="false">IF('F1-Strecken'!M9="","",RANK('F1-Strecken'!M9,'F1-Strecken'!$M$2:$M$21,0))</f>
        <v>2</v>
      </c>
      <c r="N9" s="7" t="n">
        <f aca="false">IF('F1-Strecken'!N9="","",RANK('F1-Strecken'!N9,'F1-Strecken'!$N$2:$N$21,0))</f>
        <v>14</v>
      </c>
      <c r="O9" s="7" t="n">
        <f aca="false">IF('F1-Strecken'!O9="","",RANK('F1-Strecken'!O9,'F1-Strecken'!$O$2:$O$21,0))</f>
        <v>1</v>
      </c>
      <c r="P9" s="7" t="n">
        <f aca="false">IF('F1-Strecken'!P9="","",RANK('F1-Strecken'!P9,'F1-Strecken'!$P$2:$P$21,0))</f>
        <v>20</v>
      </c>
    </row>
    <row r="10" customFormat="false" ht="15" hidden="false" customHeight="false" outlineLevel="0" collapsed="false">
      <c r="A10" s="6" t="str">
        <f aca="false">'F1-Strecken'!A10</f>
        <v>Barcelona-Catalunya (Spanien)</v>
      </c>
      <c r="B10" s="7" t="n">
        <f aca="false">IF('F1-Strecken'!B10="","",RANK('F1-Strecken'!B10,'F1-Strecken'!$B$2:$B$21,0))</f>
        <v>13</v>
      </c>
      <c r="C10" s="7" t="n">
        <f aca="false">IF('F1-Strecken'!C10="","",RANK('F1-Strecken'!C10,'F1-Strecken'!$C$2:$C$21,0))</f>
        <v>14</v>
      </c>
      <c r="D10" s="7" t="n">
        <f aca="false">IF('F1-Strecken'!D10="","",RANK('F1-Strecken'!D10,'F1-Strecken'!$D$2:$D$21,0))</f>
        <v>8</v>
      </c>
      <c r="E10" s="7" t="n">
        <f aca="false">IF('F1-Strecken'!E10="","",RANK('F1-Strecken'!E10,'F1-Strecken'!$E$2:$E$21,0))</f>
        <v>7</v>
      </c>
      <c r="F10" s="7" t="n">
        <f aca="false">IF('F1-Strecken'!F10="","",RANK('F1-Strecken'!F10,'F1-Strecken'!$F$2:$F$21,0))</f>
        <v>14</v>
      </c>
      <c r="G10" s="7" t="n">
        <f aca="false">IF('F1-Strecken'!G10="","",RANK('F1-Strecken'!G10,'F1-Strecken'!$G$2:$G$21,1))</f>
        <v>12</v>
      </c>
      <c r="H10" s="7" t="n">
        <f aca="false">IF('F1-Strecken'!H10="","",RANK('F1-Strecken'!H10,'F1-Strecken'!$H$2:$H$21,0))</f>
        <v>9</v>
      </c>
      <c r="I10" s="7" t="n">
        <f aca="false">IF('F1-Strecken'!I10="","",RANK('F1-Strecken'!I10,'F1-Strecken'!$I$2:$I$21,1))</f>
        <v>6</v>
      </c>
      <c r="J10" s="7" t="n">
        <f aca="false">IF('F1-Strecken'!J10="","",RANK('F1-Strecken'!J10,'F1-Strecken'!$J$2:$J$21,1))</f>
        <v>12</v>
      </c>
      <c r="K10" s="7" t="n">
        <f aca="false">IF('F1-Strecken'!K10="","",RANK('F1-Strecken'!K10,'F1-Strecken'!$K$2:$K$21,0))</f>
        <v>10</v>
      </c>
      <c r="L10" s="7" t="n">
        <f aca="false">IF('F1-Strecken'!L10="","",RANK('F1-Strecken'!L10,'F1-Strecken'!$L$2:$L$21,0))</f>
        <v>9</v>
      </c>
      <c r="M10" s="7" t="n">
        <f aca="false">IF('F1-Strecken'!M10="","",RANK('F1-Strecken'!M10,'F1-Strecken'!$M$2:$M$21,0))</f>
        <v>9</v>
      </c>
      <c r="N10" s="7" t="n">
        <f aca="false">IF('F1-Strecken'!N10="","",RANK('F1-Strecken'!N10,'F1-Strecken'!$N$2:$N$21,0))</f>
        <v>12</v>
      </c>
      <c r="O10" s="7" t="n">
        <f aca="false">IF('F1-Strecken'!O10="","",RANK('F1-Strecken'!O10,'F1-Strecken'!$O$2:$O$21,0))</f>
        <v>7</v>
      </c>
      <c r="P10" s="7" t="n">
        <f aca="false">IF('F1-Strecken'!P10="","",RANK('F1-Strecken'!P10,'F1-Strecken'!$P$2:$P$21,0))</f>
        <v>9</v>
      </c>
    </row>
    <row r="11" customFormat="false" ht="15" hidden="false" customHeight="false" outlineLevel="0" collapsed="false">
      <c r="A11" s="6" t="str">
        <f aca="false">'F1-Strecken'!A11</f>
        <v>Hungaroring (Ungarn)</v>
      </c>
      <c r="B11" s="7" t="n">
        <f aca="false">IF('F1-Strecken'!B11="","",RANK('F1-Strecken'!B11,'F1-Strecken'!$B$2:$B$21,0))</f>
        <v>14</v>
      </c>
      <c r="C11" s="7" t="n">
        <f aca="false">IF('F1-Strecken'!C11="","",RANK('F1-Strecken'!C11,'F1-Strecken'!$C$2:$C$21,0))</f>
        <v>14</v>
      </c>
      <c r="D11" s="7" t="n">
        <f aca="false">IF('F1-Strecken'!D11="","",RANK('F1-Strecken'!D11,'F1-Strecken'!$D$2:$D$21,0))</f>
        <v>6</v>
      </c>
      <c r="E11" s="7" t="n">
        <f aca="false">IF('F1-Strecken'!E11="","",RANK('F1-Strecken'!E11,'F1-Strecken'!$E$2:$E$21,0))</f>
        <v>9</v>
      </c>
      <c r="F11" s="7" t="n">
        <f aca="false">IF('F1-Strecken'!F11="","",RANK('F1-Strecken'!F11,'F1-Strecken'!$F$2:$F$21,0))</f>
        <v>10</v>
      </c>
      <c r="G11" s="7" t="n">
        <f aca="false">IF('F1-Strecken'!G11="","",RANK('F1-Strecken'!G11,'F1-Strecken'!$G$2:$G$21,1))</f>
        <v>10</v>
      </c>
      <c r="H11" s="7" t="n">
        <f aca="false">IF('F1-Strecken'!H11="","",RANK('F1-Strecken'!H11,'F1-Strecken'!$H$2:$H$21,0))</f>
        <v>7</v>
      </c>
      <c r="I11" s="7" t="n">
        <f aca="false">IF('F1-Strecken'!I11="","",RANK('F1-Strecken'!I11,'F1-Strecken'!$I$2:$I$21,1))</f>
        <v>7</v>
      </c>
      <c r="J11" s="7" t="n">
        <f aca="false">IF('F1-Strecken'!J11="","",RANK('F1-Strecken'!J11,'F1-Strecken'!$J$2:$J$21,1))</f>
        <v>11</v>
      </c>
      <c r="K11" s="7" t="n">
        <f aca="false">IF('F1-Strecken'!K11="","",RANK('F1-Strecken'!K11,'F1-Strecken'!$K$2:$K$21,0))</f>
        <v>6</v>
      </c>
      <c r="L11" s="7" t="n">
        <f aca="false">IF('F1-Strecken'!L11="","",RANK('F1-Strecken'!L11,'F1-Strecken'!$L$2:$L$21,0))</f>
        <v>7</v>
      </c>
      <c r="M11" s="7" t="n">
        <f aca="false">IF('F1-Strecken'!M11="","",RANK('F1-Strecken'!M11,'F1-Strecken'!$M$2:$M$21,0))</f>
        <v>9</v>
      </c>
      <c r="N11" s="7" t="n">
        <f aca="false">IF('F1-Strecken'!N11="","",RANK('F1-Strecken'!N11,'F1-Strecken'!$N$2:$N$21,0))</f>
        <v>13</v>
      </c>
      <c r="O11" s="7" t="n">
        <f aca="false">IF('F1-Strecken'!O11="","",RANK('F1-Strecken'!O11,'F1-Strecken'!$O$2:$O$21,0))</f>
        <v>7</v>
      </c>
      <c r="P11" s="7" t="n">
        <f aca="false">IF('F1-Strecken'!P11="","",RANK('F1-Strecken'!P11,'F1-Strecken'!$P$2:$P$21,0))</f>
        <v>4</v>
      </c>
    </row>
    <row r="12" customFormat="false" ht="15" hidden="false" customHeight="false" outlineLevel="0" collapsed="false">
      <c r="A12" s="6" t="str">
        <f aca="false">'F1-Strecken'!A12</f>
        <v>Zandvoort (Niederlande)</v>
      </c>
      <c r="B12" s="7" t="n">
        <f aca="false">IF('F1-Strecken'!B12="","",RANK('F1-Strecken'!B12,'F1-Strecken'!$B$2:$B$21,0))</f>
        <v>19</v>
      </c>
      <c r="C12" s="7" t="n">
        <f aca="false">IF('F1-Strecken'!C12="","",RANK('F1-Strecken'!C12,'F1-Strecken'!$C$2:$C$21,0))</f>
        <v>14</v>
      </c>
      <c r="D12" s="7" t="n">
        <f aca="false">IF('F1-Strecken'!D12="","",RANK('F1-Strecken'!D12,'F1-Strecken'!$D$2:$D$21,0))</f>
        <v>2</v>
      </c>
      <c r="E12" s="7" t="n">
        <f aca="false">IF('F1-Strecken'!E12="","",RANK('F1-Strecken'!E12,'F1-Strecken'!$E$2:$E$21,0))</f>
        <v>10</v>
      </c>
      <c r="F12" s="7" t="n">
        <f aca="false">IF('F1-Strecken'!F12="","",RANK('F1-Strecken'!F12,'F1-Strecken'!$F$2:$F$21,0))</f>
        <v>8</v>
      </c>
      <c r="G12" s="7" t="n">
        <f aca="false">IF('F1-Strecken'!G12="","",RANK('F1-Strecken'!G12,'F1-Strecken'!$G$2:$G$21,1))</f>
        <v>5</v>
      </c>
      <c r="H12" s="7" t="n">
        <f aca="false">IF('F1-Strecken'!H12="","",RANK('F1-Strecken'!H12,'F1-Strecken'!$H$2:$H$21,0))</f>
        <v>9</v>
      </c>
      <c r="I12" s="7" t="n">
        <f aca="false">IF('F1-Strecken'!I12="","",RANK('F1-Strecken'!I12,'F1-Strecken'!$I$2:$I$21,1))</f>
        <v>3</v>
      </c>
      <c r="J12" s="7" t="n">
        <f aca="false">IF('F1-Strecken'!J12="","",RANK('F1-Strecken'!J12,'F1-Strecken'!$J$2:$J$21,1))</f>
        <v>5</v>
      </c>
      <c r="K12" s="7" t="n">
        <f aca="false">IF('F1-Strecken'!K12="","",RANK('F1-Strecken'!K12,'F1-Strecken'!$K$2:$K$21,0))</f>
        <v>16</v>
      </c>
      <c r="L12" s="7" t="n">
        <f aca="false">IF('F1-Strecken'!L12="","",RANK('F1-Strecken'!L12,'F1-Strecken'!$L$2:$L$21,0))</f>
        <v>11</v>
      </c>
      <c r="M12" s="7" t="n">
        <f aca="false">IF('F1-Strecken'!M12="","",RANK('F1-Strecken'!M12,'F1-Strecken'!$M$2:$M$21,0))</f>
        <v>8</v>
      </c>
      <c r="N12" s="7" t="n">
        <f aca="false">IF('F1-Strecken'!N12="","",RANK('F1-Strecken'!N12,'F1-Strecken'!$N$2:$N$21,0))</f>
        <v>18</v>
      </c>
      <c r="O12" s="7" t="n">
        <f aca="false">IF('F1-Strecken'!O12="","",RANK('F1-Strecken'!O12,'F1-Strecken'!$O$2:$O$21,0))</f>
        <v>7</v>
      </c>
      <c r="P12" s="7" t="n">
        <f aca="false">IF('F1-Strecken'!P12="","",RANK('F1-Strecken'!P12,'F1-Strecken'!$P$2:$P$21,0))</f>
        <v>1</v>
      </c>
    </row>
    <row r="13" customFormat="false" ht="15" hidden="false" customHeight="false" outlineLevel="0" collapsed="false">
      <c r="A13" s="6" t="str">
        <f aca="false">'F1-Strecken'!A13</f>
        <v>Red Bull Ring (Österreich)</v>
      </c>
      <c r="B13" s="7" t="n">
        <f aca="false">IF('F1-Strecken'!B13="","",RANK('F1-Strecken'!B13,'F1-Strecken'!$B$2:$B$21,0))</f>
        <v>16</v>
      </c>
      <c r="C13" s="7" t="n">
        <f aca="false">IF('F1-Strecken'!C13="","",RANK('F1-Strecken'!C13,'F1-Strecken'!$C$2:$C$21,0))</f>
        <v>20</v>
      </c>
      <c r="D13" s="7" t="n">
        <f aca="false">IF('F1-Strecken'!D13="","",RANK('F1-Strecken'!D13,'F1-Strecken'!$D$2:$D$21,0))</f>
        <v>3</v>
      </c>
      <c r="E13" s="7" t="n">
        <f aca="false">IF('F1-Strecken'!E13="","",RANK('F1-Strecken'!E13,'F1-Strecken'!$E$2:$E$21,0))</f>
        <v>10</v>
      </c>
      <c r="F13" s="7" t="n">
        <f aca="false">IF('F1-Strecken'!F13="","",RANK('F1-Strecken'!F13,'F1-Strecken'!$F$2:$F$21,0))</f>
        <v>19</v>
      </c>
      <c r="G13" s="7" t="n">
        <f aca="false">IF('F1-Strecken'!G13="","",RANK('F1-Strecken'!G13,'F1-Strecken'!$G$2:$G$21,1))</f>
        <v>7</v>
      </c>
      <c r="H13" s="7" t="n">
        <f aca="false">IF('F1-Strecken'!H13="","",RANK('F1-Strecken'!H13,'F1-Strecken'!$H$2:$H$21,0))</f>
        <v>8</v>
      </c>
      <c r="I13" s="7" t="n">
        <f aca="false">IF('F1-Strecken'!I13="","",RANK('F1-Strecken'!I13,'F1-Strecken'!$I$2:$I$21,1))</f>
        <v>1</v>
      </c>
      <c r="J13" s="7" t="n">
        <f aca="false">IF('F1-Strecken'!J13="","",RANK('F1-Strecken'!J13,'F1-Strecken'!$J$2:$J$21,1))</f>
        <v>9</v>
      </c>
      <c r="K13" s="7" t="n">
        <f aca="false">IF('F1-Strecken'!K13="","",RANK('F1-Strecken'!K13,'F1-Strecken'!$K$2:$K$21,0))</f>
        <v>3</v>
      </c>
      <c r="L13" s="7" t="n">
        <f aca="false">IF('F1-Strecken'!L13="","",RANK('F1-Strecken'!L13,'F1-Strecken'!$L$2:$L$21,0))</f>
        <v>2</v>
      </c>
      <c r="M13" s="7" t="n">
        <f aca="false">IF('F1-Strecken'!M13="","",RANK('F1-Strecken'!M13,'F1-Strecken'!$M$2:$M$21,0))</f>
        <v>9</v>
      </c>
      <c r="N13" s="7" t="n">
        <f aca="false">IF('F1-Strecken'!N13="","",RANK('F1-Strecken'!N13,'F1-Strecken'!$N$2:$N$21,0))</f>
        <v>15</v>
      </c>
      <c r="O13" s="7" t="n">
        <f aca="false">IF('F1-Strecken'!O13="","",RANK('F1-Strecken'!O13,'F1-Strecken'!$O$2:$O$21,0))</f>
        <v>2</v>
      </c>
      <c r="P13" s="7" t="n">
        <f aca="false">IF('F1-Strecken'!P13="","",RANK('F1-Strecken'!P13,'F1-Strecken'!$P$2:$P$21,0))</f>
        <v>5</v>
      </c>
    </row>
    <row r="14" customFormat="false" ht="15" hidden="false" customHeight="false" outlineLevel="0" collapsed="false">
      <c r="A14" s="6" t="str">
        <f aca="false">'F1-Strecken'!A14</f>
        <v>Bahrain (Bahrain)</v>
      </c>
      <c r="B14" s="7" t="n">
        <f aca="false">IF('F1-Strecken'!B14="","",RANK('F1-Strecken'!B14,'F1-Strecken'!$B$2:$B$21,0))</f>
        <v>9</v>
      </c>
      <c r="C14" s="7" t="n">
        <f aca="false">IF('F1-Strecken'!C14="","",RANK('F1-Strecken'!C14,'F1-Strecken'!$C$2:$C$21,0))</f>
        <v>12</v>
      </c>
      <c r="D14" s="7" t="n">
        <f aca="false">IF('F1-Strecken'!D14="","",RANK('F1-Strecken'!D14,'F1-Strecken'!$D$2:$D$21,0))</f>
        <v>12</v>
      </c>
      <c r="E14" s="7" t="n">
        <f aca="false">IF('F1-Strecken'!E14="","",RANK('F1-Strecken'!E14,'F1-Strecken'!$E$2:$E$21,0))</f>
        <v>4</v>
      </c>
      <c r="F14" s="7" t="n">
        <f aca="false">IF('F1-Strecken'!F14="","",RANK('F1-Strecken'!F14,'F1-Strecken'!$F$2:$F$21,0))</f>
        <v>15</v>
      </c>
      <c r="G14" s="7" t="n">
        <f aca="false">IF('F1-Strecken'!G14="","",RANK('F1-Strecken'!G14,'F1-Strecken'!$G$2:$G$21,1))</f>
        <v>14</v>
      </c>
      <c r="H14" s="7" t="n">
        <f aca="false">IF('F1-Strecken'!H14="","",RANK('F1-Strecken'!H14,'F1-Strecken'!$H$2:$H$21,0))</f>
        <v>14</v>
      </c>
      <c r="I14" s="7" t="n">
        <f aca="false">IF('F1-Strecken'!I14="","",RANK('F1-Strecken'!I14,'F1-Strecken'!$I$2:$I$21,1))</f>
        <v>15</v>
      </c>
      <c r="J14" s="7" t="n">
        <f aca="false">IF('F1-Strecken'!J14="","",RANK('F1-Strecken'!J14,'F1-Strecken'!$J$2:$J$21,1))</f>
        <v>14</v>
      </c>
      <c r="K14" s="7" t="n">
        <f aca="false">IF('F1-Strecken'!K14="","",RANK('F1-Strecken'!K14,'F1-Strecken'!$K$2:$K$21,0))</f>
        <v>15</v>
      </c>
      <c r="L14" s="7" t="n">
        <f aca="false">IF('F1-Strecken'!L14="","",RANK('F1-Strecken'!L14,'F1-Strecken'!$L$2:$L$21,0))</f>
        <v>10</v>
      </c>
      <c r="M14" s="7" t="n">
        <f aca="false">IF('F1-Strecken'!M14="","",RANK('F1-Strecken'!M14,'F1-Strecken'!$M$2:$M$21,0))</f>
        <v>19</v>
      </c>
      <c r="N14" s="7" t="n">
        <f aca="false">IF('F1-Strecken'!N14="","",RANK('F1-Strecken'!N14,'F1-Strecken'!$N$2:$N$21,0))</f>
        <v>11</v>
      </c>
      <c r="O14" s="7" t="n">
        <f aca="false">IF('F1-Strecken'!O14="","",RANK('F1-Strecken'!O14,'F1-Strecken'!$O$2:$O$21,0))</f>
        <v>2</v>
      </c>
      <c r="P14" s="7" t="n">
        <f aca="false">IF('F1-Strecken'!P14="","",RANK('F1-Strecken'!P14,'F1-Strecken'!$P$2:$P$21,0))</f>
        <v>14</v>
      </c>
    </row>
    <row r="15" customFormat="false" ht="15" hidden="false" customHeight="false" outlineLevel="0" collapsed="false">
      <c r="A15" s="6" t="str">
        <f aca="false">'F1-Strecken'!A15</f>
        <v>Jeddah (Saudi-Arabien)</v>
      </c>
      <c r="B15" s="7" t="n">
        <f aca="false">IF('F1-Strecken'!B15="","",RANK('F1-Strecken'!B15,'F1-Strecken'!$B$2:$B$21,0))</f>
        <v>3</v>
      </c>
      <c r="C15" s="7" t="n">
        <f aca="false">IF('F1-Strecken'!C15="","",RANK('F1-Strecken'!C15,'F1-Strecken'!$C$2:$C$21,0))</f>
        <v>1</v>
      </c>
      <c r="D15" s="7" t="n">
        <f aca="false">IF('F1-Strecken'!D15="","",RANK('F1-Strecken'!D15,'F1-Strecken'!$D$2:$D$21,0))</f>
        <v>18</v>
      </c>
      <c r="E15" s="7" t="n">
        <f aca="false">IF('F1-Strecken'!E15="","",RANK('F1-Strecken'!E15,'F1-Strecken'!$E$2:$E$21,0))</f>
        <v>2</v>
      </c>
      <c r="F15" s="7" t="n">
        <f aca="false">IF('F1-Strecken'!F15="","",RANK('F1-Strecken'!F15,'F1-Strecken'!$F$2:$F$21,0))</f>
        <v>2</v>
      </c>
      <c r="G15" s="7" t="n">
        <f aca="false">IF('F1-Strecken'!G15="","",RANK('F1-Strecken'!G15,'F1-Strecken'!$G$2:$G$21,1))</f>
        <v>19</v>
      </c>
      <c r="H15" s="7" t="n">
        <f aca="false">IF('F1-Strecken'!H15="","",RANK('F1-Strecken'!H15,'F1-Strecken'!$H$2:$H$21,0))</f>
        <v>19</v>
      </c>
      <c r="I15" s="7" t="n">
        <f aca="false">IF('F1-Strecken'!I15="","",RANK('F1-Strecken'!I15,'F1-Strecken'!$I$2:$I$21,1))</f>
        <v>13</v>
      </c>
      <c r="J15" s="7" t="n">
        <f aca="false">IF('F1-Strecken'!J15="","",RANK('F1-Strecken'!J15,'F1-Strecken'!$J$2:$J$21,1))</f>
        <v>19</v>
      </c>
      <c r="K15" s="7" t="n">
        <f aca="false">IF('F1-Strecken'!K15="","",RANK('F1-Strecken'!K15,'F1-Strecken'!$K$2:$K$21,0))</f>
        <v>20</v>
      </c>
      <c r="L15" s="7" t="n">
        <f aca="false">IF('F1-Strecken'!L15="","",RANK('F1-Strecken'!L15,'F1-Strecken'!$L$2:$L$21,0))</f>
        <v>15</v>
      </c>
      <c r="M15" s="7" t="n">
        <f aca="false">IF('F1-Strecken'!M15="","",RANK('F1-Strecken'!M15,'F1-Strecken'!$M$2:$M$21,0))</f>
        <v>18</v>
      </c>
      <c r="N15" s="7" t="n">
        <f aca="false">IF('F1-Strecken'!N15="","",RANK('F1-Strecken'!N15,'F1-Strecken'!$N$2:$N$21,0))</f>
        <v>3</v>
      </c>
      <c r="O15" s="7" t="n">
        <f aca="false">IF('F1-Strecken'!O15="","",RANK('F1-Strecken'!O15,'F1-Strecken'!$O$2:$O$21,0))</f>
        <v>2</v>
      </c>
      <c r="P15" s="7" t="n">
        <f aca="false">IF('F1-Strecken'!P15="","",RANK('F1-Strecken'!P15,'F1-Strecken'!$P$2:$P$21,0))</f>
        <v>16</v>
      </c>
    </row>
    <row r="16" customFormat="false" ht="15" hidden="false" customHeight="false" outlineLevel="0" collapsed="false">
      <c r="A16" s="6" t="str">
        <f aca="false">'F1-Strecken'!A16</f>
        <v>Baku (Aserbaidschan)</v>
      </c>
      <c r="B16" s="7" t="n">
        <f aca="false">IF('F1-Strecken'!B16="","",RANK('F1-Strecken'!B16,'F1-Strecken'!$B$2:$B$21,0))</f>
        <v>4</v>
      </c>
      <c r="C16" s="7" t="n">
        <f aca="false">IF('F1-Strecken'!C16="","",RANK('F1-Strecken'!C16,'F1-Strecken'!$C$2:$C$21,0))</f>
        <v>2</v>
      </c>
      <c r="D16" s="7" t="n">
        <f aca="false">IF('F1-Strecken'!D16="","",RANK('F1-Strecken'!D16,'F1-Strecken'!$D$2:$D$21,0))</f>
        <v>17</v>
      </c>
      <c r="E16" s="7" t="n">
        <f aca="false">IF('F1-Strecken'!E16="","",RANK('F1-Strecken'!E16,'F1-Strecken'!$E$2:$E$21,0))</f>
        <v>15</v>
      </c>
      <c r="F16" s="7" t="n">
        <f aca="false">IF('F1-Strecken'!F16="","",RANK('F1-Strecken'!F16,'F1-Strecken'!$F$2:$F$21,0))</f>
        <v>7</v>
      </c>
      <c r="G16" s="7" t="n">
        <f aca="false">IF('F1-Strecken'!G16="","",RANK('F1-Strecken'!G16,'F1-Strecken'!$G$2:$G$21,1))</f>
        <v>18</v>
      </c>
      <c r="H16" s="7" t="n">
        <f aca="false">IF('F1-Strecken'!H16="","",RANK('F1-Strecken'!H16,'F1-Strecken'!$H$2:$H$21,0))</f>
        <v>18</v>
      </c>
      <c r="I16" s="7" t="n">
        <f aca="false">IF('F1-Strecken'!I16="","",RANK('F1-Strecken'!I16,'F1-Strecken'!$I$2:$I$21,1))</f>
        <v>19</v>
      </c>
      <c r="J16" s="7" t="n">
        <f aca="false">IF('F1-Strecken'!J16="","",RANK('F1-Strecken'!J16,'F1-Strecken'!$J$2:$J$21,1))</f>
        <v>18</v>
      </c>
      <c r="K16" s="7" t="n">
        <f aca="false">IF('F1-Strecken'!K16="","",RANK('F1-Strecken'!K16,'F1-Strecken'!$K$2:$K$21,0))</f>
        <v>16</v>
      </c>
      <c r="L16" s="7" t="n">
        <f aca="false">IF('F1-Strecken'!L16="","",RANK('F1-Strecken'!L16,'F1-Strecken'!$L$2:$L$21,0))</f>
        <v>8</v>
      </c>
      <c r="M16" s="7" t="n">
        <f aca="false">IF('F1-Strecken'!M16="","",RANK('F1-Strecken'!M16,'F1-Strecken'!$M$2:$M$21,0))</f>
        <v>20</v>
      </c>
      <c r="N16" s="7" t="n">
        <f aca="false">IF('F1-Strecken'!N16="","",RANK('F1-Strecken'!N16,'F1-Strecken'!$N$2:$N$21,0))</f>
        <v>1</v>
      </c>
      <c r="O16" s="7" t="n">
        <f aca="false">IF('F1-Strecken'!O16="","",RANK('F1-Strecken'!O16,'F1-Strecken'!$O$2:$O$21,0))</f>
        <v>7</v>
      </c>
      <c r="P16" s="7" t="n">
        <f aca="false">IF('F1-Strecken'!P16="","",RANK('F1-Strecken'!P16,'F1-Strecken'!$P$2:$P$21,0))</f>
        <v>10</v>
      </c>
    </row>
    <row r="17" customFormat="false" ht="15" hidden="false" customHeight="false" outlineLevel="0" collapsed="false">
      <c r="A17" s="6" t="str">
        <f aca="false">'F1-Strecken'!A17</f>
        <v>Singapur / Marina Bay (Singapur)</v>
      </c>
      <c r="B17" s="7" t="n">
        <f aca="false">IF('F1-Strecken'!B17="","",RANK('F1-Strecken'!B17,'F1-Strecken'!$B$2:$B$21,0))</f>
        <v>12</v>
      </c>
      <c r="C17" s="7" t="n">
        <f aca="false">IF('F1-Strecken'!C17="","",RANK('F1-Strecken'!C17,'F1-Strecken'!$C$2:$C$21,0))</f>
        <v>4</v>
      </c>
      <c r="D17" s="7" t="n">
        <f aca="false">IF('F1-Strecken'!D17="","",RANK('F1-Strecken'!D17,'F1-Strecken'!$D$2:$D$21,0))</f>
        <v>9</v>
      </c>
      <c r="E17" s="7" t="n">
        <f aca="false">IF('F1-Strecken'!E17="","",RANK('F1-Strecken'!E17,'F1-Strecken'!$E$2:$E$21,0))</f>
        <v>12</v>
      </c>
      <c r="F17" s="7" t="n">
        <f aca="false">IF('F1-Strecken'!F17="","",RANK('F1-Strecken'!F17,'F1-Strecken'!$F$2:$F$21,0))</f>
        <v>4</v>
      </c>
      <c r="G17" s="7" t="n">
        <f aca="false">IF('F1-Strecken'!G17="","",RANK('F1-Strecken'!G17,'F1-Strecken'!$G$2:$G$21,1))</f>
        <v>15</v>
      </c>
      <c r="H17" s="7" t="n">
        <f aca="false">IF('F1-Strecken'!H17="","",RANK('F1-Strecken'!H17,'F1-Strecken'!$H$2:$H$21,0))</f>
        <v>16</v>
      </c>
      <c r="I17" s="7" t="n">
        <f aca="false">IF('F1-Strecken'!I17="","",RANK('F1-Strecken'!I17,'F1-Strecken'!$I$2:$I$21,1))</f>
        <v>16</v>
      </c>
      <c r="J17" s="7" t="n">
        <f aca="false">IF('F1-Strecken'!J17="","",RANK('F1-Strecken'!J17,'F1-Strecken'!$J$2:$J$21,1))</f>
        <v>15</v>
      </c>
      <c r="K17" s="7" t="n">
        <f aca="false">IF('F1-Strecken'!K17="","",RANK('F1-Strecken'!K17,'F1-Strecken'!$K$2:$K$21,0))</f>
        <v>16</v>
      </c>
      <c r="L17" s="7" t="n">
        <f aca="false">IF('F1-Strecken'!L17="","",RANK('F1-Strecken'!L17,'F1-Strecken'!$L$2:$L$21,0))</f>
        <v>15</v>
      </c>
      <c r="M17" s="7" t="n">
        <f aca="false">IF('F1-Strecken'!M17="","",RANK('F1-Strecken'!M17,'F1-Strecken'!$M$2:$M$21,0))</f>
        <v>14</v>
      </c>
      <c r="N17" s="7" t="n">
        <f aca="false">IF('F1-Strecken'!N17="","",RANK('F1-Strecken'!N17,'F1-Strecken'!$N$2:$N$21,0))</f>
        <v>18</v>
      </c>
      <c r="O17" s="7" t="n">
        <f aca="false">IF('F1-Strecken'!O17="","",RANK('F1-Strecken'!O17,'F1-Strecken'!$O$2:$O$21,0))</f>
        <v>2</v>
      </c>
      <c r="P17" s="7" t="n">
        <f aca="false">IF('F1-Strecken'!P17="","",RANK('F1-Strecken'!P17,'F1-Strecken'!$P$2:$P$21,0))</f>
        <v>18</v>
      </c>
    </row>
    <row r="18" customFormat="false" ht="15" hidden="false" customHeight="false" outlineLevel="0" collapsed="false">
      <c r="A18" s="6" t="str">
        <f aca="false">'F1-Strecken'!A18</f>
        <v>Austin / COTA (USA)</v>
      </c>
      <c r="B18" s="7" t="n">
        <f aca="false">IF('F1-Strecken'!B18="","",RANK('F1-Strecken'!B18,'F1-Strecken'!$B$2:$B$21,0))</f>
        <v>8</v>
      </c>
      <c r="C18" s="7" t="n">
        <f aca="false">IF('F1-Strecken'!C18="","",RANK('F1-Strecken'!C18,'F1-Strecken'!$C$2:$C$21,0))</f>
        <v>2</v>
      </c>
      <c r="D18" s="7" t="n">
        <f aca="false">IF('F1-Strecken'!D18="","",RANK('F1-Strecken'!D18,'F1-Strecken'!$D$2:$D$21,0))</f>
        <v>13</v>
      </c>
      <c r="E18" s="7" t="n">
        <f aca="false">IF('F1-Strecken'!E18="","",RANK('F1-Strecken'!E18,'F1-Strecken'!$E$2:$E$21,0))</f>
        <v>2</v>
      </c>
      <c r="F18" s="7" t="n">
        <f aca="false">IF('F1-Strecken'!F18="","",RANK('F1-Strecken'!F18,'F1-Strecken'!$F$2:$F$21,0))</f>
        <v>5</v>
      </c>
      <c r="G18" s="7" t="n">
        <f aca="false">IF('F1-Strecken'!G18="","",RANK('F1-Strecken'!G18,'F1-Strecken'!$G$2:$G$21,1))</f>
        <v>17</v>
      </c>
      <c r="H18" s="7" t="n">
        <f aca="false">IF('F1-Strecken'!H18="","",RANK('F1-Strecken'!H18,'F1-Strecken'!$H$2:$H$21,0))</f>
        <v>17</v>
      </c>
      <c r="I18" s="7" t="n">
        <f aca="false">IF('F1-Strecken'!I18="","",RANK('F1-Strecken'!I18,'F1-Strecken'!$I$2:$I$21,1))</f>
        <v>18</v>
      </c>
      <c r="J18" s="7" t="n">
        <f aca="false">IF('F1-Strecken'!J18="","",RANK('F1-Strecken'!J18,'F1-Strecken'!$J$2:$J$21,1))</f>
        <v>17</v>
      </c>
      <c r="K18" s="7" t="n">
        <f aca="false">IF('F1-Strecken'!K18="","",RANK('F1-Strecken'!K18,'F1-Strecken'!$K$2:$K$21,0))</f>
        <v>7</v>
      </c>
      <c r="L18" s="7" t="n">
        <f aca="false">IF('F1-Strecken'!L18="","",RANK('F1-Strecken'!L18,'F1-Strecken'!$L$2:$L$21,0))</f>
        <v>5</v>
      </c>
      <c r="M18" s="7" t="n">
        <f aca="false">IF('F1-Strecken'!M18="","",RANK('F1-Strecken'!M18,'F1-Strecken'!$M$2:$M$21,0))</f>
        <v>3</v>
      </c>
      <c r="N18" s="7" t="n">
        <f aca="false">IF('F1-Strecken'!N18="","",RANK('F1-Strecken'!N18,'F1-Strecken'!$N$2:$N$21,0))</f>
        <v>4</v>
      </c>
      <c r="O18" s="7" t="n">
        <f aca="false">IF('F1-Strecken'!O18="","",RANK('F1-Strecken'!O18,'F1-Strecken'!$O$2:$O$21,0))</f>
        <v>7</v>
      </c>
      <c r="P18" s="7" t="n">
        <f aca="false">IF('F1-Strecken'!P18="","",RANK('F1-Strecken'!P18,'F1-Strecken'!$P$2:$P$21,0))</f>
        <v>13</v>
      </c>
    </row>
    <row r="19" customFormat="false" ht="15" hidden="false" customHeight="false" outlineLevel="0" collapsed="false">
      <c r="A19" s="6" t="str">
        <f aca="false">'F1-Strecken'!A19</f>
        <v>Mexiko-Stadt (Mexiko)</v>
      </c>
      <c r="B19" s="7" t="n">
        <f aca="false">IF('F1-Strecken'!B19="","",RANK('F1-Strecken'!B19,'F1-Strecken'!$B$2:$B$21,0))</f>
        <v>18</v>
      </c>
      <c r="C19" s="7" t="n">
        <f aca="false">IF('F1-Strecken'!C19="","",RANK('F1-Strecken'!C19,'F1-Strecken'!$C$2:$C$21,0))</f>
        <v>9</v>
      </c>
      <c r="D19" s="7" t="n">
        <f aca="false">IF('F1-Strecken'!D19="","",RANK('F1-Strecken'!D19,'F1-Strecken'!$D$2:$D$21,0))</f>
        <v>3</v>
      </c>
      <c r="E19" s="7" t="n">
        <f aca="false">IF('F1-Strecken'!E19="","",RANK('F1-Strecken'!E19,'F1-Strecken'!$E$2:$E$21,0))</f>
        <v>18</v>
      </c>
      <c r="F19" s="7" t="n">
        <f aca="false">IF('F1-Strecken'!F19="","",RANK('F1-Strecken'!F19,'F1-Strecken'!$F$2:$F$21,0))</f>
        <v>3</v>
      </c>
      <c r="G19" s="7" t="n">
        <f aca="false">IF('F1-Strecken'!G19="","",RANK('F1-Strecken'!G19,'F1-Strecken'!$G$2:$G$21,1))</f>
        <v>6</v>
      </c>
      <c r="H19" s="7" t="n">
        <f aca="false">IF('F1-Strecken'!H19="","",RANK('F1-Strecken'!H19,'F1-Strecken'!$H$2:$H$21,0))</f>
        <v>13</v>
      </c>
      <c r="I19" s="7" t="n">
        <f aca="false">IF('F1-Strecken'!I19="","",RANK('F1-Strecken'!I19,'F1-Strecken'!$I$2:$I$21,1))</f>
        <v>8</v>
      </c>
      <c r="J19" s="7" t="n">
        <f aca="false">IF('F1-Strecken'!J19="","",RANK('F1-Strecken'!J19,'F1-Strecken'!$J$2:$J$21,1))</f>
        <v>7</v>
      </c>
      <c r="K19" s="7" t="n">
        <f aca="false">IF('F1-Strecken'!K19="","",RANK('F1-Strecken'!K19,'F1-Strecken'!$K$2:$K$21,0))</f>
        <v>1</v>
      </c>
      <c r="L19" s="7" t="n">
        <f aca="false">IF('F1-Strecken'!L19="","",RANK('F1-Strecken'!L19,'F1-Strecken'!$L$2:$L$21,0))</f>
        <v>13</v>
      </c>
      <c r="M19" s="7" t="n">
        <f aca="false">IF('F1-Strecken'!M19="","",RANK('F1-Strecken'!M19,'F1-Strecken'!$M$2:$M$21,0))</f>
        <v>4</v>
      </c>
      <c r="N19" s="7" t="n">
        <f aca="false">IF('F1-Strecken'!N19="","",RANK('F1-Strecken'!N19,'F1-Strecken'!$N$2:$N$21,0))</f>
        <v>4</v>
      </c>
      <c r="O19" s="7" t="n">
        <f aca="false">IF('F1-Strecken'!O19="","",RANK('F1-Strecken'!O19,'F1-Strecken'!$O$2:$O$21,0))</f>
        <v>2</v>
      </c>
      <c r="P19" s="7" t="n">
        <f aca="false">IF('F1-Strecken'!P19="","",RANK('F1-Strecken'!P19,'F1-Strecken'!$P$2:$P$21,0))</f>
        <v>17</v>
      </c>
    </row>
    <row r="20" customFormat="false" ht="15" hidden="false" customHeight="false" outlineLevel="0" collapsed="false">
      <c r="A20" s="6" t="str">
        <f aca="false">'F1-Strecken'!A20</f>
        <v>Las Vegas (USA)</v>
      </c>
      <c r="B20" s="7" t="n">
        <f aca="false">IF('F1-Strecken'!B20="","",RANK('F1-Strecken'!B20,'F1-Strecken'!$B$2:$B$21,0))</f>
        <v>2</v>
      </c>
      <c r="C20" s="7" t="n">
        <f aca="false">IF('F1-Strecken'!C20="","",RANK('F1-Strecken'!C20,'F1-Strecken'!$C$2:$C$21,0))</f>
        <v>9</v>
      </c>
      <c r="D20" s="7" t="n">
        <f aca="false">IF('F1-Strecken'!D20="","",RANK('F1-Strecken'!D20,'F1-Strecken'!$D$2:$D$21,0))</f>
        <v>18</v>
      </c>
      <c r="E20" s="7" t="n">
        <f aca="false">IF('F1-Strecken'!E20="","",RANK('F1-Strecken'!E20,'F1-Strecken'!$E$2:$E$21,0))</f>
        <v>1</v>
      </c>
      <c r="F20" s="7" t="n">
        <f aca="false">IF('F1-Strecken'!F20="","",RANK('F1-Strecken'!F20,'F1-Strecken'!$F$2:$F$21,0))</f>
        <v>16</v>
      </c>
      <c r="G20" s="7" t="n">
        <f aca="false">IF('F1-Strecken'!G20="","",RANK('F1-Strecken'!G20,'F1-Strecken'!$G$2:$G$21,1))</f>
        <v>20</v>
      </c>
      <c r="H20" s="7" t="n">
        <f aca="false">IF('F1-Strecken'!H20="","",RANK('F1-Strecken'!H20,'F1-Strecken'!$H$2:$H$21,0))</f>
        <v>20</v>
      </c>
      <c r="I20" s="7" t="n">
        <f aca="false">IF('F1-Strecken'!I20="","",RANK('F1-Strecken'!I20,'F1-Strecken'!$I$2:$I$21,1))</f>
        <v>17</v>
      </c>
      <c r="J20" s="7" t="n">
        <f aca="false">IF('F1-Strecken'!J20="","",RANK('F1-Strecken'!J20,'F1-Strecken'!$J$2:$J$21,1))</f>
        <v>20</v>
      </c>
      <c r="K20" s="7" t="n">
        <f aca="false">IF('F1-Strecken'!K20="","",RANK('F1-Strecken'!K20,'F1-Strecken'!$K$2:$K$21,0))</f>
        <v>4</v>
      </c>
      <c r="L20" s="7" t="n">
        <f aca="false">IF('F1-Strecken'!L20="","",RANK('F1-Strecken'!L20,'F1-Strecken'!$L$2:$L$21,0))</f>
        <v>15</v>
      </c>
      <c r="M20" s="7" t="n">
        <f aca="false">IF('F1-Strecken'!M20="","",RANK('F1-Strecken'!M20,'F1-Strecken'!$M$2:$M$21,0))</f>
        <v>9</v>
      </c>
      <c r="N20" s="7" t="n">
        <f aca="false">IF('F1-Strecken'!N20="","",RANK('F1-Strecken'!N20,'F1-Strecken'!$N$2:$N$21,0))</f>
        <v>2</v>
      </c>
      <c r="O20" s="7" t="n">
        <f aca="false">IF('F1-Strecken'!O20="","",RANK('F1-Strecken'!O20,'F1-Strecken'!$O$2:$O$21,0))</f>
        <v>7</v>
      </c>
      <c r="P20" s="7" t="n">
        <f aca="false">IF('F1-Strecken'!P20="","",RANK('F1-Strecken'!P20,'F1-Strecken'!$P$2:$P$21,0))</f>
        <v>11</v>
      </c>
    </row>
    <row r="21" customFormat="false" ht="15" hidden="false" customHeight="false" outlineLevel="0" collapsed="false">
      <c r="A21" s="6" t="str">
        <f aca="false">'F1-Strecken'!A21</f>
        <v>Abu Dhabi / Yas Marina (VAE)</v>
      </c>
      <c r="B21" s="7" t="n">
        <f aca="false">IF('F1-Strecken'!B21="","",RANK('F1-Strecken'!B21,'F1-Strecken'!$B$2:$B$21,0))</f>
        <v>10</v>
      </c>
      <c r="C21" s="7" t="n">
        <f aca="false">IF('F1-Strecken'!C21="","",RANK('F1-Strecken'!C21,'F1-Strecken'!$C$2:$C$21,0))</f>
        <v>11</v>
      </c>
      <c r="D21" s="7" t="n">
        <f aca="false">IF('F1-Strecken'!D21="","",RANK('F1-Strecken'!D21,'F1-Strecken'!$D$2:$D$21,0))</f>
        <v>10</v>
      </c>
      <c r="E21" s="7" t="n">
        <f aca="false">IF('F1-Strecken'!E21="","",RANK('F1-Strecken'!E21,'F1-Strecken'!$E$2:$E$21,0))</f>
        <v>12</v>
      </c>
      <c r="F21" s="7" t="n">
        <f aca="false">IF('F1-Strecken'!F21="","",RANK('F1-Strecken'!F21,'F1-Strecken'!$F$2:$F$21,0))</f>
        <v>13</v>
      </c>
      <c r="G21" s="7" t="n">
        <f aca="false">IF('F1-Strecken'!G21="","",RANK('F1-Strecken'!G21,'F1-Strecken'!$G$2:$G$21,1))</f>
        <v>16</v>
      </c>
      <c r="H21" s="7" t="n">
        <f aca="false">IF('F1-Strecken'!H21="","",RANK('F1-Strecken'!H21,'F1-Strecken'!$H$2:$H$21,0))</f>
        <v>15</v>
      </c>
      <c r="I21" s="7" t="n">
        <f aca="false">IF('F1-Strecken'!I21="","",RANK('F1-Strecken'!I21,'F1-Strecken'!$I$2:$I$21,1))</f>
        <v>11</v>
      </c>
      <c r="J21" s="7" t="n">
        <f aca="false">IF('F1-Strecken'!J21="","",RANK('F1-Strecken'!J21,'F1-Strecken'!$J$2:$J$21,1))</f>
        <v>16</v>
      </c>
      <c r="K21" s="7" t="n">
        <f aca="false">IF('F1-Strecken'!K21="","",RANK('F1-Strecken'!K21,'F1-Strecken'!$K$2:$K$21,0))</f>
        <v>16</v>
      </c>
      <c r="L21" s="7" t="n">
        <f aca="false">IF('F1-Strecken'!L21="","",RANK('F1-Strecken'!L21,'F1-Strecken'!$L$2:$L$21,0))</f>
        <v>15</v>
      </c>
      <c r="M21" s="7" t="n">
        <f aca="false">IF('F1-Strecken'!M21="","",RANK('F1-Strecken'!M21,'F1-Strecken'!$M$2:$M$21,0))</f>
        <v>17</v>
      </c>
      <c r="N21" s="7" t="n">
        <f aca="false">IF('F1-Strecken'!N21="","",RANK('F1-Strecken'!N21,'F1-Strecken'!$N$2:$N$21,0))</f>
        <v>4</v>
      </c>
      <c r="O21" s="7" t="n">
        <f aca="false">IF('F1-Strecken'!O21="","",RANK('F1-Strecken'!O21,'F1-Strecken'!$O$2:$O$21,0))</f>
        <v>7</v>
      </c>
      <c r="P21" s="7" t="n">
        <f aca="false">IF('F1-Strecken'!P21="","",RANK('F1-Strecken'!P21,'F1-Strecken'!$P$2:$P$21,0))</f>
        <v>15</v>
      </c>
    </row>
    <row r="23" customFormat="false" ht="15" hidden="false" customHeight="false" outlineLevel="0" collapsed="false">
      <c r="A23" s="8" t="s">
        <v>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4" min="3" style="0" width="12"/>
    <col collapsed="false" customWidth="true" hidden="false" outlineLevel="0" max="5" min="5" style="0" width="14"/>
    <col collapsed="false" customWidth="true" hidden="false" outlineLevel="0" max="6" min="6" style="0" width="80"/>
  </cols>
  <sheetData>
    <row r="1" customFormat="false" ht="15" hidden="false" customHeight="false" outlineLevel="0" collapsed="false">
      <c r="A1" s="9" t="s">
        <v>73</v>
      </c>
      <c r="B1" s="9" t="s">
        <v>74</v>
      </c>
      <c r="C1" s="9" t="s">
        <v>75</v>
      </c>
      <c r="D1" s="9" t="s">
        <v>76</v>
      </c>
      <c r="E1" s="9" t="s">
        <v>77</v>
      </c>
      <c r="F1" s="9" t="s">
        <v>78</v>
      </c>
    </row>
    <row r="2" customFormat="false" ht="15" hidden="false" customHeight="false" outlineLevel="0" collapsed="false">
      <c r="A2" s="10" t="n">
        <v>1</v>
      </c>
      <c r="B2" s="10" t="s">
        <v>57</v>
      </c>
      <c r="C2" s="10" t="s">
        <v>79</v>
      </c>
      <c r="D2" s="10" t="s">
        <v>80</v>
      </c>
      <c r="E2" s="10" t="s">
        <v>81</v>
      </c>
      <c r="F2" s="10" t="s">
        <v>82</v>
      </c>
    </row>
    <row r="3" customFormat="false" ht="15" hidden="false" customHeight="false" outlineLevel="0" collapsed="false">
      <c r="A3" s="10" t="n">
        <v>2</v>
      </c>
      <c r="B3" s="10" t="s">
        <v>58</v>
      </c>
      <c r="C3" s="10" t="s">
        <v>83</v>
      </c>
      <c r="D3" s="10" t="s">
        <v>84</v>
      </c>
      <c r="E3" s="10" t="s">
        <v>81</v>
      </c>
      <c r="F3" s="10" t="s">
        <v>85</v>
      </c>
    </row>
    <row r="4" customFormat="false" ht="15" hidden="false" customHeight="false" outlineLevel="0" collapsed="false">
      <c r="A4" s="10" t="n">
        <v>3</v>
      </c>
      <c r="B4" s="10" t="s">
        <v>59</v>
      </c>
      <c r="C4" s="10" t="s">
        <v>83</v>
      </c>
      <c r="D4" s="10" t="s">
        <v>84</v>
      </c>
      <c r="E4" s="10" t="s">
        <v>81</v>
      </c>
      <c r="F4" s="10" t="s">
        <v>86</v>
      </c>
    </row>
    <row r="5" customFormat="false" ht="15" hidden="false" customHeight="false" outlineLevel="0" collapsed="false">
      <c r="A5" s="10" t="n">
        <v>4</v>
      </c>
      <c r="B5" s="10" t="s">
        <v>60</v>
      </c>
      <c r="C5" s="10" t="s">
        <v>79</v>
      </c>
      <c r="D5" s="10" t="s">
        <v>80</v>
      </c>
      <c r="E5" s="10" t="s">
        <v>81</v>
      </c>
      <c r="F5" s="10" t="s">
        <v>87</v>
      </c>
    </row>
    <row r="6" customFormat="false" ht="15" hidden="false" customHeight="false" outlineLevel="0" collapsed="false">
      <c r="A6" s="10" t="n">
        <v>5</v>
      </c>
      <c r="B6" s="10" t="s">
        <v>61</v>
      </c>
      <c r="C6" s="10" t="s">
        <v>88</v>
      </c>
      <c r="D6" s="10" t="s">
        <v>84</v>
      </c>
      <c r="E6" s="10" t="s">
        <v>81</v>
      </c>
      <c r="F6" s="10" t="s">
        <v>89</v>
      </c>
    </row>
    <row r="7" customFormat="false" ht="15" hidden="false" customHeight="false" outlineLevel="0" collapsed="false">
      <c r="A7" s="10" t="n">
        <v>6</v>
      </c>
      <c r="B7" s="10" t="s">
        <v>62</v>
      </c>
      <c r="C7" s="10" t="s">
        <v>90</v>
      </c>
      <c r="D7" s="10" t="s">
        <v>91</v>
      </c>
      <c r="E7" s="10" t="s">
        <v>81</v>
      </c>
      <c r="F7" s="10" t="s">
        <v>92</v>
      </c>
    </row>
    <row r="8" customFormat="false" ht="15" hidden="false" customHeight="false" outlineLevel="0" collapsed="false">
      <c r="A8" s="10" t="n">
        <v>7</v>
      </c>
      <c r="B8" s="10" t="s">
        <v>63</v>
      </c>
      <c r="C8" s="10" t="s">
        <v>83</v>
      </c>
      <c r="D8" s="10" t="s">
        <v>84</v>
      </c>
      <c r="E8" s="10" t="s">
        <v>93</v>
      </c>
      <c r="F8" s="10" t="s">
        <v>94</v>
      </c>
    </row>
    <row r="9" customFormat="false" ht="15" hidden="false" customHeight="false" outlineLevel="0" collapsed="false">
      <c r="A9" s="10" t="n">
        <v>8</v>
      </c>
      <c r="B9" s="10" t="s">
        <v>64</v>
      </c>
      <c r="C9" s="10" t="s">
        <v>95</v>
      </c>
      <c r="D9" s="10" t="s">
        <v>96</v>
      </c>
      <c r="E9" s="10" t="s">
        <v>81</v>
      </c>
      <c r="F9" s="10" t="s">
        <v>97</v>
      </c>
    </row>
    <row r="10" customFormat="false" ht="15" hidden="false" customHeight="false" outlineLevel="0" collapsed="false">
      <c r="A10" s="10" t="n">
        <v>9</v>
      </c>
      <c r="B10" s="10" t="s">
        <v>65</v>
      </c>
      <c r="C10" s="10" t="s">
        <v>90</v>
      </c>
      <c r="D10" s="10" t="s">
        <v>98</v>
      </c>
      <c r="E10" s="10" t="s">
        <v>81</v>
      </c>
      <c r="F10" s="10" t="s">
        <v>99</v>
      </c>
    </row>
    <row r="11" customFormat="false" ht="15" hidden="false" customHeight="false" outlineLevel="0" collapsed="false">
      <c r="A11" s="10" t="n">
        <v>10</v>
      </c>
      <c r="B11" s="10" t="s">
        <v>66</v>
      </c>
      <c r="C11" s="10" t="s">
        <v>100</v>
      </c>
      <c r="D11" s="10" t="s">
        <v>101</v>
      </c>
      <c r="E11" s="10" t="s">
        <v>93</v>
      </c>
      <c r="F11" s="10" t="s">
        <v>102</v>
      </c>
    </row>
    <row r="12" customFormat="false" ht="15" hidden="false" customHeight="false" outlineLevel="0" collapsed="false">
      <c r="A12" s="10" t="n">
        <v>11</v>
      </c>
      <c r="B12" s="10" t="s">
        <v>67</v>
      </c>
      <c r="C12" s="10" t="s">
        <v>100</v>
      </c>
      <c r="D12" s="10" t="s">
        <v>103</v>
      </c>
      <c r="E12" s="10" t="s">
        <v>104</v>
      </c>
      <c r="F12" s="10" t="s">
        <v>105</v>
      </c>
    </row>
    <row r="13" customFormat="false" ht="15" hidden="false" customHeight="false" outlineLevel="0" collapsed="false">
      <c r="A13" s="10" t="n">
        <v>12</v>
      </c>
      <c r="B13" s="10" t="s">
        <v>68</v>
      </c>
      <c r="C13" s="10" t="s">
        <v>106</v>
      </c>
      <c r="D13" s="10" t="s">
        <v>84</v>
      </c>
      <c r="E13" s="10" t="s">
        <v>104</v>
      </c>
      <c r="F13" s="10" t="s">
        <v>107</v>
      </c>
    </row>
    <row r="14" customFormat="false" ht="15" hidden="false" customHeight="false" outlineLevel="0" collapsed="false">
      <c r="A14" s="10" t="n">
        <v>13</v>
      </c>
      <c r="B14" s="10" t="s">
        <v>69</v>
      </c>
      <c r="C14" s="10" t="s">
        <v>100</v>
      </c>
      <c r="D14" s="10" t="s">
        <v>80</v>
      </c>
      <c r="E14" s="10" t="s">
        <v>93</v>
      </c>
      <c r="F14" s="10" t="s">
        <v>108</v>
      </c>
    </row>
    <row r="15" customFormat="false" ht="15" hidden="false" customHeight="false" outlineLevel="0" collapsed="false">
      <c r="A15" s="10" t="n">
        <v>14</v>
      </c>
      <c r="B15" s="10" t="s">
        <v>70</v>
      </c>
      <c r="C15" s="10" t="s">
        <v>83</v>
      </c>
      <c r="D15" s="10" t="s">
        <v>84</v>
      </c>
      <c r="E15" s="10" t="s">
        <v>81</v>
      </c>
      <c r="F15" s="10" t="s">
        <v>109</v>
      </c>
    </row>
    <row r="16" customFormat="false" ht="15" hidden="false" customHeight="false" outlineLevel="0" collapsed="false">
      <c r="A16" s="10" t="n">
        <v>15</v>
      </c>
      <c r="B16" s="10" t="s">
        <v>71</v>
      </c>
      <c r="C16" s="10" t="s">
        <v>110</v>
      </c>
      <c r="D16" s="10" t="s">
        <v>111</v>
      </c>
      <c r="E16" s="10" t="s">
        <v>81</v>
      </c>
      <c r="F16" s="10" t="s">
        <v>112</v>
      </c>
    </row>
    <row r="18" customFormat="false" ht="15" hidden="false" customHeight="false" outlineLevel="0" collapsed="false">
      <c r="A18" s="11" t="s">
        <v>113</v>
      </c>
      <c r="B18" s="11"/>
      <c r="C18" s="11"/>
      <c r="D18" s="11"/>
      <c r="E18" s="11"/>
      <c r="F18" s="11"/>
    </row>
    <row r="19" customFormat="false" ht="15" hidden="false" customHeight="false" outlineLevel="0" collapsed="false">
      <c r="A19" s="12" t="s">
        <v>114</v>
      </c>
      <c r="B19" s="12"/>
      <c r="C19" s="12"/>
      <c r="D19" s="12"/>
      <c r="E19" s="12"/>
      <c r="F19" s="12"/>
    </row>
    <row r="20" customFormat="false" ht="15" hidden="false" customHeight="false" outlineLevel="0" collapsed="false">
      <c r="A20" s="12" t="s">
        <v>115</v>
      </c>
      <c r="B20" s="12"/>
      <c r="C20" s="12"/>
      <c r="D20" s="12"/>
      <c r="E20" s="12"/>
      <c r="F20" s="12"/>
    </row>
    <row r="21" customFormat="false" ht="15" hidden="false" customHeight="false" outlineLevel="0" collapsed="false">
      <c r="A21" s="12" t="s">
        <v>116</v>
      </c>
      <c r="B21" s="12"/>
      <c r="C21" s="12"/>
      <c r="D21" s="12"/>
      <c r="E21" s="12"/>
      <c r="F21" s="12"/>
    </row>
  </sheetData>
  <mergeCells count="4">
    <mergeCell ref="A18:F18"/>
    <mergeCell ref="A19:F19"/>
    <mergeCell ref="A20:F20"/>
    <mergeCell ref="A21:F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2026-09-22T20:36:29Z</dcterms:created>
  <dc:creator>openpyxl</dc:creator>
  <dc:description/>
  <dc:language>en-US</dc:language>
  <cp:lastModifiedBy/>
  <dcterms:modified xsi:type="dcterms:W3CDTF">2026-09-22T20:36:29Z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