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tball Records" sheetId="1" state="visible" r:id="rId3"/>
    <sheet name="By Category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<sst xmlns="http://schemas.openxmlformats.org/spreadsheetml/2006/main" count="1545" uniqueCount="671">
  <si>
    <t xml:space="preserve">ID</t>
  </si>
  <si>
    <t xml:space="preserve">Category</t>
  </si>
  <si>
    <t xml:space="preserve">Record</t>
  </si>
  <si>
    <t xml:space="preserve">Holder</t>
  </si>
  <si>
    <t xml:space="preserve">Nation / Club</t>
  </si>
  <si>
    <t xml:space="preserve">Gender</t>
  </si>
  <si>
    <t xml:space="preserve">Value</t>
  </si>
  <si>
    <t xml:space="preserve">Unit</t>
  </si>
  <si>
    <t xml:space="preserve">Display</t>
  </si>
  <si>
    <t xml:space="preserve">Year set</t>
  </si>
  <si>
    <t xml:space="preserve">Years standing</t>
  </si>
  <si>
    <t xml:space="preserve">Competition</t>
  </si>
  <si>
    <t xml:space="preserve">Check</t>
  </si>
  <si>
    <t xml:space="preserve">Note</t>
  </si>
  <si>
    <t xml:space="preserve">World Cup</t>
  </si>
  <si>
    <t xml:space="preserve">Most World Cup goals (career)</t>
  </si>
  <si>
    <t xml:space="preserve">Kylian Mbappé</t>
  </si>
  <si>
    <t xml:space="preserve">France</t>
  </si>
  <si>
    <t xml:space="preserve">M</t>
  </si>
  <si>
    <t xml:space="preserve">goals</t>
  </si>
  <si>
    <t xml:space="preserve">22</t>
  </si>
  <si>
    <t xml:space="preserve">FIFA World Cup</t>
  </si>
  <si>
    <t xml:space="preserve">Checked online Sept 2026</t>
  </si>
  <si>
    <t xml:space="preserve">Passed Messi (21) and Klose (16) in 2026</t>
  </si>
  <si>
    <t xml:space="preserve">Most World Cup matches played</t>
  </si>
  <si>
    <t xml:space="preserve">Lionel Messi</t>
  </si>
  <si>
    <t xml:space="preserve">Argentina</t>
  </si>
  <si>
    <t xml:space="preserve">matches</t>
  </si>
  <si>
    <t xml:space="preserve">34</t>
  </si>
  <si>
    <t xml:space="preserve">Most goals at a single World Cup</t>
  </si>
  <si>
    <t xml:space="preserve">Just Fontaine</t>
  </si>
  <si>
    <t xml:space="preserve">13</t>
  </si>
  <si>
    <t xml:space="preserve">Mbappé scored 10 in 2026</t>
  </si>
  <si>
    <t xml:space="preserve">Most World Cup titles</t>
  </si>
  <si>
    <t xml:space="preserve">Brazil</t>
  </si>
  <si>
    <t xml:space="preserve">Team</t>
  </si>
  <si>
    <t xml:space="preserve">titles</t>
  </si>
  <si>
    <t xml:space="preserve">5</t>
  </si>
  <si>
    <t xml:space="preserve">Spain won 2026 (2nd title)</t>
  </si>
  <si>
    <t xml:space="preserve">Most World Cup finals played</t>
  </si>
  <si>
    <t xml:space="preserve">Germany</t>
  </si>
  <si>
    <t xml:space="preserve">finals</t>
  </si>
  <si>
    <t xml:space="preserve">8</t>
  </si>
  <si>
    <t xml:space="preserve">Stable – unchanged since set</t>
  </si>
  <si>
    <t xml:space="preserve">Most World Cup titles as a player</t>
  </si>
  <si>
    <t xml:space="preserve">Pelé</t>
  </si>
  <si>
    <t xml:space="preserve">3</t>
  </si>
  <si>
    <t xml:space="preserve">Most World Cup titles as a coach</t>
  </si>
  <si>
    <t xml:space="preserve">Vittorio Pozzo</t>
  </si>
  <si>
    <t xml:space="preserve">Italy</t>
  </si>
  <si>
    <t xml:space="preserve">2</t>
  </si>
  <si>
    <t xml:space="preserve">Most World Cup Golden Boots</t>
  </si>
  <si>
    <t xml:space="preserve">awards</t>
  </si>
  <si>
    <t xml:space="preserve">2022 and 2026</t>
  </si>
  <si>
    <t xml:space="preserve">Scored at the most World Cups</t>
  </si>
  <si>
    <t xml:space="preserve">Cristiano Ronaldo</t>
  </si>
  <si>
    <t xml:space="preserve">Portugal</t>
  </si>
  <si>
    <t xml:space="preserve">tournaments</t>
  </si>
  <si>
    <t xml:space="preserve">6</t>
  </si>
  <si>
    <t xml:space="preserve">2006–2026</t>
  </si>
  <si>
    <t xml:space="preserve">Oldest World Cup goalscorer</t>
  </si>
  <si>
    <t xml:space="preserve">Roger Milla</t>
  </si>
  <si>
    <t xml:space="preserve">Cameroon</t>
  </si>
  <si>
    <t xml:space="preserve">years</t>
  </si>
  <si>
    <t xml:space="preserve">42 y 39 d</t>
  </si>
  <si>
    <t xml:space="preserve">Most Women's World Cup titles</t>
  </si>
  <si>
    <t xml:space="preserve">USA</t>
  </si>
  <si>
    <t xml:space="preserve">4</t>
  </si>
  <si>
    <t xml:space="preserve">FIFA Women's World Cup</t>
  </si>
  <si>
    <t xml:space="preserve">Most Women's World Cup goals</t>
  </si>
  <si>
    <t xml:space="preserve">Marta</t>
  </si>
  <si>
    <t xml:space="preserve">W</t>
  </si>
  <si>
    <t xml:space="preserve">17</t>
  </si>
  <si>
    <t xml:space="preserve">International</t>
  </si>
  <si>
    <t xml:space="preserve">Most men's international goals</t>
  </si>
  <si>
    <t xml:space="preserve">146</t>
  </si>
  <si>
    <t xml:space="preserve">Internationals</t>
  </si>
  <si>
    <t xml:space="preserve">Active – value as of 24 Sept 2026</t>
  </si>
  <si>
    <t xml:space="preserve">Most men's international caps</t>
  </si>
  <si>
    <t xml:space="preserve">caps</t>
  </si>
  <si>
    <t xml:space="preserve">234</t>
  </si>
  <si>
    <t xml:space="preserve">Active – value as of 24 Sept 2026 (UEFA)</t>
  </si>
  <si>
    <t xml:space="preserve">Scored in most consecutive calendar years</t>
  </si>
  <si>
    <t xml:space="preserve">23</t>
  </si>
  <si>
    <t xml:space="preserve">Every year 2004–2026</t>
  </si>
  <si>
    <t xml:space="preserve">Most goals in one international match</t>
  </si>
  <si>
    <t xml:space="preserve">Archie Thompson</t>
  </si>
  <si>
    <t xml:space="preserve">Australia</t>
  </si>
  <si>
    <t xml:space="preserve">vs American Samoa</t>
  </si>
  <si>
    <t xml:space="preserve">Biggest international win (margin)</t>
  </si>
  <si>
    <t xml:space="preserve">31–0</t>
  </si>
  <si>
    <t xml:space="preserve">Most women's international goals</t>
  </si>
  <si>
    <t xml:space="preserve">Christine Sinclair</t>
  </si>
  <si>
    <t xml:space="preserve">Canada</t>
  </si>
  <si>
    <t xml:space="preserve">190</t>
  </si>
  <si>
    <t xml:space="preserve">Most women's international caps</t>
  </si>
  <si>
    <t xml:space="preserve">Kristine Lilly</t>
  </si>
  <si>
    <t xml:space="preserve">354</t>
  </si>
  <si>
    <t xml:space="preserve">Most European Championship titles</t>
  </si>
  <si>
    <t xml:space="preserve">Spain</t>
  </si>
  <si>
    <t xml:space="preserve">UEFA Euro</t>
  </si>
  <si>
    <t xml:space="preserve">Most European Championship goals</t>
  </si>
  <si>
    <t xml:space="preserve">14</t>
  </si>
  <si>
    <t xml:space="preserve">Most goals at a single Euro</t>
  </si>
  <si>
    <t xml:space="preserve">Michel Platini</t>
  </si>
  <si>
    <t xml:space="preserve">9</t>
  </si>
  <si>
    <t xml:space="preserve">Youngest Euro goalscorer</t>
  </si>
  <si>
    <t xml:space="preserve">Lamine Yamal</t>
  </si>
  <si>
    <t xml:space="preserve">16 y 362 d</t>
  </si>
  <si>
    <t xml:space="preserve">Most Copa América titles</t>
  </si>
  <si>
    <t xml:space="preserve">16</t>
  </si>
  <si>
    <t xml:space="preserve">Copa América</t>
  </si>
  <si>
    <t xml:space="preserve">Champions League</t>
  </si>
  <si>
    <t xml:space="preserve">Most European Cup / UCL titles (club)</t>
  </si>
  <si>
    <t xml:space="preserve">Real Madrid</t>
  </si>
  <si>
    <t xml:space="preserve">15</t>
  </si>
  <si>
    <t xml:space="preserve">UEFA Champions League</t>
  </si>
  <si>
    <t xml:space="preserve">PSG won 2025 and 2026</t>
  </si>
  <si>
    <t xml:space="preserve">Most European Cup titles (player)</t>
  </si>
  <si>
    <t xml:space="preserve">Paco Gento</t>
  </si>
  <si>
    <t xml:space="preserve">Equalled by Modrić, Kroos, Carvajal, Nacho in 2024</t>
  </si>
  <si>
    <t xml:space="preserve">Most Champions League goals</t>
  </si>
  <si>
    <t xml:space="preserve">140</t>
  </si>
  <si>
    <t xml:space="preserve">Left European football in 2022</t>
  </si>
  <si>
    <t xml:space="preserve">Most Champions League appearances</t>
  </si>
  <si>
    <t xml:space="preserve">183</t>
  </si>
  <si>
    <t xml:space="preserve">Most Champions League goals for one club</t>
  </si>
  <si>
    <t xml:space="preserve">Barcelona</t>
  </si>
  <si>
    <t xml:space="preserve">120</t>
  </si>
  <si>
    <t xml:space="preserve">Most goals by a player in one UCL match</t>
  </si>
  <si>
    <t xml:space="preserve">Messi / Luiz Adriano / Haaland</t>
  </si>
  <si>
    <t xml:space="preserve">ARG / BRA / NOR</t>
  </si>
  <si>
    <t xml:space="preserve">Shared; year = most recent</t>
  </si>
  <si>
    <t xml:space="preserve">Biggest win in a European Cup / UCL final</t>
  </si>
  <si>
    <t xml:space="preserve">Paris Saint-Germain</t>
  </si>
  <si>
    <t xml:space="preserve">PSG</t>
  </si>
  <si>
    <t xml:space="preserve">5–0 v Inter</t>
  </si>
  <si>
    <t xml:space="preserve">Premier League</t>
  </si>
  <si>
    <t xml:space="preserve">Most Premier League goals</t>
  </si>
  <si>
    <t xml:space="preserve">Alan Shearer</t>
  </si>
  <si>
    <t xml:space="preserve">England</t>
  </si>
  <si>
    <t xml:space="preserve">260</t>
  </si>
  <si>
    <t xml:space="preserve">Most Premier League assists</t>
  </si>
  <si>
    <t xml:space="preserve">Ryan Giggs</t>
  </si>
  <si>
    <t xml:space="preserve">Wales</t>
  </si>
  <si>
    <t xml:space="preserve">assists</t>
  </si>
  <si>
    <t xml:space="preserve">162</t>
  </si>
  <si>
    <t xml:space="preserve">Most Premier League clean sheets</t>
  </si>
  <si>
    <t xml:space="preserve">Petr Čech</t>
  </si>
  <si>
    <t xml:space="preserve">Czechia</t>
  </si>
  <si>
    <t xml:space="preserve">clean sheets</t>
  </si>
  <si>
    <t xml:space="preserve">202</t>
  </si>
  <si>
    <t xml:space="preserve">Most Premier League titles (club)</t>
  </si>
  <si>
    <t xml:space="preserve">Manchester United</t>
  </si>
  <si>
    <t xml:space="preserve">Man United</t>
  </si>
  <si>
    <t xml:space="preserve">Most English top-flight titles</t>
  </si>
  <si>
    <t xml:space="preserve">Manchester United / Liverpool</t>
  </si>
  <si>
    <t xml:space="preserve">Man United / Liverpool</t>
  </si>
  <si>
    <t xml:space="preserve">20</t>
  </si>
  <si>
    <t xml:space="preserve">English top flight</t>
  </si>
  <si>
    <t xml:space="preserve">Arsenal won 2025–26 (14th)</t>
  </si>
  <si>
    <t xml:space="preserve">Most Premier League titles (player)</t>
  </si>
  <si>
    <t xml:space="preserve">Most points in a Premier League season</t>
  </si>
  <si>
    <t xml:space="preserve">Manchester City</t>
  </si>
  <si>
    <t xml:space="preserve">Man City</t>
  </si>
  <si>
    <t xml:space="preserve">points</t>
  </si>
  <si>
    <t xml:space="preserve">100</t>
  </si>
  <si>
    <t xml:space="preserve">Longest Premier League unbeaten run</t>
  </si>
  <si>
    <t xml:space="preserve">Arsenal</t>
  </si>
  <si>
    <t xml:space="preserve">49</t>
  </si>
  <si>
    <t xml:space="preserve">'The Invincibles'</t>
  </si>
  <si>
    <t xml:space="preserve">Most consecutive Premier League wins</t>
  </si>
  <si>
    <t xml:space="preserve">wins</t>
  </si>
  <si>
    <t xml:space="preserve">18</t>
  </si>
  <si>
    <t xml:space="preserve">Longest unbeaten home run</t>
  </si>
  <si>
    <t xml:space="preserve">Chelsea</t>
  </si>
  <si>
    <t xml:space="preserve">86</t>
  </si>
  <si>
    <t xml:space="preserve">Longest run without conceding</t>
  </si>
  <si>
    <t xml:space="preserve">Edwin van der Sar</t>
  </si>
  <si>
    <t xml:space="preserve">minutes</t>
  </si>
  <si>
    <t xml:space="preserve">1,311 min</t>
  </si>
  <si>
    <t xml:space="preserve">Fastest Premier League goal</t>
  </si>
  <si>
    <t xml:space="preserve">Shane Long</t>
  </si>
  <si>
    <t xml:space="preserve">Southampton</t>
  </si>
  <si>
    <t xml:space="preserve">s</t>
  </si>
  <si>
    <t xml:space="preserve">7.69 s</t>
  </si>
  <si>
    <t xml:space="preserve">Fastest Premier League hat-trick</t>
  </si>
  <si>
    <t xml:space="preserve">Sadio Mané</t>
  </si>
  <si>
    <t xml:space="preserve">2:56</t>
  </si>
  <si>
    <t xml:space="preserve">Highest-scoring Premier League match</t>
  </si>
  <si>
    <t xml:space="preserve">Portsmouth v Reading</t>
  </si>
  <si>
    <t xml:space="preserve">Portsmouth</t>
  </si>
  <si>
    <t xml:space="preserve">7–4</t>
  </si>
  <si>
    <t xml:space="preserve">Youngest Premier League player</t>
  </si>
  <si>
    <t xml:space="preserve">Ethan Nwaneri</t>
  </si>
  <si>
    <t xml:space="preserve">15 y 181 d</t>
  </si>
  <si>
    <t xml:space="preserve">Top leagues</t>
  </si>
  <si>
    <t xml:space="preserve">Most Bundesliga goals</t>
  </si>
  <si>
    <t xml:space="preserve">Gerd Müller</t>
  </si>
  <si>
    <t xml:space="preserve">Bayern</t>
  </si>
  <si>
    <t xml:space="preserve">365</t>
  </si>
  <si>
    <t xml:space="preserve">Bundesliga</t>
  </si>
  <si>
    <t xml:space="preserve">Most goals in a Bundesliga season</t>
  </si>
  <si>
    <t xml:space="preserve">Robert Lewandowski</t>
  </si>
  <si>
    <t xml:space="preserve">41</t>
  </si>
  <si>
    <t xml:space="preserve">Kane scored 36 in 2025–26</t>
  </si>
  <si>
    <t xml:space="preserve">Most Bundesliga titles</t>
  </si>
  <si>
    <t xml:space="preserve">Bayern Munich</t>
  </si>
  <si>
    <t xml:space="preserve">35</t>
  </si>
  <si>
    <t xml:space="preserve">Fastest five goals in a match</t>
  </si>
  <si>
    <t xml:space="preserve">8:59</t>
  </si>
  <si>
    <t xml:space="preserve">Came on as a sub vs Wolfsburg</t>
  </si>
  <si>
    <t xml:space="preserve">Most La Liga goals</t>
  </si>
  <si>
    <t xml:space="preserve">474</t>
  </si>
  <si>
    <t xml:space="preserve">La Liga</t>
  </si>
  <si>
    <t xml:space="preserve">Most goals in a La Liga season</t>
  </si>
  <si>
    <t xml:space="preserve">50</t>
  </si>
  <si>
    <t xml:space="preserve">Most Serie A goals</t>
  </si>
  <si>
    <t xml:space="preserve">Silvio Piola</t>
  </si>
  <si>
    <t xml:space="preserve">274</t>
  </si>
  <si>
    <t xml:space="preserve">Serie A</t>
  </si>
  <si>
    <t xml:space="preserve">Career &amp; awards</t>
  </si>
  <si>
    <t xml:space="preserve">Most official career goals</t>
  </si>
  <si>
    <t xml:space="preserve">979</t>
  </si>
  <si>
    <t xml:space="preserve">All competitions</t>
  </si>
  <si>
    <t xml:space="preserve">Most goals for one club</t>
  </si>
  <si>
    <t xml:space="preserve">672</t>
  </si>
  <si>
    <t xml:space="preserve">Most goals in a calendar year</t>
  </si>
  <si>
    <t xml:space="preserve">Barcelona / Argentina</t>
  </si>
  <si>
    <t xml:space="preserve">91</t>
  </si>
  <si>
    <t xml:space="preserve">Most goals in a club season (Europe)</t>
  </si>
  <si>
    <t xml:space="preserve">73</t>
  </si>
  <si>
    <t xml:space="preserve">2011–12</t>
  </si>
  <si>
    <t xml:space="preserve">Most Ballon d'Or awards</t>
  </si>
  <si>
    <t xml:space="preserve">Ballon d'Or</t>
  </si>
  <si>
    <t xml:space="preserve">Most Ballon d'Or Féminin awards</t>
  </si>
  <si>
    <t xml:space="preserve">Aitana Bonmatí</t>
  </si>
  <si>
    <t xml:space="preserve">2023, 2024, 2025</t>
  </si>
  <si>
    <t xml:space="preserve">Most goals by a goalkeeper</t>
  </si>
  <si>
    <t xml:space="preserve">Rogério Ceni</t>
  </si>
  <si>
    <t xml:space="preserve">São Paulo</t>
  </si>
  <si>
    <t xml:space="preserve">129</t>
  </si>
  <si>
    <t xml:space="preserve">Free kicks and penalties; some sources count 131</t>
  </si>
  <si>
    <t xml:space="preserve">Transfers &amp; crowds</t>
  </si>
  <si>
    <t xml:space="preserve">Highest transfer fee</t>
  </si>
  <si>
    <t xml:space="preserve">Neymar</t>
  </si>
  <si>
    <t xml:space="preserve">Barcelona → PSG</t>
  </si>
  <si>
    <t xml:space="preserve">€ million</t>
  </si>
  <si>
    <t xml:space="preserve">€222m</t>
  </si>
  <si>
    <t xml:space="preserve">Transfers</t>
  </si>
  <si>
    <t xml:space="preserve">Still the record as of 1 Sept 2026</t>
  </si>
  <si>
    <t xml:space="preserve">Highest women's transfer fee</t>
  </si>
  <si>
    <t xml:space="preserve">Grace Geyoro</t>
  </si>
  <si>
    <t xml:space="preserve">PSG → London City Lionesses</t>
  </si>
  <si>
    <t xml:space="preserve">€1.65m</t>
  </si>
  <si>
    <t xml:space="preserve">Highest football attendance</t>
  </si>
  <si>
    <t xml:space="preserve">Uruguay v Brazil, Maracanã</t>
  </si>
  <si>
    <t xml:space="preserve">spectators</t>
  </si>
  <si>
    <t xml:space="preserve">173,850</t>
  </si>
  <si>
    <t xml:space="preserve">Official paid figure; ~199,854 incl. non-paying</t>
  </si>
  <si>
    <t xml:space="preserve">Highest attendance at a women's club match</t>
  </si>
  <si>
    <t xml:space="preserve">Barcelona v Wolfsburg</t>
  </si>
  <si>
    <t xml:space="preserve">91,648</t>
  </si>
  <si>
    <t xml:space="preserve">UEFA Women's Champions League</t>
  </si>
  <si>
    <t xml:space="preserve">Camp Nou</t>
  </si>
  <si>
    <t xml:space="preserve">Crazy &amp; historic</t>
  </si>
  <si>
    <t xml:space="preserve">Highest score in a football match</t>
  </si>
  <si>
    <t xml:space="preserve">AS Adema v SO l'Emyrne</t>
  </si>
  <si>
    <t xml:space="preserve">Madagascar</t>
  </si>
  <si>
    <t xml:space="preserve">149–0</t>
  </si>
  <si>
    <t xml:space="preserve">Madagascar league</t>
  </si>
  <si>
    <t xml:space="preserve">All own goals, scored in protest</t>
  </si>
  <si>
    <t xml:space="preserve">Most red cards in one match</t>
  </si>
  <si>
    <t xml:space="preserve">Claypole v Victoriano Arenas</t>
  </si>
  <si>
    <t xml:space="preserve">red cards</t>
  </si>
  <si>
    <t xml:space="preserve">36</t>
  </si>
  <si>
    <t xml:space="preserve">Argentine 5th tier</t>
  </si>
  <si>
    <t xml:space="preserve">Mass brawl</t>
  </si>
  <si>
    <t xml:space="preserve">Most goals in a domestic cup match</t>
  </si>
  <si>
    <t xml:space="preserve">Stefan Dembicki ('Stanis')</t>
  </si>
  <si>
    <t xml:space="preserve">RC Lens</t>
  </si>
  <si>
    <t xml:space="preserve">Coupe de France</t>
  </si>
  <si>
    <t xml:space="preserve">Lens 32–0 Auby-Asturies</t>
  </si>
  <si>
    <t xml:space="preserve">Fastest red card</t>
  </si>
  <si>
    <t xml:space="preserve">Lee Todd</t>
  </si>
  <si>
    <t xml:space="preserve">Cross Farm Park Celtic</t>
  </si>
  <si>
    <t xml:space="preserve">2 s</t>
  </si>
  <si>
    <t xml:space="preserve">English Sunday league</t>
  </si>
  <si>
    <t xml:space="preserve">Swore at the referee after the kick-off whistle</t>
  </si>
  <si>
    <t xml:space="preserve">Longest penalty shoot-out</t>
  </si>
  <si>
    <t xml:space="preserve">Dimona v Shimshon Tel Aviv</t>
  </si>
  <si>
    <t xml:space="preserve">Israel</t>
  </si>
  <si>
    <t xml:space="preserve">penalties</t>
  </si>
  <si>
    <t xml:space="preserve">23–22</t>
  </si>
  <si>
    <t xml:space="preserve">Israeli 3rd tier</t>
  </si>
  <si>
    <t xml:space="preserve">Longest unbeaten run by a club</t>
  </si>
  <si>
    <t xml:space="preserve">ASEC Mimosas</t>
  </si>
  <si>
    <t xml:space="preserve">Ivory Coast</t>
  </si>
  <si>
    <t xml:space="preserve">108</t>
  </si>
  <si>
    <t xml:space="preserve">Ivorian league</t>
  </si>
  <si>
    <t xml:space="preserve">Longest marathon keeping a football up</t>
  </si>
  <si>
    <t xml:space="preserve">Abraham Muñoz</t>
  </si>
  <si>
    <t xml:space="preserve">Mexico</t>
  </si>
  <si>
    <t xml:space="preserve">28:00:00</t>
  </si>
  <si>
    <t xml:space="preserve">Guinness</t>
  </si>
  <si>
    <t xml:space="preserve">Longest time continuously controlling a ball</t>
  </si>
  <si>
    <t xml:space="preserve">21:01:00</t>
  </si>
  <si>
    <t xml:space="preserve">Ball never touched the ground</t>
  </si>
  <si>
    <t xml:space="preserve">Fastest marathon while juggling a football</t>
  </si>
  <si>
    <t xml:space="preserve">5:41:52</t>
  </si>
  <si>
    <t xml:space="preserve">42.2 km without dropping it</t>
  </si>
  <si>
    <t xml:space="preserve">Longest football control with feet only</t>
  </si>
  <si>
    <t xml:space="preserve">Saeid Momivand</t>
  </si>
  <si>
    <t xml:space="preserve">Iran</t>
  </si>
  <si>
    <t xml:space="preserve">12:00:00</t>
  </si>
  <si>
    <t xml:space="preserve">Longest header juggling while sitting</t>
  </si>
  <si>
    <t xml:space="preserve">Tomas Lundman</t>
  </si>
  <si>
    <t xml:space="preserve">Sweden</t>
  </si>
  <si>
    <t xml:space="preserve">4:09:26</t>
  </si>
  <si>
    <t xml:space="preserve">Longest football balanced on the back</t>
  </si>
  <si>
    <t xml:space="preserve">Dan Magness</t>
  </si>
  <si>
    <t xml:space="preserve">4:08.56</t>
  </si>
  <si>
    <t xml:space="preserve">Longest keepy-uppy on a moving car's roof</t>
  </si>
  <si>
    <t xml:space="preserve">Ash Randall</t>
  </si>
  <si>
    <t xml:space="preserve">1:33</t>
  </si>
  <si>
    <t xml:space="preserve">Cardiff Airport runway</t>
  </si>
  <si>
    <t xml:space="preserve">Players – all-time</t>
  </si>
  <si>
    <t xml:space="preserve">Most domestic league goals</t>
  </si>
  <si>
    <t xml:space="preserve">Josef Bican</t>
  </si>
  <si>
    <t xml:space="preserve">Austria / Czechoslovakia</t>
  </si>
  <si>
    <t xml:space="preserve">643</t>
  </si>
  <si>
    <t xml:space="preserve">League football</t>
  </si>
  <si>
    <t xml:space="preserve">Best goals-per-game ratio</t>
  </si>
  <si>
    <t xml:space="preserve">goals/game</t>
  </si>
  <si>
    <t xml:space="preserve">1.52</t>
  </si>
  <si>
    <t xml:space="preserve">Most domestic cup goals</t>
  </si>
  <si>
    <t xml:space="preserve">Eusébio</t>
  </si>
  <si>
    <t xml:space="preserve">Benfica</t>
  </si>
  <si>
    <t xml:space="preserve">97</t>
  </si>
  <si>
    <t xml:space="preserve">Taça de Portugal</t>
  </si>
  <si>
    <t xml:space="preserve">Most goals in one season</t>
  </si>
  <si>
    <t xml:space="preserve">Ernst Wilimowski</t>
  </si>
  <si>
    <t xml:space="preserve">PSV Chemnitz</t>
  </si>
  <si>
    <t xml:space="preserve">107</t>
  </si>
  <si>
    <t xml:space="preserve">1940–41</t>
  </si>
  <si>
    <t xml:space="preserve">Most goals in a club season</t>
  </si>
  <si>
    <t xml:space="preserve">Fred Roberts</t>
  </si>
  <si>
    <t xml:space="preserve">Glentoran</t>
  </si>
  <si>
    <t xml:space="preserve">96</t>
  </si>
  <si>
    <t xml:space="preserve">1930–31</t>
  </si>
  <si>
    <t xml:space="preserve">Most international goals in a calendar year</t>
  </si>
  <si>
    <t xml:space="preserve">Sándor Kocsis</t>
  </si>
  <si>
    <t xml:space="preserve">Hungary</t>
  </si>
  <si>
    <t xml:space="preserve">Most goals by a defender (career)</t>
  </si>
  <si>
    <t xml:space="preserve">Ronald Koeman</t>
  </si>
  <si>
    <t xml:space="preserve">Netherlands</t>
  </si>
  <si>
    <t xml:space="preserve">253</t>
  </si>
  <si>
    <t xml:space="preserve">Most goals by a midfielder (career)</t>
  </si>
  <si>
    <t xml:space="preserve">Zico</t>
  </si>
  <si>
    <t xml:space="preserve">501</t>
  </si>
  <si>
    <t xml:space="preserve">Most goals by a defender in a calendar year</t>
  </si>
  <si>
    <t xml:space="preserve">Daniel Passarella</t>
  </si>
  <si>
    <t xml:space="preserve">27</t>
  </si>
  <si>
    <t xml:space="preserve">Most headed goals (career)</t>
  </si>
  <si>
    <t xml:space="preserve">Jimmy McGrory</t>
  </si>
  <si>
    <t xml:space="preserve">Celtic</t>
  </si>
  <si>
    <t xml:space="preserve">Most international headed goals</t>
  </si>
  <si>
    <t xml:space="preserve">28</t>
  </si>
  <si>
    <t xml:space="preserve">Most goals direct from a corner</t>
  </si>
  <si>
    <t xml:space="preserve">Şükrü Gülesin</t>
  </si>
  <si>
    <t xml:space="preserve">Turkey</t>
  </si>
  <si>
    <t xml:space="preserve">32</t>
  </si>
  <si>
    <t xml:space="preserve">Most bicycle-kick goals</t>
  </si>
  <si>
    <t xml:space="preserve">Hugo Sánchez</t>
  </si>
  <si>
    <t xml:space="preserve">Most free-kick goals in a calendar year</t>
  </si>
  <si>
    <t xml:space="preserve">Jorge Aravena</t>
  </si>
  <si>
    <t xml:space="preserve">Chile</t>
  </si>
  <si>
    <t xml:space="preserve">19</t>
  </si>
  <si>
    <t xml:space="preserve">Most hat-tricks</t>
  </si>
  <si>
    <t xml:space="preserve">Erwin Helmchen</t>
  </si>
  <si>
    <t xml:space="preserve">hat-tricks</t>
  </si>
  <si>
    <t xml:space="preserve">142</t>
  </si>
  <si>
    <t xml:space="preserve">Most consecutive club games scoring</t>
  </si>
  <si>
    <t xml:space="preserve">Slavia Prague</t>
  </si>
  <si>
    <t xml:space="preserve">21</t>
  </si>
  <si>
    <t xml:space="preserve">Most consecutive international games scoring</t>
  </si>
  <si>
    <t xml:space="preserve">Abdul Ghani Minhat / Erling Haaland</t>
  </si>
  <si>
    <t xml:space="preserve">Malaysia / Norway</t>
  </si>
  <si>
    <t xml:space="preserve">11</t>
  </si>
  <si>
    <t xml:space="preserve">Shared</t>
  </si>
  <si>
    <t xml:space="preserve">Most domestic top-scorer awards</t>
  </si>
  <si>
    <t xml:space="preserve">Romário</t>
  </si>
  <si>
    <t xml:space="preserve">Includes Brazilian state leagues</t>
  </si>
  <si>
    <t xml:space="preserve">Most international club titles</t>
  </si>
  <si>
    <t xml:space="preserve">Luka Modrić</t>
  </si>
  <si>
    <t xml:space="preserve">Continental &amp; world club cups</t>
  </si>
  <si>
    <t xml:space="preserve">Most red cards (career)</t>
  </si>
  <si>
    <t xml:space="preserve">Gerardo Bedoya</t>
  </si>
  <si>
    <t xml:space="preserve">Colombia</t>
  </si>
  <si>
    <t xml:space="preserve">46</t>
  </si>
  <si>
    <t xml:space="preserve">Most penalties missed in one match</t>
  </si>
  <si>
    <t xml:space="preserve">Martín Palermo</t>
  </si>
  <si>
    <t xml:space="preserve">vs Colombia</t>
  </si>
  <si>
    <t xml:space="preserve">Most clubs played for</t>
  </si>
  <si>
    <t xml:space="preserve">Carlos Frontini</t>
  </si>
  <si>
    <t xml:space="preserve">clubs</t>
  </si>
  <si>
    <t xml:space="preserve">37</t>
  </si>
  <si>
    <t xml:space="preserve">Most matches in one season</t>
  </si>
  <si>
    <t xml:space="preserve">Oscar</t>
  </si>
  <si>
    <t xml:space="preserve">Chelsea / Brazil</t>
  </si>
  <si>
    <t xml:space="preserve">89</t>
  </si>
  <si>
    <t xml:space="preserve">2012–13</t>
  </si>
  <si>
    <t xml:space="preserve">Most international matches in a calendar year</t>
  </si>
  <si>
    <t xml:space="preserve">Cobi Jones</t>
  </si>
  <si>
    <t xml:space="preserve">30</t>
  </si>
  <si>
    <t xml:space="preserve">Most matches in a single league</t>
  </si>
  <si>
    <t xml:space="preserve">Peter Shilton</t>
  </si>
  <si>
    <t xml:space="preserve">848</t>
  </si>
  <si>
    <t xml:space="preserve">English First Division</t>
  </si>
  <si>
    <t xml:space="preserve">Most matches for one club</t>
  </si>
  <si>
    <t xml:space="preserve">1,197</t>
  </si>
  <si>
    <t xml:space="preserve">Most matches as captain of one club</t>
  </si>
  <si>
    <t xml:space="preserve">964</t>
  </si>
  <si>
    <t xml:space="preserve">Ages &amp; careers</t>
  </si>
  <si>
    <t xml:space="preserve">Oldest goalscorer in an official match</t>
  </si>
  <si>
    <t xml:space="preserve">Ezzeldin Bahader</t>
  </si>
  <si>
    <t xml:space="preserve">Egypt</t>
  </si>
  <si>
    <t xml:space="preserve">74 y 125 d</t>
  </si>
  <si>
    <t xml:space="preserve">Egyptian 3rd tier</t>
  </si>
  <si>
    <t xml:space="preserve">Oldest goalscorer in a top-flight league</t>
  </si>
  <si>
    <t xml:space="preserve">Innocent Benza</t>
  </si>
  <si>
    <t xml:space="preserve">Herentals (Zimbabwe)</t>
  </si>
  <si>
    <t xml:space="preserve">51 y 5 d</t>
  </si>
  <si>
    <t xml:space="preserve">Zimbabwe Premier League</t>
  </si>
  <si>
    <t xml:space="preserve">Oldest player in a top-flight league</t>
  </si>
  <si>
    <t xml:space="preserve">Kazuyoshi Miura</t>
  </si>
  <si>
    <t xml:space="preserve">Yokohama FC</t>
  </si>
  <si>
    <t xml:space="preserve">54 y 12 d</t>
  </si>
  <si>
    <t xml:space="preserve">J1 League</t>
  </si>
  <si>
    <t xml:space="preserve">Oldest player in an international match</t>
  </si>
  <si>
    <t xml:space="preserve">George Weah</t>
  </si>
  <si>
    <t xml:space="preserve">Liberia</t>
  </si>
  <si>
    <t xml:space="preserve">51 y 345 d</t>
  </si>
  <si>
    <t xml:space="preserve">Played while President of Liberia</t>
  </si>
  <si>
    <t xml:space="preserve">Oldest player to start a pro career</t>
  </si>
  <si>
    <t xml:space="preserve">Mykola Lykhovydov</t>
  </si>
  <si>
    <t xml:space="preserve">Real Pharma Odesa</t>
  </si>
  <si>
    <t xml:space="preserve">45 y 185 d</t>
  </si>
  <si>
    <t xml:space="preserve">Ukrainian 3rd tier</t>
  </si>
  <si>
    <t xml:space="preserve">Longest playing career</t>
  </si>
  <si>
    <t xml:space="preserve">Japan</t>
  </si>
  <si>
    <t xml:space="preserve">40 years</t>
  </si>
  <si>
    <t xml:space="preserve">Pro since 1986</t>
  </si>
  <si>
    <t xml:space="preserve">Youngest international player</t>
  </si>
  <si>
    <t xml:space="preserve">Lucas Knecht</t>
  </si>
  <si>
    <t xml:space="preserve">Northern Mariana Islands</t>
  </si>
  <si>
    <t xml:space="preserve">14 y 2 d</t>
  </si>
  <si>
    <t xml:space="preserve">Youngest international goalscorer</t>
  </si>
  <si>
    <t xml:space="preserve">Aung Kyaw Tun</t>
  </si>
  <si>
    <t xml:space="preserve">Myanmar</t>
  </si>
  <si>
    <t xml:space="preserve">14 y 93 d</t>
  </si>
  <si>
    <t xml:space="preserve">Youngest goalscorer in an official match</t>
  </si>
  <si>
    <t xml:space="preserve">Owenne Matapo</t>
  </si>
  <si>
    <t xml:space="preserve">Avatiu (Cook Islands)</t>
  </si>
  <si>
    <t xml:space="preserve">13 y 325 d</t>
  </si>
  <si>
    <t xml:space="preserve">Cook Islands top flight</t>
  </si>
  <si>
    <t xml:space="preserve">Youngest top-flight player</t>
  </si>
  <si>
    <t xml:space="preserve">Mauricio Baldivieso</t>
  </si>
  <si>
    <t xml:space="preserve">Aurora (Bolivia)</t>
  </si>
  <si>
    <t xml:space="preserve">12 y 362 d</t>
  </si>
  <si>
    <t xml:space="preserve">Bolivian Primera División</t>
  </si>
  <si>
    <t xml:space="preserve">His father was the coach</t>
  </si>
  <si>
    <t xml:space="preserve">Youngest senior player</t>
  </si>
  <si>
    <t xml:space="preserve">Eric Godpower Marshall</t>
  </si>
  <si>
    <t xml:space="preserve">10 y 330 d</t>
  </si>
  <si>
    <t xml:space="preserve">Liberian 4th tier</t>
  </si>
  <si>
    <t xml:space="preserve">Goalkeepers</t>
  </si>
  <si>
    <t xml:space="preserve">Most clean sheets (career)</t>
  </si>
  <si>
    <t xml:space="preserve">Ray Clemence</t>
  </si>
  <si>
    <t xml:space="preserve">568</t>
  </si>
  <si>
    <t xml:space="preserve">Most clean sheets in one season</t>
  </si>
  <si>
    <t xml:space="preserve">Essam El Hadary</t>
  </si>
  <si>
    <t xml:space="preserve">Al Ahly</t>
  </si>
  <si>
    <t xml:space="preserve">45</t>
  </si>
  <si>
    <t xml:space="preserve">2005–06</t>
  </si>
  <si>
    <t xml:space="preserve">Most international clean sheets</t>
  </si>
  <si>
    <t xml:space="preserve">Iker Casillas</t>
  </si>
  <si>
    <t xml:space="preserve">102</t>
  </si>
  <si>
    <t xml:space="preserve">Mazarópi</t>
  </si>
  <si>
    <t xml:space="preserve">Vasco da Gama</t>
  </si>
  <si>
    <t xml:space="preserve">1,816 min</t>
  </si>
  <si>
    <t xml:space="preserve">Campeonato Carioca</t>
  </si>
  <si>
    <t xml:space="preserve">Longest run without conceding (internationals)</t>
  </si>
  <si>
    <t xml:space="preserve">Dino Zoff</t>
  </si>
  <si>
    <t xml:space="preserve">1,142 min</t>
  </si>
  <si>
    <t xml:space="preserve">Most penalties saved</t>
  </si>
  <si>
    <t xml:space="preserve">Excl. shoot-outs</t>
  </si>
  <si>
    <t xml:space="preserve">Most goals by a goalkeeper in a calendar year</t>
  </si>
  <si>
    <t xml:space="preserve">Coaches</t>
  </si>
  <si>
    <t xml:space="preserve">Most matches as a coach</t>
  </si>
  <si>
    <t xml:space="preserve">Sir Alex Ferguson</t>
  </si>
  <si>
    <t xml:space="preserve">Aberdeen / Man United</t>
  </si>
  <si>
    <t xml:space="preserve">2,155</t>
  </si>
  <si>
    <t xml:space="preserve">Most trophies as a coach</t>
  </si>
  <si>
    <t xml:space="preserve">trophies</t>
  </si>
  <si>
    <t xml:space="preserve">Most matches coaching one club</t>
  </si>
  <si>
    <t xml:space="preserve">Willie Maley</t>
  </si>
  <si>
    <t xml:space="preserve">1,754</t>
  </si>
  <si>
    <t xml:space="preserve">Longest reign at one club</t>
  </si>
  <si>
    <t xml:space="preserve">Amadeu Teixeira</t>
  </si>
  <si>
    <t xml:space="preserve">América de Manaus</t>
  </si>
  <si>
    <t xml:space="preserve">53 years</t>
  </si>
  <si>
    <t xml:space="preserve">1955–2008</t>
  </si>
  <si>
    <t xml:space="preserve">Most international matches as coach</t>
  </si>
  <si>
    <t xml:space="preserve">Bora Milutinović</t>
  </si>
  <si>
    <t xml:space="preserve">5 national teams</t>
  </si>
  <si>
    <t xml:space="preserve">287</t>
  </si>
  <si>
    <t xml:space="preserve">Clubs &amp; teams</t>
  </si>
  <si>
    <t xml:space="preserve">Most international major trophies (club)</t>
  </si>
  <si>
    <t xml:space="preserve">UEFA &amp; FIFA club competitions</t>
  </si>
  <si>
    <t xml:space="preserve">Longest winning streak (club)</t>
  </si>
  <si>
    <t xml:space="preserve">Arkadag</t>
  </si>
  <si>
    <t xml:space="preserve">Turkmenistan</t>
  </si>
  <si>
    <t xml:space="preserve">61</t>
  </si>
  <si>
    <t xml:space="preserve">Longest winning streak (national team)</t>
  </si>
  <si>
    <t xml:space="preserve">Morocco</t>
  </si>
  <si>
    <t xml:space="preserve">Longest unbeaten run (club)</t>
  </si>
  <si>
    <t xml:space="preserve">Chao Pak Kei</t>
  </si>
  <si>
    <t xml:space="preserve">Macau</t>
  </si>
  <si>
    <t xml:space="preserve">79</t>
  </si>
  <si>
    <t xml:space="preserve">Longest unbeaten run (national team)</t>
  </si>
  <si>
    <t xml:space="preserve">Most national titles in a row</t>
  </si>
  <si>
    <t xml:space="preserve">Tafea</t>
  </si>
  <si>
    <t xml:space="preserve">Vanuatu</t>
  </si>
  <si>
    <t xml:space="preserve">Port Vila League</t>
  </si>
  <si>
    <t xml:space="preserve">Most points in a league season</t>
  </si>
  <si>
    <t xml:space="preserve">Birmingham City</t>
  </si>
  <si>
    <t xml:space="preserve">111</t>
  </si>
  <si>
    <t xml:space="preserve">EFL League One</t>
  </si>
  <si>
    <t xml:space="preserve">2024–25</t>
  </si>
  <si>
    <t xml:space="preserve">Biggest title-winning points margin</t>
  </si>
  <si>
    <t xml:space="preserve">Shkëndija</t>
  </si>
  <si>
    <t xml:space="preserve">North Macedonia</t>
  </si>
  <si>
    <t xml:space="preserve">Macedonian First League</t>
  </si>
  <si>
    <t xml:space="preserve">Longest scoring streak (club)</t>
  </si>
  <si>
    <t xml:space="preserve">River Plate</t>
  </si>
  <si>
    <t xml:space="preserve">Argentine league</t>
  </si>
  <si>
    <t xml:space="preserve">Longest scoring streak (national team)</t>
  </si>
  <si>
    <t xml:space="preserve">66</t>
  </si>
  <si>
    <t xml:space="preserve">Longest losing streak (club)</t>
  </si>
  <si>
    <t xml:space="preserve">Woodford United</t>
  </si>
  <si>
    <t xml:space="preserve">defeats</t>
  </si>
  <si>
    <t xml:space="preserve">65</t>
  </si>
  <si>
    <t xml:space="preserve">English non-league</t>
  </si>
  <si>
    <t xml:space="preserve">Longest losing streak (national team)</t>
  </si>
  <si>
    <t xml:space="preserve">San Marino</t>
  </si>
  <si>
    <t xml:space="preserve">Longest winless run (national team)</t>
  </si>
  <si>
    <t xml:space="preserve">Ended with a 1–0 win over Liechtenstein</t>
  </si>
  <si>
    <t xml:space="preserve">Longest goalless run (club)</t>
  </si>
  <si>
    <t xml:space="preserve">Tom Tomsk</t>
  </si>
  <si>
    <t xml:space="preserve">1,166 min</t>
  </si>
  <si>
    <t xml:space="preserve">Russian league</t>
  </si>
  <si>
    <t xml:space="preserve">Biggest win in a competitive match</t>
  </si>
  <si>
    <t xml:space="preserve">Arbroath</t>
  </si>
  <si>
    <t xml:space="preserve">36–0</t>
  </si>
  <si>
    <t xml:space="preserve">Scottish Cup</t>
  </si>
  <si>
    <t xml:space="preserve">vs Bon Accord</t>
  </si>
  <si>
    <t xml:space="preserve">Most goals by one player in an official match</t>
  </si>
  <si>
    <t xml:space="preserve">Jacek Magdziński</t>
  </si>
  <si>
    <t xml:space="preserve">Wybrzeże Rewalskie Rewal</t>
  </si>
  <si>
    <t xml:space="preserve">Polish 6th tier</t>
  </si>
  <si>
    <t xml:space="preserve">Won 53–0</t>
  </si>
  <si>
    <t xml:space="preserve">Most goals by one player in a top-flight match</t>
  </si>
  <si>
    <t xml:space="preserve">Passang Tshering</t>
  </si>
  <si>
    <t xml:space="preserve">Transport United (Bhutan)</t>
  </si>
  <si>
    <t xml:space="preserve">Bhutan A-Division</t>
  </si>
  <si>
    <t xml:space="preserve">Won 20–0</t>
  </si>
  <si>
    <t xml:space="preserve">Most league goals in one season</t>
  </si>
  <si>
    <t xml:space="preserve">Johnica Collins</t>
  </si>
  <si>
    <t xml:space="preserve">Pago Youth (American Samoa)</t>
  </si>
  <si>
    <t xml:space="preserve">76</t>
  </si>
  <si>
    <t xml:space="preserve">FFAS Senior League</t>
  </si>
  <si>
    <t xml:space="preserve">Most goals by a substitute in one match</t>
  </si>
  <si>
    <t xml:space="preserve">10</t>
  </si>
  <si>
    <t xml:space="preserve">Fastest goal</t>
  </si>
  <si>
    <t xml:space="preserve">Mike Smith</t>
  </si>
  <si>
    <t xml:space="preserve">Windsor United</t>
  </si>
  <si>
    <t xml:space="preserve">1.1 s</t>
  </si>
  <si>
    <t xml:space="preserve">South Devon League</t>
  </si>
  <si>
    <t xml:space="preserve">Fastest hat-trick</t>
  </si>
  <si>
    <t xml:space="preserve">Magnus Arvidsson</t>
  </si>
  <si>
    <t xml:space="preserve">Hässleholms IF</t>
  </si>
  <si>
    <t xml:space="preserve">1:29</t>
  </si>
  <si>
    <t xml:space="preserve">Swedish 3rd tier</t>
  </si>
  <si>
    <t xml:space="preserve">Latest goal in a match</t>
  </si>
  <si>
    <t xml:space="preserve">Jesús Landa</t>
  </si>
  <si>
    <t xml:space="preserve">Real Betis</t>
  </si>
  <si>
    <t xml:space="preserve">149'</t>
  </si>
  <si>
    <t xml:space="preserve">Copa del Rey</t>
  </si>
  <si>
    <t xml:space="preserve">Played on until someone scored</t>
  </si>
  <si>
    <t xml:space="preserve">Longest-distance goal</t>
  </si>
  <si>
    <t xml:space="preserve">Tom King</t>
  </si>
  <si>
    <t xml:space="preserve">Newport County</t>
  </si>
  <si>
    <t xml:space="preserve">m</t>
  </si>
  <si>
    <t xml:space="preserve">96.01 m</t>
  </si>
  <si>
    <t xml:space="preserve">EFL League Two</t>
  </si>
  <si>
    <t xml:space="preserve">Goalkeeper's clearance</t>
  </si>
  <si>
    <t xml:space="preserve">Longest-distance headed goal</t>
  </si>
  <si>
    <t xml:space="preserve">Jone Samuelsen</t>
  </si>
  <si>
    <t xml:space="preserve">Odd Grenland</t>
  </si>
  <si>
    <t xml:space="preserve">58.13 m</t>
  </si>
  <si>
    <t xml:space="preserve">Tippeligaen</t>
  </si>
  <si>
    <t xml:space="preserve">Highest score in a penalty shoot-out</t>
  </si>
  <si>
    <t xml:space="preserve">Washington v Bedlington</t>
  </si>
  <si>
    <t xml:space="preserve">25–24</t>
  </si>
  <si>
    <t xml:space="preserve">Ernest Armstrong Memorial Cup</t>
  </si>
  <si>
    <t xml:space="preserve">Highest-scoring draw</t>
  </si>
  <si>
    <t xml:space="preserve">Lauenburger SV v Rahlstedter SC</t>
  </si>
  <si>
    <t xml:space="preserve">10–10</t>
  </si>
  <si>
    <t xml:space="preserve">Kreisklasse B</t>
  </si>
  <si>
    <t xml:space="preserve">Also Mchenga v Karonga, Malawi 2007</t>
  </si>
  <si>
    <t xml:space="preserve">Longest football match</t>
  </si>
  <si>
    <t xml:space="preserve">Stockport v Doncaster</t>
  </si>
  <si>
    <t xml:space="preserve">3 h 23 min</t>
  </si>
  <si>
    <t xml:space="preserve">Third Division North Cup</t>
  </si>
  <si>
    <t xml:space="preserve">Ended at 2–2 in darkness</t>
  </si>
  <si>
    <t xml:space="preserve">Most matches played by a team in one day</t>
  </si>
  <si>
    <t xml:space="preserve">Grêmio</t>
  </si>
  <si>
    <t xml:space="preserve">Campeonato Gaúcho</t>
  </si>
  <si>
    <t xml:space="preserve">Oldest football club still active</t>
  </si>
  <si>
    <t xml:space="preserve">Sheffield FC</t>
  </si>
  <si>
    <t xml:space="preserve">year founded</t>
  </si>
  <si>
    <t xml:space="preserve">1857</t>
  </si>
  <si>
    <t xml:space="preserve">—</t>
  </si>
  <si>
    <t xml:space="preserve">First international match</t>
  </si>
  <si>
    <t xml:space="preserve">Scotland v England</t>
  </si>
  <si>
    <t xml:space="preserve">Scotland</t>
  </si>
  <si>
    <t xml:space="preserve">0–0</t>
  </si>
  <si>
    <t xml:space="preserve">Friendly</t>
  </si>
  <si>
    <t xml:space="preserve">30 Nov 1872</t>
  </si>
  <si>
    <t xml:space="preserve">Oldest competition still played</t>
  </si>
  <si>
    <t xml:space="preserve">FA Cup</t>
  </si>
  <si>
    <t xml:space="preserve">1871</t>
  </si>
  <si>
    <t xml:space="preserve">Oldest trophy still awarded</t>
  </si>
  <si>
    <t xml:space="preserve">year made</t>
  </si>
  <si>
    <t xml:space="preserve">1874</t>
  </si>
  <si>
    <t xml:space="preserve">Largest football stadium</t>
  </si>
  <si>
    <t xml:space="preserve">Rungrado 1st of May Stadium</t>
  </si>
  <si>
    <t xml:space="preserve">North Korea</t>
  </si>
  <si>
    <t xml:space="preserve">seats</t>
  </si>
  <si>
    <t xml:space="preserve">150,000</t>
  </si>
  <si>
    <t xml:space="preserve">Pyongyang</t>
  </si>
  <si>
    <t xml:space="preserve">Records</t>
  </si>
  <si>
    <t xml:space="preserve">Checked online</t>
  </si>
  <si>
    <t xml:space="preserve">Oldest (year set)</t>
  </si>
  <si>
    <t xml:space="preserve">Newest (year set)</t>
  </si>
  <si>
    <t xml:space="preserve">Total</t>
  </si>
  <si>
    <t xml:space="preserve">Sportrankle – Football Records (state: 25 September 2026)</t>
  </si>
  <si>
    <t xml:space="preserve">Reference year (edit)</t>
  </si>
  <si>
    <t xml:space="preserve">Numeric value for sorting. Times are stored in seconds (see 'Display'), ages in years, fees in € million.</t>
  </si>
  <si>
    <t xml:space="preserve">Reference year minus Year set. Change B3 to update.</t>
  </si>
  <si>
    <t xml:space="preserve">Check: Checked online Sept 2026</t>
  </si>
  <si>
    <t xml:space="preserve">Holder and value confirmed on 25 Sept 2026 against FIFA, UEFA, league sites, Guinness World Records or major outlets (Sky Sports, ESPN, AP, Olympics.com, Wikipedia records lists).</t>
  </si>
  <si>
    <t xml:space="preserve">Check: Stable – unchanged since set</t>
  </si>
  <si>
    <t xml:space="preserve">Historic records with no change as of Sept 2026 (holder retired, competition ended, or nobody close).</t>
  </si>
  <si>
    <t xml:space="preserve">Active players</t>
  </si>
  <si>
    <t xml:space="preserve">Ronaldo's international goals, caps and career goals keep moving – values are frozen at 24 Sept 2026.</t>
  </si>
  <si>
    <t xml:space="preserve">Left out on purpose</t>
  </si>
  <si>
    <t xml:space="preserve">Records whose current value could not be confirmed for Sept 2026, e.g. La Liga/Serie A/Ligue 1 title counts (2025–26 champions not confirmed), Messi's trophy count, Premier League appearance record (Milner still active), Unai Simón's final World Cup clean-sheet minutes, final 2026 World Cup goal and attendance totals.</t>
  </si>
  <si>
    <t xml:space="preserve">Comparability</t>
  </si>
  <si>
    <t xml:space="preserve">Units differ between rows – rank within the same unit, or use 'Year set' / 'Years standing' across all records.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</si>
</sst>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otballRecords" displayName="FootballRecords" ref="A1:N161" headerRowCount="1" totalsRowCount="0" totalsRowShown="0">
  <autoFilter ref="A1:N161"/>
  <tableColumns count="14">
    <tableColumn id="1" name="ID"/>
    <tableColumn id="2" name="Category"/>
    <tableColumn id="3" name="Record"/>
    <tableColumn id="4" name="Holder"/>
    <tableColumn id="5" name="Nation / Club"/>
    <tableColumn id="6" name="Gender"/>
    <tableColumn id="7" name="Value"/>
    <tableColumn id="8" name="Unit"/>
    <tableColumn id="9" name="Display"/>
    <tableColumn id="10" name="Year set"/>
    <tableColumn id="11" name="Years standing"/>
    <tableColumn id="12" name="Competition"/>
    <tableColumn id="13" name="Check"/>
    <tableColumn id="14" name="N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26"/>
    <col collapsed="false" customWidth="true" hidden="false" outlineLevel="0" max="14" min="14" style="0" width="42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n">
        <v>22</v>
      </c>
      <c r="H2" s="2" t="s">
        <v>19</v>
      </c>
      <c r="I2" s="2" t="s">
        <v>20</v>
      </c>
      <c r="J2" s="2" t="n">
        <v>2026</v>
      </c>
      <c r="K2" s="2" t="n">
        <f aca="false">'Notes &amp; Sources'!$B$3-J2</f>
        <v>0</v>
      </c>
      <c r="L2" s="2" t="s">
        <v>21</v>
      </c>
      <c r="M2" s="2" t="s">
        <v>22</v>
      </c>
      <c r="N2" s="2" t="s">
        <v>23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24</v>
      </c>
      <c r="D3" s="2" t="s">
        <v>25</v>
      </c>
      <c r="E3" s="2" t="s">
        <v>26</v>
      </c>
      <c r="F3" s="2" t="s">
        <v>18</v>
      </c>
      <c r="G3" s="3" t="n">
        <v>34</v>
      </c>
      <c r="H3" s="2" t="s">
        <v>27</v>
      </c>
      <c r="I3" s="2" t="s">
        <v>28</v>
      </c>
      <c r="J3" s="2" t="n">
        <v>2026</v>
      </c>
      <c r="K3" s="2" t="n">
        <f aca="false">'Notes &amp; Sources'!$B$3-J3</f>
        <v>0</v>
      </c>
      <c r="L3" s="2" t="s">
        <v>21</v>
      </c>
      <c r="M3" s="2" t="s">
        <v>22</v>
      </c>
      <c r="N3" s="2"/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29</v>
      </c>
      <c r="D4" s="2" t="s">
        <v>30</v>
      </c>
      <c r="E4" s="2" t="s">
        <v>17</v>
      </c>
      <c r="F4" s="2" t="s">
        <v>18</v>
      </c>
      <c r="G4" s="3" t="n">
        <v>13</v>
      </c>
      <c r="H4" s="2" t="s">
        <v>19</v>
      </c>
      <c r="I4" s="2" t="s">
        <v>31</v>
      </c>
      <c r="J4" s="2" t="n">
        <v>1958</v>
      </c>
      <c r="K4" s="2" t="n">
        <f aca="false">'Notes &amp; Sources'!$B$3-J4</f>
        <v>68</v>
      </c>
      <c r="L4" s="2" t="s">
        <v>21</v>
      </c>
      <c r="M4" s="2" t="s">
        <v>22</v>
      </c>
      <c r="N4" s="2" t="s">
        <v>32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33</v>
      </c>
      <c r="D5" s="2" t="s">
        <v>34</v>
      </c>
      <c r="E5" s="2" t="s">
        <v>34</v>
      </c>
      <c r="F5" s="2" t="s">
        <v>35</v>
      </c>
      <c r="G5" s="3" t="n">
        <v>5</v>
      </c>
      <c r="H5" s="2" t="s">
        <v>36</v>
      </c>
      <c r="I5" s="2" t="s">
        <v>37</v>
      </c>
      <c r="J5" s="2" t="n">
        <v>2002</v>
      </c>
      <c r="K5" s="2" t="n">
        <f aca="false">'Notes &amp; Sources'!$B$3-J5</f>
        <v>24</v>
      </c>
      <c r="L5" s="2" t="s">
        <v>21</v>
      </c>
      <c r="M5" s="2" t="s">
        <v>22</v>
      </c>
      <c r="N5" s="2" t="s">
        <v>38</v>
      </c>
    </row>
    <row r="6" customFormat="false" ht="15" hidden="false" customHeight="false" outlineLevel="0" collapsed="false">
      <c r="A6" s="2" t="n">
        <v>5</v>
      </c>
      <c r="B6" s="2" t="s">
        <v>14</v>
      </c>
      <c r="C6" s="2" t="s">
        <v>39</v>
      </c>
      <c r="D6" s="2" t="s">
        <v>40</v>
      </c>
      <c r="E6" s="2" t="s">
        <v>40</v>
      </c>
      <c r="F6" s="2" t="s">
        <v>35</v>
      </c>
      <c r="G6" s="3" t="n">
        <v>8</v>
      </c>
      <c r="H6" s="2" t="s">
        <v>41</v>
      </c>
      <c r="I6" s="2" t="s">
        <v>42</v>
      </c>
      <c r="J6" s="2" t="n">
        <v>2014</v>
      </c>
      <c r="K6" s="2" t="n">
        <f aca="false">'Notes &amp; Sources'!$B$3-J6</f>
        <v>12</v>
      </c>
      <c r="L6" s="2" t="s">
        <v>21</v>
      </c>
      <c r="M6" s="2" t="s">
        <v>43</v>
      </c>
      <c r="N6" s="2"/>
    </row>
    <row r="7" customFormat="false" ht="15" hidden="false" customHeight="false" outlineLevel="0" collapsed="false">
      <c r="A7" s="2" t="n">
        <v>6</v>
      </c>
      <c r="B7" s="2" t="s">
        <v>14</v>
      </c>
      <c r="C7" s="2" t="s">
        <v>44</v>
      </c>
      <c r="D7" s="2" t="s">
        <v>45</v>
      </c>
      <c r="E7" s="2" t="s">
        <v>34</v>
      </c>
      <c r="F7" s="2" t="s">
        <v>18</v>
      </c>
      <c r="G7" s="3" t="n">
        <v>3</v>
      </c>
      <c r="H7" s="2" t="s">
        <v>36</v>
      </c>
      <c r="I7" s="2" t="s">
        <v>46</v>
      </c>
      <c r="J7" s="2" t="n">
        <v>1970</v>
      </c>
      <c r="K7" s="2" t="n">
        <f aca="false">'Notes &amp; Sources'!$B$3-J7</f>
        <v>56</v>
      </c>
      <c r="L7" s="2" t="s">
        <v>21</v>
      </c>
      <c r="M7" s="2" t="s">
        <v>43</v>
      </c>
      <c r="N7" s="2"/>
    </row>
    <row r="8" customFormat="false" ht="15" hidden="false" customHeight="false" outlineLevel="0" collapsed="false">
      <c r="A8" s="2" t="n">
        <v>7</v>
      </c>
      <c r="B8" s="2" t="s">
        <v>14</v>
      </c>
      <c r="C8" s="2" t="s">
        <v>47</v>
      </c>
      <c r="D8" s="2" t="s">
        <v>48</v>
      </c>
      <c r="E8" s="2" t="s">
        <v>49</v>
      </c>
      <c r="F8" s="2" t="s">
        <v>18</v>
      </c>
      <c r="G8" s="3" t="n">
        <v>2</v>
      </c>
      <c r="H8" s="2" t="s">
        <v>36</v>
      </c>
      <c r="I8" s="2" t="s">
        <v>50</v>
      </c>
      <c r="J8" s="2" t="n">
        <v>1938</v>
      </c>
      <c r="K8" s="2" t="n">
        <f aca="false">'Notes &amp; Sources'!$B$3-J8</f>
        <v>88</v>
      </c>
      <c r="L8" s="2" t="s">
        <v>21</v>
      </c>
      <c r="M8" s="2" t="s">
        <v>43</v>
      </c>
      <c r="N8" s="2"/>
    </row>
    <row r="9" customFormat="false" ht="15" hidden="false" customHeight="false" outlineLevel="0" collapsed="false">
      <c r="A9" s="2" t="n">
        <v>8</v>
      </c>
      <c r="B9" s="2" t="s">
        <v>14</v>
      </c>
      <c r="C9" s="2" t="s">
        <v>51</v>
      </c>
      <c r="D9" s="2" t="s">
        <v>16</v>
      </c>
      <c r="E9" s="2" t="s">
        <v>17</v>
      </c>
      <c r="F9" s="2" t="s">
        <v>18</v>
      </c>
      <c r="G9" s="3" t="n">
        <v>2</v>
      </c>
      <c r="H9" s="2" t="s">
        <v>52</v>
      </c>
      <c r="I9" s="2" t="s">
        <v>50</v>
      </c>
      <c r="J9" s="2" t="n">
        <v>2026</v>
      </c>
      <c r="K9" s="2" t="n">
        <f aca="false">'Notes &amp; Sources'!$B$3-J9</f>
        <v>0</v>
      </c>
      <c r="L9" s="2" t="s">
        <v>21</v>
      </c>
      <c r="M9" s="2" t="s">
        <v>22</v>
      </c>
      <c r="N9" s="2" t="s">
        <v>53</v>
      </c>
    </row>
    <row r="10" customFormat="false" ht="15" hidden="false" customHeight="false" outlineLevel="0" collapsed="false">
      <c r="A10" s="2" t="n">
        <v>9</v>
      </c>
      <c r="B10" s="2" t="s">
        <v>14</v>
      </c>
      <c r="C10" s="2" t="s">
        <v>54</v>
      </c>
      <c r="D10" s="2" t="s">
        <v>55</v>
      </c>
      <c r="E10" s="2" t="s">
        <v>56</v>
      </c>
      <c r="F10" s="2" t="s">
        <v>18</v>
      </c>
      <c r="G10" s="3" t="n">
        <v>6</v>
      </c>
      <c r="H10" s="2" t="s">
        <v>57</v>
      </c>
      <c r="I10" s="2" t="s">
        <v>58</v>
      </c>
      <c r="J10" s="2" t="n">
        <v>2026</v>
      </c>
      <c r="K10" s="2" t="n">
        <f aca="false">'Notes &amp; Sources'!$B$3-J10</f>
        <v>0</v>
      </c>
      <c r="L10" s="2" t="s">
        <v>21</v>
      </c>
      <c r="M10" s="2" t="s">
        <v>22</v>
      </c>
      <c r="N10" s="2" t="s">
        <v>59</v>
      </c>
    </row>
    <row r="11" customFormat="false" ht="15" hidden="false" customHeight="false" outlineLevel="0" collapsed="false">
      <c r="A11" s="2" t="n">
        <v>10</v>
      </c>
      <c r="B11" s="2" t="s">
        <v>14</v>
      </c>
      <c r="C11" s="2" t="s">
        <v>60</v>
      </c>
      <c r="D11" s="2" t="s">
        <v>61</v>
      </c>
      <c r="E11" s="2" t="s">
        <v>62</v>
      </c>
      <c r="F11" s="2" t="s">
        <v>18</v>
      </c>
      <c r="G11" s="3" t="n">
        <v>42.11</v>
      </c>
      <c r="H11" s="2" t="s">
        <v>63</v>
      </c>
      <c r="I11" s="2" t="s">
        <v>64</v>
      </c>
      <c r="J11" s="2" t="n">
        <v>1994</v>
      </c>
      <c r="K11" s="2" t="n">
        <f aca="false">'Notes &amp; Sources'!$B$3-J11</f>
        <v>32</v>
      </c>
      <c r="L11" s="2" t="s">
        <v>21</v>
      </c>
      <c r="M11" s="2" t="s">
        <v>43</v>
      </c>
      <c r="N11" s="2"/>
    </row>
    <row r="12" customFormat="false" ht="15" hidden="false" customHeight="false" outlineLevel="0" collapsed="false">
      <c r="A12" s="2" t="n">
        <v>11</v>
      </c>
      <c r="B12" s="2" t="s">
        <v>14</v>
      </c>
      <c r="C12" s="2" t="s">
        <v>65</v>
      </c>
      <c r="D12" s="2" t="s">
        <v>66</v>
      </c>
      <c r="E12" s="2" t="s">
        <v>66</v>
      </c>
      <c r="F12" s="2" t="s">
        <v>35</v>
      </c>
      <c r="G12" s="3" t="n">
        <v>4</v>
      </c>
      <c r="H12" s="2" t="s">
        <v>36</v>
      </c>
      <c r="I12" s="2" t="s">
        <v>67</v>
      </c>
      <c r="J12" s="2" t="n">
        <v>2019</v>
      </c>
      <c r="K12" s="2" t="n">
        <f aca="false">'Notes &amp; Sources'!$B$3-J12</f>
        <v>7</v>
      </c>
      <c r="L12" s="2" t="s">
        <v>68</v>
      </c>
      <c r="M12" s="2" t="s">
        <v>43</v>
      </c>
      <c r="N12" s="2"/>
    </row>
    <row r="13" customFormat="false" ht="15" hidden="false" customHeight="false" outlineLevel="0" collapsed="false">
      <c r="A13" s="2" t="n">
        <v>12</v>
      </c>
      <c r="B13" s="2" t="s">
        <v>14</v>
      </c>
      <c r="C13" s="2" t="s">
        <v>69</v>
      </c>
      <c r="D13" s="2" t="s">
        <v>70</v>
      </c>
      <c r="E13" s="2" t="s">
        <v>34</v>
      </c>
      <c r="F13" s="2" t="s">
        <v>71</v>
      </c>
      <c r="G13" s="3" t="n">
        <v>17</v>
      </c>
      <c r="H13" s="2" t="s">
        <v>19</v>
      </c>
      <c r="I13" s="2" t="s">
        <v>72</v>
      </c>
      <c r="J13" s="2" t="n">
        <v>2019</v>
      </c>
      <c r="K13" s="2" t="n">
        <f aca="false">'Notes &amp; Sources'!$B$3-J13</f>
        <v>7</v>
      </c>
      <c r="L13" s="2" t="s">
        <v>68</v>
      </c>
      <c r="M13" s="2" t="s">
        <v>43</v>
      </c>
      <c r="N13" s="2"/>
    </row>
    <row r="14" customFormat="false" ht="15" hidden="false" customHeight="false" outlineLevel="0" collapsed="false">
      <c r="A14" s="2" t="n">
        <v>13</v>
      </c>
      <c r="B14" s="2" t="s">
        <v>73</v>
      </c>
      <c r="C14" s="2" t="s">
        <v>74</v>
      </c>
      <c r="D14" s="2" t="s">
        <v>55</v>
      </c>
      <c r="E14" s="2" t="s">
        <v>56</v>
      </c>
      <c r="F14" s="2" t="s">
        <v>18</v>
      </c>
      <c r="G14" s="3" t="n">
        <v>146</v>
      </c>
      <c r="H14" s="2" t="s">
        <v>19</v>
      </c>
      <c r="I14" s="2" t="s">
        <v>75</v>
      </c>
      <c r="J14" s="2" t="n">
        <v>2026</v>
      </c>
      <c r="K14" s="2" t="n">
        <f aca="false">'Notes &amp; Sources'!$B$3-J14</f>
        <v>0</v>
      </c>
      <c r="L14" s="2" t="s">
        <v>76</v>
      </c>
      <c r="M14" s="2" t="s">
        <v>22</v>
      </c>
      <c r="N14" s="2" t="s">
        <v>77</v>
      </c>
    </row>
    <row r="15" customFormat="false" ht="15" hidden="false" customHeight="false" outlineLevel="0" collapsed="false">
      <c r="A15" s="2" t="n">
        <v>14</v>
      </c>
      <c r="B15" s="2" t="s">
        <v>73</v>
      </c>
      <c r="C15" s="2" t="s">
        <v>78</v>
      </c>
      <c r="D15" s="2" t="s">
        <v>55</v>
      </c>
      <c r="E15" s="2" t="s">
        <v>56</v>
      </c>
      <c r="F15" s="2" t="s">
        <v>18</v>
      </c>
      <c r="G15" s="3" t="n">
        <v>234</v>
      </c>
      <c r="H15" s="2" t="s">
        <v>79</v>
      </c>
      <c r="I15" s="2" t="s">
        <v>80</v>
      </c>
      <c r="J15" s="2" t="n">
        <v>2026</v>
      </c>
      <c r="K15" s="2" t="n">
        <f aca="false">'Notes &amp; Sources'!$B$3-J15</f>
        <v>0</v>
      </c>
      <c r="L15" s="2" t="s">
        <v>76</v>
      </c>
      <c r="M15" s="2" t="s">
        <v>22</v>
      </c>
      <c r="N15" s="2" t="s">
        <v>81</v>
      </c>
    </row>
    <row r="16" customFormat="false" ht="15" hidden="false" customHeight="false" outlineLevel="0" collapsed="false">
      <c r="A16" s="2" t="n">
        <v>15</v>
      </c>
      <c r="B16" s="2" t="s">
        <v>73</v>
      </c>
      <c r="C16" s="2" t="s">
        <v>82</v>
      </c>
      <c r="D16" s="2" t="s">
        <v>55</v>
      </c>
      <c r="E16" s="2" t="s">
        <v>56</v>
      </c>
      <c r="F16" s="2" t="s">
        <v>18</v>
      </c>
      <c r="G16" s="3" t="n">
        <v>23</v>
      </c>
      <c r="H16" s="2" t="s">
        <v>63</v>
      </c>
      <c r="I16" s="2" t="s">
        <v>83</v>
      </c>
      <c r="J16" s="2" t="n">
        <v>2026</v>
      </c>
      <c r="K16" s="2" t="n">
        <f aca="false">'Notes &amp; Sources'!$B$3-J16</f>
        <v>0</v>
      </c>
      <c r="L16" s="2" t="s">
        <v>76</v>
      </c>
      <c r="M16" s="2" t="s">
        <v>22</v>
      </c>
      <c r="N16" s="2" t="s">
        <v>84</v>
      </c>
    </row>
    <row r="17" customFormat="false" ht="15" hidden="false" customHeight="false" outlineLevel="0" collapsed="false">
      <c r="A17" s="2" t="n">
        <v>16</v>
      </c>
      <c r="B17" s="2" t="s">
        <v>73</v>
      </c>
      <c r="C17" s="2" t="s">
        <v>85</v>
      </c>
      <c r="D17" s="2" t="s">
        <v>86</v>
      </c>
      <c r="E17" s="2" t="s">
        <v>87</v>
      </c>
      <c r="F17" s="2" t="s">
        <v>18</v>
      </c>
      <c r="G17" s="3" t="n">
        <v>13</v>
      </c>
      <c r="H17" s="2" t="s">
        <v>19</v>
      </c>
      <c r="I17" s="2" t="s">
        <v>31</v>
      </c>
      <c r="J17" s="2" t="n">
        <v>2001</v>
      </c>
      <c r="K17" s="2" t="n">
        <f aca="false">'Notes &amp; Sources'!$B$3-J17</f>
        <v>25</v>
      </c>
      <c r="L17" s="2" t="s">
        <v>76</v>
      </c>
      <c r="M17" s="2" t="s">
        <v>43</v>
      </c>
      <c r="N17" s="2" t="s">
        <v>88</v>
      </c>
    </row>
    <row r="18" customFormat="false" ht="15" hidden="false" customHeight="false" outlineLevel="0" collapsed="false">
      <c r="A18" s="2" t="n">
        <v>17</v>
      </c>
      <c r="B18" s="2" t="s">
        <v>73</v>
      </c>
      <c r="C18" s="2" t="s">
        <v>89</v>
      </c>
      <c r="D18" s="2" t="s">
        <v>87</v>
      </c>
      <c r="E18" s="2" t="s">
        <v>87</v>
      </c>
      <c r="F18" s="2" t="s">
        <v>35</v>
      </c>
      <c r="G18" s="3" t="n">
        <v>31</v>
      </c>
      <c r="H18" s="2" t="s">
        <v>19</v>
      </c>
      <c r="I18" s="2" t="s">
        <v>90</v>
      </c>
      <c r="J18" s="2" t="n">
        <v>2001</v>
      </c>
      <c r="K18" s="2" t="n">
        <f aca="false">'Notes &amp; Sources'!$B$3-J18</f>
        <v>25</v>
      </c>
      <c r="L18" s="2" t="s">
        <v>76</v>
      </c>
      <c r="M18" s="2" t="s">
        <v>43</v>
      </c>
      <c r="N18" s="2" t="s">
        <v>88</v>
      </c>
    </row>
    <row r="19" customFormat="false" ht="15" hidden="false" customHeight="false" outlineLevel="0" collapsed="false">
      <c r="A19" s="2" t="n">
        <v>18</v>
      </c>
      <c r="B19" s="2" t="s">
        <v>73</v>
      </c>
      <c r="C19" s="2" t="s">
        <v>91</v>
      </c>
      <c r="D19" s="2" t="s">
        <v>92</v>
      </c>
      <c r="E19" s="2" t="s">
        <v>93</v>
      </c>
      <c r="F19" s="2" t="s">
        <v>71</v>
      </c>
      <c r="G19" s="3" t="n">
        <v>190</v>
      </c>
      <c r="H19" s="2" t="s">
        <v>19</v>
      </c>
      <c r="I19" s="2" t="s">
        <v>94</v>
      </c>
      <c r="J19" s="2" t="n">
        <v>2023</v>
      </c>
      <c r="K19" s="2" t="n">
        <f aca="false">'Notes &amp; Sources'!$B$3-J19</f>
        <v>3</v>
      </c>
      <c r="L19" s="2" t="s">
        <v>76</v>
      </c>
      <c r="M19" s="2" t="s">
        <v>43</v>
      </c>
      <c r="N19" s="2"/>
    </row>
    <row r="20" customFormat="false" ht="15" hidden="false" customHeight="false" outlineLevel="0" collapsed="false">
      <c r="A20" s="2" t="n">
        <v>19</v>
      </c>
      <c r="B20" s="2" t="s">
        <v>73</v>
      </c>
      <c r="C20" s="2" t="s">
        <v>95</v>
      </c>
      <c r="D20" s="2" t="s">
        <v>96</v>
      </c>
      <c r="E20" s="2" t="s">
        <v>66</v>
      </c>
      <c r="F20" s="2" t="s">
        <v>71</v>
      </c>
      <c r="G20" s="3" t="n">
        <v>354</v>
      </c>
      <c r="H20" s="2" t="s">
        <v>79</v>
      </c>
      <c r="I20" s="2" t="s">
        <v>97</v>
      </c>
      <c r="J20" s="2" t="n">
        <v>2010</v>
      </c>
      <c r="K20" s="2" t="n">
        <f aca="false">'Notes &amp; Sources'!$B$3-J20</f>
        <v>16</v>
      </c>
      <c r="L20" s="2" t="s">
        <v>76</v>
      </c>
      <c r="M20" s="2" t="s">
        <v>43</v>
      </c>
      <c r="N20" s="2"/>
    </row>
    <row r="21" customFormat="false" ht="15" hidden="false" customHeight="false" outlineLevel="0" collapsed="false">
      <c r="A21" s="2" t="n">
        <v>20</v>
      </c>
      <c r="B21" s="2" t="s">
        <v>73</v>
      </c>
      <c r="C21" s="2" t="s">
        <v>98</v>
      </c>
      <c r="D21" s="2" t="s">
        <v>99</v>
      </c>
      <c r="E21" s="2" t="s">
        <v>99</v>
      </c>
      <c r="F21" s="2" t="s">
        <v>35</v>
      </c>
      <c r="G21" s="3" t="n">
        <v>4</v>
      </c>
      <c r="H21" s="2" t="s">
        <v>36</v>
      </c>
      <c r="I21" s="2" t="s">
        <v>67</v>
      </c>
      <c r="J21" s="2" t="n">
        <v>2024</v>
      </c>
      <c r="K21" s="2" t="n">
        <f aca="false">'Notes &amp; Sources'!$B$3-J21</f>
        <v>2</v>
      </c>
      <c r="L21" s="2" t="s">
        <v>100</v>
      </c>
      <c r="M21" s="2" t="s">
        <v>43</v>
      </c>
      <c r="N21" s="2"/>
    </row>
    <row r="22" customFormat="false" ht="15" hidden="false" customHeight="false" outlineLevel="0" collapsed="false">
      <c r="A22" s="2" t="n">
        <v>21</v>
      </c>
      <c r="B22" s="2" t="s">
        <v>73</v>
      </c>
      <c r="C22" s="2" t="s">
        <v>101</v>
      </c>
      <c r="D22" s="2" t="s">
        <v>55</v>
      </c>
      <c r="E22" s="2" t="s">
        <v>56</v>
      </c>
      <c r="F22" s="2" t="s">
        <v>18</v>
      </c>
      <c r="G22" s="3" t="n">
        <v>14</v>
      </c>
      <c r="H22" s="2" t="s">
        <v>19</v>
      </c>
      <c r="I22" s="2" t="s">
        <v>102</v>
      </c>
      <c r="J22" s="2" t="n">
        <v>2021</v>
      </c>
      <c r="K22" s="2" t="n">
        <f aca="false">'Notes &amp; Sources'!$B$3-J22</f>
        <v>5</v>
      </c>
      <c r="L22" s="2" t="s">
        <v>100</v>
      </c>
      <c r="M22" s="2" t="s">
        <v>43</v>
      </c>
      <c r="N22" s="2"/>
    </row>
    <row r="23" customFormat="false" ht="15" hidden="false" customHeight="false" outlineLevel="0" collapsed="false">
      <c r="A23" s="2" t="n">
        <v>22</v>
      </c>
      <c r="B23" s="2" t="s">
        <v>73</v>
      </c>
      <c r="C23" s="2" t="s">
        <v>103</v>
      </c>
      <c r="D23" s="2" t="s">
        <v>104</v>
      </c>
      <c r="E23" s="2" t="s">
        <v>17</v>
      </c>
      <c r="F23" s="2" t="s">
        <v>18</v>
      </c>
      <c r="G23" s="3" t="n">
        <v>9</v>
      </c>
      <c r="H23" s="2" t="s">
        <v>19</v>
      </c>
      <c r="I23" s="2" t="s">
        <v>105</v>
      </c>
      <c r="J23" s="2" t="n">
        <v>1984</v>
      </c>
      <c r="K23" s="2" t="n">
        <f aca="false">'Notes &amp; Sources'!$B$3-J23</f>
        <v>42</v>
      </c>
      <c r="L23" s="2" t="s">
        <v>100</v>
      </c>
      <c r="M23" s="2" t="s">
        <v>43</v>
      </c>
      <c r="N23" s="2"/>
    </row>
    <row r="24" customFormat="false" ht="15" hidden="false" customHeight="false" outlineLevel="0" collapsed="false">
      <c r="A24" s="2" t="n">
        <v>23</v>
      </c>
      <c r="B24" s="2" t="s">
        <v>73</v>
      </c>
      <c r="C24" s="2" t="s">
        <v>106</v>
      </c>
      <c r="D24" s="2" t="s">
        <v>107</v>
      </c>
      <c r="E24" s="2" t="s">
        <v>99</v>
      </c>
      <c r="F24" s="2" t="s">
        <v>18</v>
      </c>
      <c r="G24" s="3" t="n">
        <v>16.99</v>
      </c>
      <c r="H24" s="2" t="s">
        <v>63</v>
      </c>
      <c r="I24" s="2" t="s">
        <v>108</v>
      </c>
      <c r="J24" s="2" t="n">
        <v>2024</v>
      </c>
      <c r="K24" s="2" t="n">
        <f aca="false">'Notes &amp; Sources'!$B$3-J24</f>
        <v>2</v>
      </c>
      <c r="L24" s="2" t="s">
        <v>100</v>
      </c>
      <c r="M24" s="2" t="s">
        <v>43</v>
      </c>
      <c r="N24" s="2"/>
    </row>
    <row r="25" customFormat="false" ht="15" hidden="false" customHeight="false" outlineLevel="0" collapsed="false">
      <c r="A25" s="2" t="n">
        <v>24</v>
      </c>
      <c r="B25" s="2" t="s">
        <v>73</v>
      </c>
      <c r="C25" s="2" t="s">
        <v>109</v>
      </c>
      <c r="D25" s="2" t="s">
        <v>26</v>
      </c>
      <c r="E25" s="2" t="s">
        <v>26</v>
      </c>
      <c r="F25" s="2" t="s">
        <v>35</v>
      </c>
      <c r="G25" s="3" t="n">
        <v>16</v>
      </c>
      <c r="H25" s="2" t="s">
        <v>36</v>
      </c>
      <c r="I25" s="2" t="s">
        <v>110</v>
      </c>
      <c r="J25" s="2" t="n">
        <v>2024</v>
      </c>
      <c r="K25" s="2" t="n">
        <f aca="false">'Notes &amp; Sources'!$B$3-J25</f>
        <v>2</v>
      </c>
      <c r="L25" s="2" t="s">
        <v>111</v>
      </c>
      <c r="M25" s="2" t="s">
        <v>43</v>
      </c>
      <c r="N25" s="2"/>
    </row>
    <row r="26" customFormat="false" ht="15" hidden="false" customHeight="false" outlineLevel="0" collapsed="false">
      <c r="A26" s="2" t="n">
        <v>25</v>
      </c>
      <c r="B26" s="2" t="s">
        <v>112</v>
      </c>
      <c r="C26" s="2" t="s">
        <v>113</v>
      </c>
      <c r="D26" s="2" t="s">
        <v>114</v>
      </c>
      <c r="E26" s="2" t="s">
        <v>114</v>
      </c>
      <c r="F26" s="2" t="s">
        <v>35</v>
      </c>
      <c r="G26" s="3" t="n">
        <v>15</v>
      </c>
      <c r="H26" s="2" t="s">
        <v>36</v>
      </c>
      <c r="I26" s="2" t="s">
        <v>115</v>
      </c>
      <c r="J26" s="2" t="n">
        <v>2024</v>
      </c>
      <c r="K26" s="2" t="n">
        <f aca="false">'Notes &amp; Sources'!$B$3-J26</f>
        <v>2</v>
      </c>
      <c r="L26" s="2" t="s">
        <v>116</v>
      </c>
      <c r="M26" s="2" t="s">
        <v>22</v>
      </c>
      <c r="N26" s="2" t="s">
        <v>117</v>
      </c>
    </row>
    <row r="27" customFormat="false" ht="15" hidden="false" customHeight="false" outlineLevel="0" collapsed="false">
      <c r="A27" s="2" t="n">
        <v>26</v>
      </c>
      <c r="B27" s="2" t="s">
        <v>112</v>
      </c>
      <c r="C27" s="2" t="s">
        <v>118</v>
      </c>
      <c r="D27" s="2" t="s">
        <v>119</v>
      </c>
      <c r="E27" s="2" t="s">
        <v>114</v>
      </c>
      <c r="F27" s="2" t="s">
        <v>18</v>
      </c>
      <c r="G27" s="3" t="n">
        <v>6</v>
      </c>
      <c r="H27" s="2" t="s">
        <v>36</v>
      </c>
      <c r="I27" s="2" t="s">
        <v>58</v>
      </c>
      <c r="J27" s="2" t="n">
        <v>1966</v>
      </c>
      <c r="K27" s="2" t="n">
        <f aca="false">'Notes &amp; Sources'!$B$3-J27</f>
        <v>60</v>
      </c>
      <c r="L27" s="2" t="s">
        <v>116</v>
      </c>
      <c r="M27" s="2" t="s">
        <v>43</v>
      </c>
      <c r="N27" s="2" t="s">
        <v>120</v>
      </c>
    </row>
    <row r="28" customFormat="false" ht="15" hidden="false" customHeight="false" outlineLevel="0" collapsed="false">
      <c r="A28" s="2" t="n">
        <v>27</v>
      </c>
      <c r="B28" s="2" t="s">
        <v>112</v>
      </c>
      <c r="C28" s="2" t="s">
        <v>121</v>
      </c>
      <c r="D28" s="2" t="s">
        <v>55</v>
      </c>
      <c r="E28" s="2" t="s">
        <v>56</v>
      </c>
      <c r="F28" s="2" t="s">
        <v>18</v>
      </c>
      <c r="G28" s="3" t="n">
        <v>140</v>
      </c>
      <c r="H28" s="2" t="s">
        <v>19</v>
      </c>
      <c r="I28" s="2" t="s">
        <v>122</v>
      </c>
      <c r="J28" s="2" t="n">
        <v>2022</v>
      </c>
      <c r="K28" s="2" t="n">
        <f aca="false">'Notes &amp; Sources'!$B$3-J28</f>
        <v>4</v>
      </c>
      <c r="L28" s="2" t="s">
        <v>116</v>
      </c>
      <c r="M28" s="2" t="s">
        <v>43</v>
      </c>
      <c r="N28" s="2" t="s">
        <v>123</v>
      </c>
    </row>
    <row r="29" customFormat="false" ht="15" hidden="false" customHeight="false" outlineLevel="0" collapsed="false">
      <c r="A29" s="2" t="n">
        <v>28</v>
      </c>
      <c r="B29" s="2" t="s">
        <v>112</v>
      </c>
      <c r="C29" s="2" t="s">
        <v>124</v>
      </c>
      <c r="D29" s="2" t="s">
        <v>55</v>
      </c>
      <c r="E29" s="2" t="s">
        <v>56</v>
      </c>
      <c r="F29" s="2" t="s">
        <v>18</v>
      </c>
      <c r="G29" s="3" t="n">
        <v>183</v>
      </c>
      <c r="H29" s="2" t="s">
        <v>27</v>
      </c>
      <c r="I29" s="2" t="s">
        <v>125</v>
      </c>
      <c r="J29" s="2" t="n">
        <v>2022</v>
      </c>
      <c r="K29" s="2" t="n">
        <f aca="false">'Notes &amp; Sources'!$B$3-J29</f>
        <v>4</v>
      </c>
      <c r="L29" s="2" t="s">
        <v>116</v>
      </c>
      <c r="M29" s="2" t="s">
        <v>43</v>
      </c>
      <c r="N29" s="2"/>
    </row>
    <row r="30" customFormat="false" ht="15" hidden="false" customHeight="false" outlineLevel="0" collapsed="false">
      <c r="A30" s="2" t="n">
        <v>29</v>
      </c>
      <c r="B30" s="2" t="s">
        <v>112</v>
      </c>
      <c r="C30" s="2" t="s">
        <v>126</v>
      </c>
      <c r="D30" s="2" t="s">
        <v>25</v>
      </c>
      <c r="E30" s="2" t="s">
        <v>127</v>
      </c>
      <c r="F30" s="2" t="s">
        <v>18</v>
      </c>
      <c r="G30" s="3" t="n">
        <v>120</v>
      </c>
      <c r="H30" s="2" t="s">
        <v>19</v>
      </c>
      <c r="I30" s="2" t="s">
        <v>128</v>
      </c>
      <c r="J30" s="2" t="n">
        <v>2021</v>
      </c>
      <c r="K30" s="2" t="n">
        <f aca="false">'Notes &amp; Sources'!$B$3-J30</f>
        <v>5</v>
      </c>
      <c r="L30" s="2" t="s">
        <v>116</v>
      </c>
      <c r="M30" s="2" t="s">
        <v>43</v>
      </c>
      <c r="N30" s="2"/>
    </row>
    <row r="31" customFormat="false" ht="15" hidden="false" customHeight="false" outlineLevel="0" collapsed="false">
      <c r="A31" s="2" t="n">
        <v>30</v>
      </c>
      <c r="B31" s="2" t="s">
        <v>112</v>
      </c>
      <c r="C31" s="2" t="s">
        <v>129</v>
      </c>
      <c r="D31" s="2" t="s">
        <v>130</v>
      </c>
      <c r="E31" s="2" t="s">
        <v>131</v>
      </c>
      <c r="F31" s="2" t="s">
        <v>18</v>
      </c>
      <c r="G31" s="3" t="n">
        <v>5</v>
      </c>
      <c r="H31" s="2" t="s">
        <v>19</v>
      </c>
      <c r="I31" s="2" t="s">
        <v>37</v>
      </c>
      <c r="J31" s="2" t="n">
        <v>2023</v>
      </c>
      <c r="K31" s="2" t="n">
        <f aca="false">'Notes &amp; Sources'!$B$3-J31</f>
        <v>3</v>
      </c>
      <c r="L31" s="2" t="s">
        <v>116</v>
      </c>
      <c r="M31" s="2" t="s">
        <v>43</v>
      </c>
      <c r="N31" s="2" t="s">
        <v>132</v>
      </c>
    </row>
    <row r="32" customFormat="false" ht="15" hidden="false" customHeight="false" outlineLevel="0" collapsed="false">
      <c r="A32" s="2" t="n">
        <v>31</v>
      </c>
      <c r="B32" s="2" t="s">
        <v>112</v>
      </c>
      <c r="C32" s="2" t="s">
        <v>133</v>
      </c>
      <c r="D32" s="2" t="s">
        <v>134</v>
      </c>
      <c r="E32" s="2" t="s">
        <v>135</v>
      </c>
      <c r="F32" s="2" t="s">
        <v>35</v>
      </c>
      <c r="G32" s="3" t="n">
        <v>5</v>
      </c>
      <c r="H32" s="2" t="s">
        <v>19</v>
      </c>
      <c r="I32" s="2" t="s">
        <v>136</v>
      </c>
      <c r="J32" s="2" t="n">
        <v>2025</v>
      </c>
      <c r="K32" s="2" t="n">
        <f aca="false">'Notes &amp; Sources'!$B$3-J32</f>
        <v>1</v>
      </c>
      <c r="L32" s="2" t="s">
        <v>116</v>
      </c>
      <c r="M32" s="2" t="s">
        <v>22</v>
      </c>
      <c r="N32" s="2"/>
    </row>
    <row r="33" customFormat="false" ht="15" hidden="false" customHeight="false" outlineLevel="0" collapsed="false">
      <c r="A33" s="2" t="n">
        <v>32</v>
      </c>
      <c r="B33" s="2" t="s">
        <v>137</v>
      </c>
      <c r="C33" s="2" t="s">
        <v>138</v>
      </c>
      <c r="D33" s="2" t="s">
        <v>139</v>
      </c>
      <c r="E33" s="2" t="s">
        <v>140</v>
      </c>
      <c r="F33" s="2" t="s">
        <v>18</v>
      </c>
      <c r="G33" s="3" t="n">
        <v>260</v>
      </c>
      <c r="H33" s="2" t="s">
        <v>19</v>
      </c>
      <c r="I33" s="2" t="s">
        <v>141</v>
      </c>
      <c r="J33" s="2" t="n">
        <v>2006</v>
      </c>
      <c r="K33" s="2" t="n">
        <f aca="false">'Notes &amp; Sources'!$B$3-J33</f>
        <v>20</v>
      </c>
      <c r="L33" s="2" t="s">
        <v>137</v>
      </c>
      <c r="M33" s="2" t="s">
        <v>43</v>
      </c>
      <c r="N33" s="2"/>
    </row>
    <row r="34" customFormat="false" ht="15" hidden="false" customHeight="false" outlineLevel="0" collapsed="false">
      <c r="A34" s="2" t="n">
        <v>33</v>
      </c>
      <c r="B34" s="2" t="s">
        <v>137</v>
      </c>
      <c r="C34" s="2" t="s">
        <v>142</v>
      </c>
      <c r="D34" s="2" t="s">
        <v>143</v>
      </c>
      <c r="E34" s="2" t="s">
        <v>144</v>
      </c>
      <c r="F34" s="2" t="s">
        <v>18</v>
      </c>
      <c r="G34" s="3" t="n">
        <v>162</v>
      </c>
      <c r="H34" s="2" t="s">
        <v>145</v>
      </c>
      <c r="I34" s="2" t="s">
        <v>146</v>
      </c>
      <c r="J34" s="2" t="n">
        <v>2014</v>
      </c>
      <c r="K34" s="2" t="n">
        <f aca="false">'Notes &amp; Sources'!$B$3-J34</f>
        <v>12</v>
      </c>
      <c r="L34" s="2" t="s">
        <v>137</v>
      </c>
      <c r="M34" s="2" t="s">
        <v>43</v>
      </c>
      <c r="N34" s="2"/>
    </row>
    <row r="35" customFormat="false" ht="15" hidden="false" customHeight="false" outlineLevel="0" collapsed="false">
      <c r="A35" s="2" t="n">
        <v>34</v>
      </c>
      <c r="B35" s="2" t="s">
        <v>137</v>
      </c>
      <c r="C35" s="2" t="s">
        <v>147</v>
      </c>
      <c r="D35" s="2" t="s">
        <v>148</v>
      </c>
      <c r="E35" s="2" t="s">
        <v>149</v>
      </c>
      <c r="F35" s="2" t="s">
        <v>18</v>
      </c>
      <c r="G35" s="3" t="n">
        <v>202</v>
      </c>
      <c r="H35" s="2" t="s">
        <v>150</v>
      </c>
      <c r="I35" s="2" t="s">
        <v>151</v>
      </c>
      <c r="J35" s="2" t="n">
        <v>2019</v>
      </c>
      <c r="K35" s="2" t="n">
        <f aca="false">'Notes &amp; Sources'!$B$3-J35</f>
        <v>7</v>
      </c>
      <c r="L35" s="2" t="s">
        <v>137</v>
      </c>
      <c r="M35" s="2" t="s">
        <v>43</v>
      </c>
      <c r="N35" s="2"/>
    </row>
    <row r="36" customFormat="false" ht="15" hidden="false" customHeight="false" outlineLevel="0" collapsed="false">
      <c r="A36" s="2" t="n">
        <v>35</v>
      </c>
      <c r="B36" s="2" t="s">
        <v>137</v>
      </c>
      <c r="C36" s="2" t="s">
        <v>152</v>
      </c>
      <c r="D36" s="2" t="s">
        <v>153</v>
      </c>
      <c r="E36" s="2" t="s">
        <v>154</v>
      </c>
      <c r="F36" s="2" t="s">
        <v>35</v>
      </c>
      <c r="G36" s="3" t="n">
        <v>13</v>
      </c>
      <c r="H36" s="2" t="s">
        <v>36</v>
      </c>
      <c r="I36" s="2" t="s">
        <v>31</v>
      </c>
      <c r="J36" s="2" t="n">
        <v>2013</v>
      </c>
      <c r="K36" s="2" t="n">
        <f aca="false">'Notes &amp; Sources'!$B$3-J36</f>
        <v>13</v>
      </c>
      <c r="L36" s="2" t="s">
        <v>137</v>
      </c>
      <c r="M36" s="2" t="s">
        <v>22</v>
      </c>
      <c r="N36" s="2"/>
    </row>
    <row r="37" customFormat="false" ht="15" hidden="false" customHeight="false" outlineLevel="0" collapsed="false">
      <c r="A37" s="2" t="n">
        <v>36</v>
      </c>
      <c r="B37" s="2" t="s">
        <v>137</v>
      </c>
      <c r="C37" s="2" t="s">
        <v>155</v>
      </c>
      <c r="D37" s="2" t="s">
        <v>156</v>
      </c>
      <c r="E37" s="2" t="s">
        <v>157</v>
      </c>
      <c r="F37" s="2" t="s">
        <v>35</v>
      </c>
      <c r="G37" s="3" t="n">
        <v>20</v>
      </c>
      <c r="H37" s="2" t="s">
        <v>36</v>
      </c>
      <c r="I37" s="2" t="s">
        <v>158</v>
      </c>
      <c r="J37" s="2" t="n">
        <v>2025</v>
      </c>
      <c r="K37" s="2" t="n">
        <f aca="false">'Notes &amp; Sources'!$B$3-J37</f>
        <v>1</v>
      </c>
      <c r="L37" s="2" t="s">
        <v>159</v>
      </c>
      <c r="M37" s="2" t="s">
        <v>22</v>
      </c>
      <c r="N37" s="2" t="s">
        <v>160</v>
      </c>
    </row>
    <row r="38" customFormat="false" ht="15" hidden="false" customHeight="false" outlineLevel="0" collapsed="false">
      <c r="A38" s="2" t="n">
        <v>37</v>
      </c>
      <c r="B38" s="2" t="s">
        <v>137</v>
      </c>
      <c r="C38" s="2" t="s">
        <v>161</v>
      </c>
      <c r="D38" s="2" t="s">
        <v>143</v>
      </c>
      <c r="E38" s="2" t="s">
        <v>144</v>
      </c>
      <c r="F38" s="2" t="s">
        <v>18</v>
      </c>
      <c r="G38" s="3" t="n">
        <v>13</v>
      </c>
      <c r="H38" s="2" t="s">
        <v>36</v>
      </c>
      <c r="I38" s="2" t="s">
        <v>31</v>
      </c>
      <c r="J38" s="2" t="n">
        <v>2013</v>
      </c>
      <c r="K38" s="2" t="n">
        <f aca="false">'Notes &amp; Sources'!$B$3-J38</f>
        <v>13</v>
      </c>
      <c r="L38" s="2" t="s">
        <v>137</v>
      </c>
      <c r="M38" s="2" t="s">
        <v>43</v>
      </c>
      <c r="N38" s="2"/>
    </row>
    <row r="39" customFormat="false" ht="15" hidden="false" customHeight="false" outlineLevel="0" collapsed="false">
      <c r="A39" s="2" t="n">
        <v>38</v>
      </c>
      <c r="B39" s="2" t="s">
        <v>137</v>
      </c>
      <c r="C39" s="2" t="s">
        <v>162</v>
      </c>
      <c r="D39" s="2" t="s">
        <v>163</v>
      </c>
      <c r="E39" s="2" t="s">
        <v>164</v>
      </c>
      <c r="F39" s="2" t="s">
        <v>35</v>
      </c>
      <c r="G39" s="3" t="n">
        <v>100</v>
      </c>
      <c r="H39" s="2" t="s">
        <v>165</v>
      </c>
      <c r="I39" s="2" t="s">
        <v>166</v>
      </c>
      <c r="J39" s="2" t="n">
        <v>2018</v>
      </c>
      <c r="K39" s="2" t="n">
        <f aca="false">'Notes &amp; Sources'!$B$3-J39</f>
        <v>8</v>
      </c>
      <c r="L39" s="2" t="s">
        <v>137</v>
      </c>
      <c r="M39" s="2" t="s">
        <v>43</v>
      </c>
      <c r="N39" s="2"/>
    </row>
    <row r="40" customFormat="false" ht="15" hidden="false" customHeight="false" outlineLevel="0" collapsed="false">
      <c r="A40" s="2" t="n">
        <v>39</v>
      </c>
      <c r="B40" s="2" t="s">
        <v>137</v>
      </c>
      <c r="C40" s="2" t="s">
        <v>167</v>
      </c>
      <c r="D40" s="2" t="s">
        <v>168</v>
      </c>
      <c r="E40" s="2" t="s">
        <v>168</v>
      </c>
      <c r="F40" s="2" t="s">
        <v>35</v>
      </c>
      <c r="G40" s="3" t="n">
        <v>49</v>
      </c>
      <c r="H40" s="2" t="s">
        <v>27</v>
      </c>
      <c r="I40" s="2" t="s">
        <v>169</v>
      </c>
      <c r="J40" s="2" t="n">
        <v>2004</v>
      </c>
      <c r="K40" s="2" t="n">
        <f aca="false">'Notes &amp; Sources'!$B$3-J40</f>
        <v>22</v>
      </c>
      <c r="L40" s="2" t="s">
        <v>137</v>
      </c>
      <c r="M40" s="2" t="s">
        <v>43</v>
      </c>
      <c r="N40" s="2" t="s">
        <v>170</v>
      </c>
    </row>
    <row r="41" customFormat="false" ht="15" hidden="false" customHeight="false" outlineLevel="0" collapsed="false">
      <c r="A41" s="2" t="n">
        <v>40</v>
      </c>
      <c r="B41" s="2" t="s">
        <v>137</v>
      </c>
      <c r="C41" s="2" t="s">
        <v>171</v>
      </c>
      <c r="D41" s="2" t="s">
        <v>163</v>
      </c>
      <c r="E41" s="2" t="s">
        <v>164</v>
      </c>
      <c r="F41" s="2" t="s">
        <v>35</v>
      </c>
      <c r="G41" s="3" t="n">
        <v>18</v>
      </c>
      <c r="H41" s="2" t="s">
        <v>172</v>
      </c>
      <c r="I41" s="2" t="s">
        <v>173</v>
      </c>
      <c r="J41" s="2" t="n">
        <v>2017</v>
      </c>
      <c r="K41" s="2" t="n">
        <f aca="false">'Notes &amp; Sources'!$B$3-J41</f>
        <v>9</v>
      </c>
      <c r="L41" s="2" t="s">
        <v>137</v>
      </c>
      <c r="M41" s="2" t="s">
        <v>43</v>
      </c>
      <c r="N41" s="2"/>
    </row>
    <row r="42" customFormat="false" ht="15" hidden="false" customHeight="false" outlineLevel="0" collapsed="false">
      <c r="A42" s="2" t="n">
        <v>41</v>
      </c>
      <c r="B42" s="2" t="s">
        <v>137</v>
      </c>
      <c r="C42" s="2" t="s">
        <v>174</v>
      </c>
      <c r="D42" s="2" t="s">
        <v>175</v>
      </c>
      <c r="E42" s="2" t="s">
        <v>175</v>
      </c>
      <c r="F42" s="2" t="s">
        <v>35</v>
      </c>
      <c r="G42" s="3" t="n">
        <v>86</v>
      </c>
      <c r="H42" s="2" t="s">
        <v>27</v>
      </c>
      <c r="I42" s="2" t="s">
        <v>176</v>
      </c>
      <c r="J42" s="2" t="n">
        <v>2008</v>
      </c>
      <c r="K42" s="2" t="n">
        <f aca="false">'Notes &amp; Sources'!$B$3-J42</f>
        <v>18</v>
      </c>
      <c r="L42" s="2" t="s">
        <v>137</v>
      </c>
      <c r="M42" s="2" t="s">
        <v>43</v>
      </c>
      <c r="N42" s="2"/>
    </row>
    <row r="43" customFormat="false" ht="15" hidden="false" customHeight="false" outlineLevel="0" collapsed="false">
      <c r="A43" s="2" t="n">
        <v>42</v>
      </c>
      <c r="B43" s="2" t="s">
        <v>137</v>
      </c>
      <c r="C43" s="2" t="s">
        <v>177</v>
      </c>
      <c r="D43" s="2" t="s">
        <v>178</v>
      </c>
      <c r="E43" s="2" t="s">
        <v>154</v>
      </c>
      <c r="F43" s="2" t="s">
        <v>18</v>
      </c>
      <c r="G43" s="3" t="n">
        <v>1311</v>
      </c>
      <c r="H43" s="2" t="s">
        <v>179</v>
      </c>
      <c r="I43" s="2" t="s">
        <v>180</v>
      </c>
      <c r="J43" s="2" t="n">
        <v>2009</v>
      </c>
      <c r="K43" s="2" t="n">
        <f aca="false">'Notes &amp; Sources'!$B$3-J43</f>
        <v>17</v>
      </c>
      <c r="L43" s="2" t="s">
        <v>137</v>
      </c>
      <c r="M43" s="2" t="s">
        <v>43</v>
      </c>
      <c r="N43" s="2"/>
    </row>
    <row r="44" customFormat="false" ht="15" hidden="false" customHeight="false" outlineLevel="0" collapsed="false">
      <c r="A44" s="2" t="n">
        <v>43</v>
      </c>
      <c r="B44" s="2" t="s">
        <v>137</v>
      </c>
      <c r="C44" s="2" t="s">
        <v>181</v>
      </c>
      <c r="D44" s="2" t="s">
        <v>182</v>
      </c>
      <c r="E44" s="2" t="s">
        <v>183</v>
      </c>
      <c r="F44" s="2" t="s">
        <v>18</v>
      </c>
      <c r="G44" s="3" t="n">
        <v>7.69</v>
      </c>
      <c r="H44" s="2" t="s">
        <v>184</v>
      </c>
      <c r="I44" s="2" t="s">
        <v>185</v>
      </c>
      <c r="J44" s="2" t="n">
        <v>2019</v>
      </c>
      <c r="K44" s="2" t="n">
        <f aca="false">'Notes &amp; Sources'!$B$3-J44</f>
        <v>7</v>
      </c>
      <c r="L44" s="2" t="s">
        <v>137</v>
      </c>
      <c r="M44" s="2" t="s">
        <v>43</v>
      </c>
      <c r="N44" s="2"/>
    </row>
    <row r="45" customFormat="false" ht="15" hidden="false" customHeight="false" outlineLevel="0" collapsed="false">
      <c r="A45" s="2" t="n">
        <v>44</v>
      </c>
      <c r="B45" s="2" t="s">
        <v>137</v>
      </c>
      <c r="C45" s="2" t="s">
        <v>186</v>
      </c>
      <c r="D45" s="2" t="s">
        <v>187</v>
      </c>
      <c r="E45" s="2" t="s">
        <v>183</v>
      </c>
      <c r="F45" s="2" t="s">
        <v>18</v>
      </c>
      <c r="G45" s="3" t="n">
        <v>176</v>
      </c>
      <c r="H45" s="2" t="s">
        <v>184</v>
      </c>
      <c r="I45" s="2" t="s">
        <v>188</v>
      </c>
      <c r="J45" s="2" t="n">
        <v>2015</v>
      </c>
      <c r="K45" s="2" t="n">
        <f aca="false">'Notes &amp; Sources'!$B$3-J45</f>
        <v>11</v>
      </c>
      <c r="L45" s="2" t="s">
        <v>137</v>
      </c>
      <c r="M45" s="2" t="s">
        <v>43</v>
      </c>
      <c r="N45" s="2"/>
    </row>
    <row r="46" customFormat="false" ht="15" hidden="false" customHeight="false" outlineLevel="0" collapsed="false">
      <c r="A46" s="2" t="n">
        <v>45</v>
      </c>
      <c r="B46" s="2" t="s">
        <v>137</v>
      </c>
      <c r="C46" s="2" t="s">
        <v>189</v>
      </c>
      <c r="D46" s="2" t="s">
        <v>190</v>
      </c>
      <c r="E46" s="2" t="s">
        <v>191</v>
      </c>
      <c r="F46" s="2" t="s">
        <v>35</v>
      </c>
      <c r="G46" s="3" t="n">
        <v>11</v>
      </c>
      <c r="H46" s="2" t="s">
        <v>19</v>
      </c>
      <c r="I46" s="2" t="s">
        <v>192</v>
      </c>
      <c r="J46" s="2" t="n">
        <v>2007</v>
      </c>
      <c r="K46" s="2" t="n">
        <f aca="false">'Notes &amp; Sources'!$B$3-J46</f>
        <v>19</v>
      </c>
      <c r="L46" s="2" t="s">
        <v>137</v>
      </c>
      <c r="M46" s="2" t="s">
        <v>43</v>
      </c>
      <c r="N46" s="2"/>
    </row>
    <row r="47" customFormat="false" ht="15" hidden="false" customHeight="false" outlineLevel="0" collapsed="false">
      <c r="A47" s="2" t="n">
        <v>46</v>
      </c>
      <c r="B47" s="2" t="s">
        <v>137</v>
      </c>
      <c r="C47" s="2" t="s">
        <v>193</v>
      </c>
      <c r="D47" s="2" t="s">
        <v>194</v>
      </c>
      <c r="E47" s="2" t="s">
        <v>168</v>
      </c>
      <c r="F47" s="2" t="s">
        <v>18</v>
      </c>
      <c r="G47" s="3" t="n">
        <v>15.5</v>
      </c>
      <c r="H47" s="2" t="s">
        <v>63</v>
      </c>
      <c r="I47" s="2" t="s">
        <v>195</v>
      </c>
      <c r="J47" s="2" t="n">
        <v>2022</v>
      </c>
      <c r="K47" s="2" t="n">
        <f aca="false">'Notes &amp; Sources'!$B$3-J47</f>
        <v>4</v>
      </c>
      <c r="L47" s="2" t="s">
        <v>137</v>
      </c>
      <c r="M47" s="2" t="s">
        <v>43</v>
      </c>
      <c r="N47" s="2"/>
    </row>
    <row r="48" customFormat="false" ht="15" hidden="false" customHeight="false" outlineLevel="0" collapsed="false">
      <c r="A48" s="2" t="n">
        <v>47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s">
        <v>18</v>
      </c>
      <c r="G48" s="3" t="n">
        <v>365</v>
      </c>
      <c r="H48" s="2" t="s">
        <v>19</v>
      </c>
      <c r="I48" s="2" t="s">
        <v>200</v>
      </c>
      <c r="J48" s="2" t="n">
        <v>1979</v>
      </c>
      <c r="K48" s="2" t="n">
        <f aca="false">'Notes &amp; Sources'!$B$3-J48</f>
        <v>47</v>
      </c>
      <c r="L48" s="2" t="s">
        <v>201</v>
      </c>
      <c r="M48" s="2" t="s">
        <v>43</v>
      </c>
      <c r="N48" s="2"/>
    </row>
    <row r="49" customFormat="false" ht="15" hidden="false" customHeight="false" outlineLevel="0" collapsed="false">
      <c r="A49" s="2" t="n">
        <v>48</v>
      </c>
      <c r="B49" s="2" t="s">
        <v>196</v>
      </c>
      <c r="C49" s="2" t="s">
        <v>202</v>
      </c>
      <c r="D49" s="2" t="s">
        <v>203</v>
      </c>
      <c r="E49" s="2" t="s">
        <v>199</v>
      </c>
      <c r="F49" s="2" t="s">
        <v>18</v>
      </c>
      <c r="G49" s="3" t="n">
        <v>41</v>
      </c>
      <c r="H49" s="2" t="s">
        <v>19</v>
      </c>
      <c r="I49" s="2" t="s">
        <v>204</v>
      </c>
      <c r="J49" s="2" t="n">
        <v>2021</v>
      </c>
      <c r="K49" s="2" t="n">
        <f aca="false">'Notes &amp; Sources'!$B$3-J49</f>
        <v>5</v>
      </c>
      <c r="L49" s="2" t="s">
        <v>201</v>
      </c>
      <c r="M49" s="2" t="s">
        <v>22</v>
      </c>
      <c r="N49" s="2" t="s">
        <v>205</v>
      </c>
    </row>
    <row r="50" customFormat="false" ht="15" hidden="false" customHeight="false" outlineLevel="0" collapsed="false">
      <c r="A50" s="2" t="n">
        <v>49</v>
      </c>
      <c r="B50" s="2" t="s">
        <v>196</v>
      </c>
      <c r="C50" s="2" t="s">
        <v>206</v>
      </c>
      <c r="D50" s="2" t="s">
        <v>207</v>
      </c>
      <c r="E50" s="2" t="s">
        <v>199</v>
      </c>
      <c r="F50" s="2" t="s">
        <v>35</v>
      </c>
      <c r="G50" s="3" t="n">
        <v>35</v>
      </c>
      <c r="H50" s="2" t="s">
        <v>36</v>
      </c>
      <c r="I50" s="2" t="s">
        <v>208</v>
      </c>
      <c r="J50" s="2" t="n">
        <v>2026</v>
      </c>
      <c r="K50" s="2" t="n">
        <f aca="false">'Notes &amp; Sources'!$B$3-J50</f>
        <v>0</v>
      </c>
      <c r="L50" s="2" t="s">
        <v>201</v>
      </c>
      <c r="M50" s="2" t="s">
        <v>22</v>
      </c>
      <c r="N50" s="2"/>
    </row>
    <row r="51" customFormat="false" ht="15" hidden="false" customHeight="false" outlineLevel="0" collapsed="false">
      <c r="A51" s="2" t="n">
        <v>50</v>
      </c>
      <c r="B51" s="2" t="s">
        <v>196</v>
      </c>
      <c r="C51" s="2" t="s">
        <v>209</v>
      </c>
      <c r="D51" s="2" t="s">
        <v>203</v>
      </c>
      <c r="E51" s="2" t="s">
        <v>199</v>
      </c>
      <c r="F51" s="2" t="s">
        <v>18</v>
      </c>
      <c r="G51" s="3" t="n">
        <v>539</v>
      </c>
      <c r="H51" s="2" t="s">
        <v>184</v>
      </c>
      <c r="I51" s="2" t="s">
        <v>210</v>
      </c>
      <c r="J51" s="2" t="n">
        <v>2015</v>
      </c>
      <c r="K51" s="2" t="n">
        <f aca="false">'Notes &amp; Sources'!$B$3-J51</f>
        <v>11</v>
      </c>
      <c r="L51" s="2" t="s">
        <v>201</v>
      </c>
      <c r="M51" s="2" t="s">
        <v>43</v>
      </c>
      <c r="N51" s="2" t="s">
        <v>211</v>
      </c>
    </row>
    <row r="52" customFormat="false" ht="15" hidden="false" customHeight="false" outlineLevel="0" collapsed="false">
      <c r="A52" s="2" t="n">
        <v>51</v>
      </c>
      <c r="B52" s="2" t="s">
        <v>196</v>
      </c>
      <c r="C52" s="2" t="s">
        <v>212</v>
      </c>
      <c r="D52" s="2" t="s">
        <v>25</v>
      </c>
      <c r="E52" s="2" t="s">
        <v>127</v>
      </c>
      <c r="F52" s="2" t="s">
        <v>18</v>
      </c>
      <c r="G52" s="3" t="n">
        <v>474</v>
      </c>
      <c r="H52" s="2" t="s">
        <v>19</v>
      </c>
      <c r="I52" s="2" t="s">
        <v>213</v>
      </c>
      <c r="J52" s="2" t="n">
        <v>2021</v>
      </c>
      <c r="K52" s="2" t="n">
        <f aca="false">'Notes &amp; Sources'!$B$3-J52</f>
        <v>5</v>
      </c>
      <c r="L52" s="2" t="s">
        <v>214</v>
      </c>
      <c r="M52" s="2" t="s">
        <v>43</v>
      </c>
      <c r="N52" s="2"/>
    </row>
    <row r="53" customFormat="false" ht="15" hidden="false" customHeight="false" outlineLevel="0" collapsed="false">
      <c r="A53" s="2" t="n">
        <v>52</v>
      </c>
      <c r="B53" s="2" t="s">
        <v>196</v>
      </c>
      <c r="C53" s="2" t="s">
        <v>215</v>
      </c>
      <c r="D53" s="2" t="s">
        <v>25</v>
      </c>
      <c r="E53" s="2" t="s">
        <v>127</v>
      </c>
      <c r="F53" s="2" t="s">
        <v>18</v>
      </c>
      <c r="G53" s="3" t="n">
        <v>50</v>
      </c>
      <c r="H53" s="2" t="s">
        <v>19</v>
      </c>
      <c r="I53" s="2" t="s">
        <v>216</v>
      </c>
      <c r="J53" s="2" t="n">
        <v>2012</v>
      </c>
      <c r="K53" s="2" t="n">
        <f aca="false">'Notes &amp; Sources'!$B$3-J53</f>
        <v>14</v>
      </c>
      <c r="L53" s="2" t="s">
        <v>214</v>
      </c>
      <c r="M53" s="2" t="s">
        <v>43</v>
      </c>
      <c r="N53" s="2"/>
    </row>
    <row r="54" customFormat="false" ht="15" hidden="false" customHeight="false" outlineLevel="0" collapsed="false">
      <c r="A54" s="2" t="n">
        <v>53</v>
      </c>
      <c r="B54" s="2" t="s">
        <v>196</v>
      </c>
      <c r="C54" s="2" t="s">
        <v>217</v>
      </c>
      <c r="D54" s="2" t="s">
        <v>218</v>
      </c>
      <c r="E54" s="2" t="s">
        <v>49</v>
      </c>
      <c r="F54" s="2" t="s">
        <v>18</v>
      </c>
      <c r="G54" s="3" t="n">
        <v>274</v>
      </c>
      <c r="H54" s="2" t="s">
        <v>19</v>
      </c>
      <c r="I54" s="2" t="s">
        <v>219</v>
      </c>
      <c r="J54" s="2" t="n">
        <v>1954</v>
      </c>
      <c r="K54" s="2" t="n">
        <f aca="false">'Notes &amp; Sources'!$B$3-J54</f>
        <v>72</v>
      </c>
      <c r="L54" s="2" t="s">
        <v>220</v>
      </c>
      <c r="M54" s="2" t="s">
        <v>43</v>
      </c>
      <c r="N54" s="2"/>
    </row>
    <row r="55" customFormat="false" ht="15" hidden="false" customHeight="false" outlineLevel="0" collapsed="false">
      <c r="A55" s="2" t="n">
        <v>54</v>
      </c>
      <c r="B55" s="2" t="s">
        <v>221</v>
      </c>
      <c r="C55" s="2" t="s">
        <v>222</v>
      </c>
      <c r="D55" s="2" t="s">
        <v>55</v>
      </c>
      <c r="E55" s="2" t="s">
        <v>56</v>
      </c>
      <c r="F55" s="2" t="s">
        <v>18</v>
      </c>
      <c r="G55" s="3" t="n">
        <v>979</v>
      </c>
      <c r="H55" s="2" t="s">
        <v>19</v>
      </c>
      <c r="I55" s="2" t="s">
        <v>223</v>
      </c>
      <c r="J55" s="2" t="n">
        <v>2026</v>
      </c>
      <c r="K55" s="2" t="n">
        <f aca="false">'Notes &amp; Sources'!$B$3-J55</f>
        <v>0</v>
      </c>
      <c r="L55" s="2" t="s">
        <v>224</v>
      </c>
      <c r="M55" s="2" t="s">
        <v>22</v>
      </c>
      <c r="N55" s="2" t="s">
        <v>77</v>
      </c>
    </row>
    <row r="56" customFormat="false" ht="15" hidden="false" customHeight="false" outlineLevel="0" collapsed="false">
      <c r="A56" s="2" t="n">
        <v>55</v>
      </c>
      <c r="B56" s="2" t="s">
        <v>221</v>
      </c>
      <c r="C56" s="2" t="s">
        <v>225</v>
      </c>
      <c r="D56" s="2" t="s">
        <v>25</v>
      </c>
      <c r="E56" s="2" t="s">
        <v>127</v>
      </c>
      <c r="F56" s="2" t="s">
        <v>18</v>
      </c>
      <c r="G56" s="3" t="n">
        <v>672</v>
      </c>
      <c r="H56" s="2" t="s">
        <v>19</v>
      </c>
      <c r="I56" s="2" t="s">
        <v>226</v>
      </c>
      <c r="J56" s="2" t="n">
        <v>2021</v>
      </c>
      <c r="K56" s="2" t="n">
        <f aca="false">'Notes &amp; Sources'!$B$3-J56</f>
        <v>5</v>
      </c>
      <c r="L56" s="2" t="s">
        <v>224</v>
      </c>
      <c r="M56" s="2" t="s">
        <v>43</v>
      </c>
      <c r="N56" s="2"/>
    </row>
    <row r="57" customFormat="false" ht="15" hidden="false" customHeight="false" outlineLevel="0" collapsed="false">
      <c r="A57" s="2" t="n">
        <v>56</v>
      </c>
      <c r="B57" s="2" t="s">
        <v>221</v>
      </c>
      <c r="C57" s="2" t="s">
        <v>227</v>
      </c>
      <c r="D57" s="2" t="s">
        <v>25</v>
      </c>
      <c r="E57" s="2" t="s">
        <v>228</v>
      </c>
      <c r="F57" s="2" t="s">
        <v>18</v>
      </c>
      <c r="G57" s="3" t="n">
        <v>91</v>
      </c>
      <c r="H57" s="2" t="s">
        <v>19</v>
      </c>
      <c r="I57" s="2" t="s">
        <v>229</v>
      </c>
      <c r="J57" s="2" t="n">
        <v>2012</v>
      </c>
      <c r="K57" s="2" t="n">
        <f aca="false">'Notes &amp; Sources'!$B$3-J57</f>
        <v>14</v>
      </c>
      <c r="L57" s="2" t="s">
        <v>224</v>
      </c>
      <c r="M57" s="2" t="s">
        <v>43</v>
      </c>
      <c r="N57" s="2"/>
    </row>
    <row r="58" customFormat="false" ht="15" hidden="false" customHeight="false" outlineLevel="0" collapsed="false">
      <c r="A58" s="2" t="n">
        <v>57</v>
      </c>
      <c r="B58" s="2" t="s">
        <v>221</v>
      </c>
      <c r="C58" s="2" t="s">
        <v>230</v>
      </c>
      <c r="D58" s="2" t="s">
        <v>25</v>
      </c>
      <c r="E58" s="2" t="s">
        <v>127</v>
      </c>
      <c r="F58" s="2" t="s">
        <v>18</v>
      </c>
      <c r="G58" s="3" t="n">
        <v>73</v>
      </c>
      <c r="H58" s="2" t="s">
        <v>19</v>
      </c>
      <c r="I58" s="2" t="s">
        <v>231</v>
      </c>
      <c r="J58" s="2" t="n">
        <v>2012</v>
      </c>
      <c r="K58" s="2" t="n">
        <f aca="false">'Notes &amp; Sources'!$B$3-J58</f>
        <v>14</v>
      </c>
      <c r="L58" s="2" t="s">
        <v>224</v>
      </c>
      <c r="M58" s="2" t="s">
        <v>43</v>
      </c>
      <c r="N58" s="2" t="s">
        <v>232</v>
      </c>
    </row>
    <row r="59" customFormat="false" ht="15" hidden="false" customHeight="false" outlineLevel="0" collapsed="false">
      <c r="A59" s="2" t="n">
        <v>58</v>
      </c>
      <c r="B59" s="2" t="s">
        <v>221</v>
      </c>
      <c r="C59" s="2" t="s">
        <v>233</v>
      </c>
      <c r="D59" s="2" t="s">
        <v>25</v>
      </c>
      <c r="E59" s="2" t="s">
        <v>26</v>
      </c>
      <c r="F59" s="2" t="s">
        <v>18</v>
      </c>
      <c r="G59" s="3" t="n">
        <v>8</v>
      </c>
      <c r="H59" s="2" t="s">
        <v>52</v>
      </c>
      <c r="I59" s="2" t="s">
        <v>42</v>
      </c>
      <c r="J59" s="2" t="n">
        <v>2023</v>
      </c>
      <c r="K59" s="2" t="n">
        <f aca="false">'Notes &amp; Sources'!$B$3-J59</f>
        <v>3</v>
      </c>
      <c r="L59" s="2" t="s">
        <v>234</v>
      </c>
      <c r="M59" s="2" t="s">
        <v>22</v>
      </c>
      <c r="N59" s="2"/>
    </row>
    <row r="60" customFormat="false" ht="15" hidden="false" customHeight="false" outlineLevel="0" collapsed="false">
      <c r="A60" s="2" t="n">
        <v>59</v>
      </c>
      <c r="B60" s="2" t="s">
        <v>221</v>
      </c>
      <c r="C60" s="2" t="s">
        <v>235</v>
      </c>
      <c r="D60" s="2" t="s">
        <v>236</v>
      </c>
      <c r="E60" s="2" t="s">
        <v>99</v>
      </c>
      <c r="F60" s="2" t="s">
        <v>71</v>
      </c>
      <c r="G60" s="3" t="n">
        <v>3</v>
      </c>
      <c r="H60" s="2" t="s">
        <v>52</v>
      </c>
      <c r="I60" s="2" t="s">
        <v>46</v>
      </c>
      <c r="J60" s="2" t="n">
        <v>2025</v>
      </c>
      <c r="K60" s="2" t="n">
        <f aca="false">'Notes &amp; Sources'!$B$3-J60</f>
        <v>1</v>
      </c>
      <c r="L60" s="2" t="s">
        <v>234</v>
      </c>
      <c r="M60" s="2" t="s">
        <v>43</v>
      </c>
      <c r="N60" s="2" t="s">
        <v>237</v>
      </c>
    </row>
    <row r="61" customFormat="false" ht="15" hidden="false" customHeight="false" outlineLevel="0" collapsed="false">
      <c r="A61" s="2" t="n">
        <v>60</v>
      </c>
      <c r="B61" s="2" t="s">
        <v>221</v>
      </c>
      <c r="C61" s="2" t="s">
        <v>238</v>
      </c>
      <c r="D61" s="2" t="s">
        <v>239</v>
      </c>
      <c r="E61" s="2" t="s">
        <v>240</v>
      </c>
      <c r="F61" s="2" t="s">
        <v>18</v>
      </c>
      <c r="G61" s="3" t="n">
        <v>129</v>
      </c>
      <c r="H61" s="2" t="s">
        <v>19</v>
      </c>
      <c r="I61" s="2" t="s">
        <v>241</v>
      </c>
      <c r="J61" s="2" t="n">
        <v>2015</v>
      </c>
      <c r="K61" s="2" t="n">
        <f aca="false">'Notes &amp; Sources'!$B$3-J61</f>
        <v>11</v>
      </c>
      <c r="L61" s="2" t="s">
        <v>224</v>
      </c>
      <c r="M61" s="2" t="s">
        <v>43</v>
      </c>
      <c r="N61" s="2" t="s">
        <v>242</v>
      </c>
    </row>
    <row r="62" customFormat="false" ht="15" hidden="false" customHeight="false" outlineLevel="0" collapsed="false">
      <c r="A62" s="2" t="n">
        <v>61</v>
      </c>
      <c r="B62" s="2" t="s">
        <v>243</v>
      </c>
      <c r="C62" s="2" t="s">
        <v>244</v>
      </c>
      <c r="D62" s="2" t="s">
        <v>245</v>
      </c>
      <c r="E62" s="2" t="s">
        <v>246</v>
      </c>
      <c r="F62" s="2" t="s">
        <v>18</v>
      </c>
      <c r="G62" s="3" t="n">
        <v>222</v>
      </c>
      <c r="H62" s="2" t="s">
        <v>247</v>
      </c>
      <c r="I62" s="2" t="s">
        <v>248</v>
      </c>
      <c r="J62" s="2" t="n">
        <v>2017</v>
      </c>
      <c r="K62" s="2" t="n">
        <f aca="false">'Notes &amp; Sources'!$B$3-J62</f>
        <v>9</v>
      </c>
      <c r="L62" s="2" t="s">
        <v>249</v>
      </c>
      <c r="M62" s="2" t="s">
        <v>22</v>
      </c>
      <c r="N62" s="2" t="s">
        <v>250</v>
      </c>
    </row>
    <row r="63" customFormat="false" ht="15" hidden="false" customHeight="false" outlineLevel="0" collapsed="false">
      <c r="A63" s="2" t="n">
        <v>62</v>
      </c>
      <c r="B63" s="2" t="s">
        <v>243</v>
      </c>
      <c r="C63" s="2" t="s">
        <v>251</v>
      </c>
      <c r="D63" s="2" t="s">
        <v>252</v>
      </c>
      <c r="E63" s="2" t="s">
        <v>253</v>
      </c>
      <c r="F63" s="2" t="s">
        <v>71</v>
      </c>
      <c r="G63" s="3" t="n">
        <v>1.65</v>
      </c>
      <c r="H63" s="2" t="s">
        <v>247</v>
      </c>
      <c r="I63" s="2" t="s">
        <v>254</v>
      </c>
      <c r="J63" s="2" t="n">
        <v>2025</v>
      </c>
      <c r="K63" s="2" t="n">
        <f aca="false">'Notes &amp; Sources'!$B$3-J63</f>
        <v>1</v>
      </c>
      <c r="L63" s="2" t="s">
        <v>249</v>
      </c>
      <c r="M63" s="2" t="s">
        <v>22</v>
      </c>
      <c r="N63" s="2"/>
    </row>
    <row r="64" customFormat="false" ht="15" hidden="false" customHeight="false" outlineLevel="0" collapsed="false">
      <c r="A64" s="2" t="n">
        <v>63</v>
      </c>
      <c r="B64" s="2" t="s">
        <v>243</v>
      </c>
      <c r="C64" s="2" t="s">
        <v>255</v>
      </c>
      <c r="D64" s="2" t="s">
        <v>256</v>
      </c>
      <c r="E64" s="2" t="s">
        <v>34</v>
      </c>
      <c r="F64" s="2" t="s">
        <v>35</v>
      </c>
      <c r="G64" s="3" t="n">
        <v>173850</v>
      </c>
      <c r="H64" s="2" t="s">
        <v>257</v>
      </c>
      <c r="I64" s="2" t="s">
        <v>258</v>
      </c>
      <c r="J64" s="2" t="n">
        <v>1950</v>
      </c>
      <c r="K64" s="2" t="n">
        <f aca="false">'Notes &amp; Sources'!$B$3-J64</f>
        <v>76</v>
      </c>
      <c r="L64" s="2" t="s">
        <v>21</v>
      </c>
      <c r="M64" s="2" t="s">
        <v>43</v>
      </c>
      <c r="N64" s="2" t="s">
        <v>259</v>
      </c>
    </row>
    <row r="65" customFormat="false" ht="15" hidden="false" customHeight="false" outlineLevel="0" collapsed="false">
      <c r="A65" s="2" t="n">
        <v>64</v>
      </c>
      <c r="B65" s="2" t="s">
        <v>243</v>
      </c>
      <c r="C65" s="2" t="s">
        <v>260</v>
      </c>
      <c r="D65" s="2" t="s">
        <v>261</v>
      </c>
      <c r="E65" s="2" t="s">
        <v>127</v>
      </c>
      <c r="F65" s="2" t="s">
        <v>71</v>
      </c>
      <c r="G65" s="3" t="n">
        <v>91648</v>
      </c>
      <c r="H65" s="2" t="s">
        <v>257</v>
      </c>
      <c r="I65" s="2" t="s">
        <v>262</v>
      </c>
      <c r="J65" s="2" t="n">
        <v>2022</v>
      </c>
      <c r="K65" s="2" t="n">
        <f aca="false">'Notes &amp; Sources'!$B$3-J65</f>
        <v>4</v>
      </c>
      <c r="L65" s="2" t="s">
        <v>263</v>
      </c>
      <c r="M65" s="2" t="s">
        <v>43</v>
      </c>
      <c r="N65" s="2" t="s">
        <v>264</v>
      </c>
    </row>
    <row r="66" customFormat="false" ht="15" hidden="false" customHeight="false" outlineLevel="0" collapsed="false">
      <c r="A66" s="2" t="n">
        <v>65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s">
        <v>35</v>
      </c>
      <c r="G66" s="3" t="n">
        <v>149</v>
      </c>
      <c r="H66" s="2" t="s">
        <v>19</v>
      </c>
      <c r="I66" s="2" t="s">
        <v>269</v>
      </c>
      <c r="J66" s="2" t="n">
        <v>2002</v>
      </c>
      <c r="K66" s="2" t="n">
        <f aca="false">'Notes &amp; Sources'!$B$3-J66</f>
        <v>24</v>
      </c>
      <c r="L66" s="2" t="s">
        <v>270</v>
      </c>
      <c r="M66" s="2" t="s">
        <v>43</v>
      </c>
      <c r="N66" s="2" t="s">
        <v>271</v>
      </c>
    </row>
    <row r="67" customFormat="false" ht="15" hidden="false" customHeight="false" outlineLevel="0" collapsed="false">
      <c r="A67" s="2" t="n">
        <v>66</v>
      </c>
      <c r="B67" s="2" t="s">
        <v>265</v>
      </c>
      <c r="C67" s="2" t="s">
        <v>272</v>
      </c>
      <c r="D67" s="2" t="s">
        <v>273</v>
      </c>
      <c r="E67" s="2" t="s">
        <v>26</v>
      </c>
      <c r="F67" s="2" t="s">
        <v>35</v>
      </c>
      <c r="G67" s="3" t="n">
        <v>36</v>
      </c>
      <c r="H67" s="2" t="s">
        <v>274</v>
      </c>
      <c r="I67" s="2" t="s">
        <v>275</v>
      </c>
      <c r="J67" s="2" t="n">
        <v>2011</v>
      </c>
      <c r="K67" s="2" t="n">
        <f aca="false">'Notes &amp; Sources'!$B$3-J67</f>
        <v>15</v>
      </c>
      <c r="L67" s="2" t="s">
        <v>276</v>
      </c>
      <c r="M67" s="2" t="s">
        <v>43</v>
      </c>
      <c r="N67" s="2" t="s">
        <v>277</v>
      </c>
    </row>
    <row r="68" customFormat="false" ht="15" hidden="false" customHeight="false" outlineLevel="0" collapsed="false">
      <c r="A68" s="2" t="n">
        <v>67</v>
      </c>
      <c r="B68" s="2" t="s">
        <v>265</v>
      </c>
      <c r="C68" s="2" t="s">
        <v>278</v>
      </c>
      <c r="D68" s="2" t="s">
        <v>279</v>
      </c>
      <c r="E68" s="2" t="s">
        <v>280</v>
      </c>
      <c r="F68" s="2" t="s">
        <v>18</v>
      </c>
      <c r="G68" s="3" t="n">
        <v>16</v>
      </c>
      <c r="H68" s="2" t="s">
        <v>19</v>
      </c>
      <c r="I68" s="2" t="s">
        <v>110</v>
      </c>
      <c r="J68" s="2" t="n">
        <v>1942</v>
      </c>
      <c r="K68" s="2" t="n">
        <f aca="false">'Notes &amp; Sources'!$B$3-J68</f>
        <v>84</v>
      </c>
      <c r="L68" s="2" t="s">
        <v>281</v>
      </c>
      <c r="M68" s="2" t="s">
        <v>43</v>
      </c>
      <c r="N68" s="2" t="s">
        <v>282</v>
      </c>
    </row>
    <row r="69" customFormat="false" ht="15" hidden="false" customHeight="false" outlineLevel="0" collapsed="false">
      <c r="A69" s="2" t="n">
        <v>68</v>
      </c>
      <c r="B69" s="2" t="s">
        <v>265</v>
      </c>
      <c r="C69" s="2" t="s">
        <v>283</v>
      </c>
      <c r="D69" s="2" t="s">
        <v>284</v>
      </c>
      <c r="E69" s="2" t="s">
        <v>285</v>
      </c>
      <c r="F69" s="2" t="s">
        <v>18</v>
      </c>
      <c r="G69" s="3" t="n">
        <v>2</v>
      </c>
      <c r="H69" s="2" t="s">
        <v>184</v>
      </c>
      <c r="I69" s="2" t="s">
        <v>286</v>
      </c>
      <c r="J69" s="2" t="n">
        <v>2000</v>
      </c>
      <c r="K69" s="2" t="n">
        <f aca="false">'Notes &amp; Sources'!$B$3-J69</f>
        <v>26</v>
      </c>
      <c r="L69" s="2" t="s">
        <v>287</v>
      </c>
      <c r="M69" s="2" t="s">
        <v>43</v>
      </c>
      <c r="N69" s="2" t="s">
        <v>288</v>
      </c>
    </row>
    <row r="70" customFormat="false" ht="15" hidden="false" customHeight="false" outlineLevel="0" collapsed="false">
      <c r="A70" s="2" t="n">
        <v>69</v>
      </c>
      <c r="B70" s="2" t="s">
        <v>265</v>
      </c>
      <c r="C70" s="2" t="s">
        <v>289</v>
      </c>
      <c r="D70" s="2" t="s">
        <v>290</v>
      </c>
      <c r="E70" s="2" t="s">
        <v>291</v>
      </c>
      <c r="F70" s="2" t="s">
        <v>35</v>
      </c>
      <c r="G70" s="3" t="n">
        <v>56</v>
      </c>
      <c r="H70" s="2" t="s">
        <v>292</v>
      </c>
      <c r="I70" s="2" t="s">
        <v>293</v>
      </c>
      <c r="J70" s="2" t="n">
        <v>2024</v>
      </c>
      <c r="K70" s="2" t="n">
        <f aca="false">'Notes &amp; Sources'!$B$3-J70</f>
        <v>2</v>
      </c>
      <c r="L70" s="2" t="s">
        <v>294</v>
      </c>
      <c r="M70" s="2" t="s">
        <v>22</v>
      </c>
      <c r="N70" s="2"/>
    </row>
    <row r="71" customFormat="false" ht="15" hidden="false" customHeight="false" outlineLevel="0" collapsed="false">
      <c r="A71" s="2" t="n">
        <v>70</v>
      </c>
      <c r="B71" s="2" t="s">
        <v>265</v>
      </c>
      <c r="C71" s="2" t="s">
        <v>295</v>
      </c>
      <c r="D71" s="2" t="s">
        <v>296</v>
      </c>
      <c r="E71" s="2" t="s">
        <v>297</v>
      </c>
      <c r="F71" s="2" t="s">
        <v>35</v>
      </c>
      <c r="G71" s="3" t="n">
        <v>108</v>
      </c>
      <c r="H71" s="2" t="s">
        <v>27</v>
      </c>
      <c r="I71" s="2" t="s">
        <v>298</v>
      </c>
      <c r="J71" s="2" t="n">
        <v>1994</v>
      </c>
      <c r="K71" s="2" t="n">
        <f aca="false">'Notes &amp; Sources'!$B$3-J71</f>
        <v>32</v>
      </c>
      <c r="L71" s="2" t="s">
        <v>299</v>
      </c>
      <c r="M71" s="2" t="s">
        <v>43</v>
      </c>
      <c r="N71" s="2"/>
    </row>
    <row r="72" customFormat="false" ht="15" hidden="false" customHeight="false" outlineLevel="0" collapsed="false">
      <c r="A72" s="2" t="n">
        <v>71</v>
      </c>
      <c r="B72" s="2" t="s">
        <v>265</v>
      </c>
      <c r="C72" s="2" t="s">
        <v>300</v>
      </c>
      <c r="D72" s="2" t="s">
        <v>301</v>
      </c>
      <c r="E72" s="2" t="s">
        <v>302</v>
      </c>
      <c r="F72" s="2" t="s">
        <v>18</v>
      </c>
      <c r="G72" s="3" t="n">
        <v>100800</v>
      </c>
      <c r="H72" s="2" t="s">
        <v>184</v>
      </c>
      <c r="I72" s="2" t="s">
        <v>303</v>
      </c>
      <c r="J72" s="2" t="n">
        <v>2017</v>
      </c>
      <c r="K72" s="2" t="n">
        <f aca="false">'Notes &amp; Sources'!$B$3-J72</f>
        <v>9</v>
      </c>
      <c r="L72" s="2" t="s">
        <v>304</v>
      </c>
      <c r="M72" s="2" t="s">
        <v>22</v>
      </c>
      <c r="N72" s="2"/>
    </row>
    <row r="73" customFormat="false" ht="15" hidden="false" customHeight="false" outlineLevel="0" collapsed="false">
      <c r="A73" s="2" t="n">
        <v>72</v>
      </c>
      <c r="B73" s="2" t="s">
        <v>265</v>
      </c>
      <c r="C73" s="2" t="s">
        <v>305</v>
      </c>
      <c r="D73" s="2" t="s">
        <v>301</v>
      </c>
      <c r="E73" s="2" t="s">
        <v>302</v>
      </c>
      <c r="F73" s="2" t="s">
        <v>18</v>
      </c>
      <c r="G73" s="3" t="n">
        <v>75660</v>
      </c>
      <c r="H73" s="2" t="s">
        <v>184</v>
      </c>
      <c r="I73" s="2" t="s">
        <v>306</v>
      </c>
      <c r="J73" s="2" t="n">
        <v>2010</v>
      </c>
      <c r="K73" s="2" t="n">
        <f aca="false">'Notes &amp; Sources'!$B$3-J73</f>
        <v>16</v>
      </c>
      <c r="L73" s="2" t="s">
        <v>304</v>
      </c>
      <c r="M73" s="2" t="s">
        <v>22</v>
      </c>
      <c r="N73" s="2" t="s">
        <v>307</v>
      </c>
    </row>
    <row r="74" customFormat="false" ht="15" hidden="false" customHeight="false" outlineLevel="0" collapsed="false">
      <c r="A74" s="2" t="n">
        <v>73</v>
      </c>
      <c r="B74" s="2" t="s">
        <v>265</v>
      </c>
      <c r="C74" s="2" t="s">
        <v>308</v>
      </c>
      <c r="D74" s="2" t="s">
        <v>301</v>
      </c>
      <c r="E74" s="2" t="s">
        <v>302</v>
      </c>
      <c r="F74" s="2" t="s">
        <v>18</v>
      </c>
      <c r="G74" s="3" t="n">
        <v>20512</v>
      </c>
      <c r="H74" s="2" t="s">
        <v>184</v>
      </c>
      <c r="I74" s="2" t="s">
        <v>309</v>
      </c>
      <c r="J74" s="2" t="n">
        <v>2016</v>
      </c>
      <c r="K74" s="2" t="n">
        <f aca="false">'Notes &amp; Sources'!$B$3-J74</f>
        <v>10</v>
      </c>
      <c r="L74" s="2" t="s">
        <v>304</v>
      </c>
      <c r="M74" s="2" t="s">
        <v>22</v>
      </c>
      <c r="N74" s="2" t="s">
        <v>310</v>
      </c>
    </row>
    <row r="75" customFormat="false" ht="15" hidden="false" customHeight="false" outlineLevel="0" collapsed="false">
      <c r="A75" s="2" t="n">
        <v>74</v>
      </c>
      <c r="B75" s="2" t="s">
        <v>265</v>
      </c>
      <c r="C75" s="2" t="s">
        <v>311</v>
      </c>
      <c r="D75" s="2" t="s">
        <v>312</v>
      </c>
      <c r="E75" s="2" t="s">
        <v>313</v>
      </c>
      <c r="F75" s="2" t="s">
        <v>18</v>
      </c>
      <c r="G75" s="3" t="n">
        <v>43200</v>
      </c>
      <c r="H75" s="2" t="s">
        <v>184</v>
      </c>
      <c r="I75" s="2" t="s">
        <v>314</v>
      </c>
      <c r="J75" s="2" t="n">
        <v>2022</v>
      </c>
      <c r="K75" s="2" t="n">
        <f aca="false">'Notes &amp; Sources'!$B$3-J75</f>
        <v>4</v>
      </c>
      <c r="L75" s="2" t="s">
        <v>304</v>
      </c>
      <c r="M75" s="2" t="s">
        <v>22</v>
      </c>
      <c r="N75" s="2"/>
    </row>
    <row r="76" customFormat="false" ht="15" hidden="false" customHeight="false" outlineLevel="0" collapsed="false">
      <c r="A76" s="2" t="n">
        <v>75</v>
      </c>
      <c r="B76" s="2" t="s">
        <v>265</v>
      </c>
      <c r="C76" s="2" t="s">
        <v>315</v>
      </c>
      <c r="D76" s="2" t="s">
        <v>316</v>
      </c>
      <c r="E76" s="2" t="s">
        <v>317</v>
      </c>
      <c r="F76" s="2" t="s">
        <v>18</v>
      </c>
      <c r="G76" s="3" t="n">
        <v>14966</v>
      </c>
      <c r="H76" s="2" t="s">
        <v>184</v>
      </c>
      <c r="I76" s="2" t="s">
        <v>318</v>
      </c>
      <c r="J76" s="2" t="n">
        <v>2007</v>
      </c>
      <c r="K76" s="2" t="n">
        <f aca="false">'Notes &amp; Sources'!$B$3-J76</f>
        <v>19</v>
      </c>
      <c r="L76" s="2" t="s">
        <v>304</v>
      </c>
      <c r="M76" s="2" t="s">
        <v>22</v>
      </c>
      <c r="N76" s="2"/>
    </row>
    <row r="77" customFormat="false" ht="15" hidden="false" customHeight="false" outlineLevel="0" collapsed="false">
      <c r="A77" s="2" t="n">
        <v>76</v>
      </c>
      <c r="B77" s="2" t="s">
        <v>265</v>
      </c>
      <c r="C77" s="2" t="s">
        <v>319</v>
      </c>
      <c r="D77" s="2" t="s">
        <v>320</v>
      </c>
      <c r="E77" s="2" t="s">
        <v>140</v>
      </c>
      <c r="F77" s="2" t="s">
        <v>18</v>
      </c>
      <c r="G77" s="3" t="n">
        <v>248.56</v>
      </c>
      <c r="H77" s="2" t="s">
        <v>184</v>
      </c>
      <c r="I77" s="2" t="s">
        <v>321</v>
      </c>
      <c r="J77" s="2" t="n">
        <v>2016</v>
      </c>
      <c r="K77" s="2" t="n">
        <f aca="false">'Notes &amp; Sources'!$B$3-J77</f>
        <v>10</v>
      </c>
      <c r="L77" s="2" t="s">
        <v>304</v>
      </c>
      <c r="M77" s="2" t="s">
        <v>22</v>
      </c>
      <c r="N77" s="2"/>
    </row>
    <row r="78" customFormat="false" ht="15" hidden="false" customHeight="false" outlineLevel="0" collapsed="false">
      <c r="A78" s="2" t="n">
        <v>77</v>
      </c>
      <c r="B78" s="2" t="s">
        <v>265</v>
      </c>
      <c r="C78" s="2" t="s">
        <v>322</v>
      </c>
      <c r="D78" s="2" t="s">
        <v>323</v>
      </c>
      <c r="E78" s="2" t="s">
        <v>144</v>
      </c>
      <c r="F78" s="2" t="s">
        <v>18</v>
      </c>
      <c r="G78" s="3" t="n">
        <v>93</v>
      </c>
      <c r="H78" s="2" t="s">
        <v>184</v>
      </c>
      <c r="I78" s="2" t="s">
        <v>324</v>
      </c>
      <c r="J78" s="2" t="n">
        <v>2014</v>
      </c>
      <c r="K78" s="2" t="n">
        <f aca="false">'Notes &amp; Sources'!$B$3-J78</f>
        <v>12</v>
      </c>
      <c r="L78" s="2" t="s">
        <v>304</v>
      </c>
      <c r="M78" s="2" t="s">
        <v>22</v>
      </c>
      <c r="N78" s="2" t="s">
        <v>325</v>
      </c>
    </row>
    <row r="79" customFormat="false" ht="15" hidden="false" customHeight="false" outlineLevel="0" collapsed="false">
      <c r="A79" s="2" t="n">
        <v>78</v>
      </c>
      <c r="B79" s="2" t="s">
        <v>326</v>
      </c>
      <c r="C79" s="2" t="s">
        <v>327</v>
      </c>
      <c r="D79" s="2" t="s">
        <v>328</v>
      </c>
      <c r="E79" s="2" t="s">
        <v>329</v>
      </c>
      <c r="F79" s="2" t="s">
        <v>18</v>
      </c>
      <c r="G79" s="3" t="n">
        <v>643</v>
      </c>
      <c r="H79" s="2" t="s">
        <v>19</v>
      </c>
      <c r="I79" s="2" t="s">
        <v>330</v>
      </c>
      <c r="J79" s="2" t="n">
        <v>1957</v>
      </c>
      <c r="K79" s="2" t="n">
        <f aca="false">'Notes &amp; Sources'!$B$3-J79</f>
        <v>69</v>
      </c>
      <c r="L79" s="2" t="s">
        <v>331</v>
      </c>
      <c r="M79" s="2" t="s">
        <v>43</v>
      </c>
      <c r="N79" s="2"/>
    </row>
    <row r="80" customFormat="false" ht="15" hidden="false" customHeight="false" outlineLevel="0" collapsed="false">
      <c r="A80" s="2" t="n">
        <v>79</v>
      </c>
      <c r="B80" s="2" t="s">
        <v>326</v>
      </c>
      <c r="C80" s="2" t="s">
        <v>332</v>
      </c>
      <c r="D80" s="2" t="s">
        <v>328</v>
      </c>
      <c r="E80" s="2" t="s">
        <v>329</v>
      </c>
      <c r="F80" s="2" t="s">
        <v>18</v>
      </c>
      <c r="G80" s="3" t="n">
        <v>1.52</v>
      </c>
      <c r="H80" s="2" t="s">
        <v>333</v>
      </c>
      <c r="I80" s="2" t="s">
        <v>334</v>
      </c>
      <c r="J80" s="2" t="n">
        <v>1957</v>
      </c>
      <c r="K80" s="2" t="n">
        <f aca="false">'Notes &amp; Sources'!$B$3-J80</f>
        <v>69</v>
      </c>
      <c r="L80" s="2" t="s">
        <v>224</v>
      </c>
      <c r="M80" s="2" t="s">
        <v>43</v>
      </c>
      <c r="N80" s="2"/>
    </row>
    <row r="81" customFormat="false" ht="15" hidden="false" customHeight="false" outlineLevel="0" collapsed="false">
      <c r="A81" s="2" t="n">
        <v>80</v>
      </c>
      <c r="B81" s="2" t="s">
        <v>326</v>
      </c>
      <c r="C81" s="2" t="s">
        <v>335</v>
      </c>
      <c r="D81" s="2" t="s">
        <v>336</v>
      </c>
      <c r="E81" s="2" t="s">
        <v>337</v>
      </c>
      <c r="F81" s="2" t="s">
        <v>18</v>
      </c>
      <c r="G81" s="3" t="n">
        <v>97</v>
      </c>
      <c r="H81" s="2" t="s">
        <v>19</v>
      </c>
      <c r="I81" s="2" t="s">
        <v>338</v>
      </c>
      <c r="J81" s="2" t="n">
        <v>1974</v>
      </c>
      <c r="K81" s="2" t="n">
        <f aca="false">'Notes &amp; Sources'!$B$3-J81</f>
        <v>52</v>
      </c>
      <c r="L81" s="2" t="s">
        <v>339</v>
      </c>
      <c r="M81" s="2" t="s">
        <v>43</v>
      </c>
      <c r="N81" s="2"/>
    </row>
    <row r="82" customFormat="false" ht="15" hidden="false" customHeight="false" outlineLevel="0" collapsed="false">
      <c r="A82" s="2" t="n">
        <v>81</v>
      </c>
      <c r="B82" s="2" t="s">
        <v>326</v>
      </c>
      <c r="C82" s="2" t="s">
        <v>340</v>
      </c>
      <c r="D82" s="2" t="s">
        <v>341</v>
      </c>
      <c r="E82" s="2" t="s">
        <v>342</v>
      </c>
      <c r="F82" s="2" t="s">
        <v>18</v>
      </c>
      <c r="G82" s="3" t="n">
        <v>107</v>
      </c>
      <c r="H82" s="2" t="s">
        <v>19</v>
      </c>
      <c r="I82" s="2" t="s">
        <v>343</v>
      </c>
      <c r="J82" s="2" t="n">
        <v>1941</v>
      </c>
      <c r="K82" s="2" t="n">
        <f aca="false">'Notes &amp; Sources'!$B$3-J82</f>
        <v>85</v>
      </c>
      <c r="L82" s="2" t="s">
        <v>224</v>
      </c>
      <c r="M82" s="2" t="s">
        <v>43</v>
      </c>
      <c r="N82" s="2" t="s">
        <v>344</v>
      </c>
    </row>
    <row r="83" customFormat="false" ht="15" hidden="false" customHeight="false" outlineLevel="0" collapsed="false">
      <c r="A83" s="2" t="n">
        <v>82</v>
      </c>
      <c r="B83" s="2" t="s">
        <v>326</v>
      </c>
      <c r="C83" s="2" t="s">
        <v>345</v>
      </c>
      <c r="D83" s="2" t="s">
        <v>346</v>
      </c>
      <c r="E83" s="2" t="s">
        <v>347</v>
      </c>
      <c r="F83" s="2" t="s">
        <v>18</v>
      </c>
      <c r="G83" s="3" t="n">
        <v>96</v>
      </c>
      <c r="H83" s="2" t="s">
        <v>19</v>
      </c>
      <c r="I83" s="2" t="s">
        <v>348</v>
      </c>
      <c r="J83" s="2" t="n">
        <v>1931</v>
      </c>
      <c r="K83" s="2" t="n">
        <f aca="false">'Notes &amp; Sources'!$B$3-J83</f>
        <v>95</v>
      </c>
      <c r="L83" s="2" t="s">
        <v>224</v>
      </c>
      <c r="M83" s="2" t="s">
        <v>43</v>
      </c>
      <c r="N83" s="2" t="s">
        <v>349</v>
      </c>
    </row>
    <row r="84" customFormat="false" ht="15" hidden="false" customHeight="false" outlineLevel="0" collapsed="false">
      <c r="A84" s="2" t="n">
        <v>83</v>
      </c>
      <c r="B84" s="2" t="s">
        <v>326</v>
      </c>
      <c r="C84" s="2" t="s">
        <v>350</v>
      </c>
      <c r="D84" s="2" t="s">
        <v>351</v>
      </c>
      <c r="E84" s="2" t="s">
        <v>352</v>
      </c>
      <c r="F84" s="2" t="s">
        <v>18</v>
      </c>
      <c r="G84" s="3" t="n">
        <v>23</v>
      </c>
      <c r="H84" s="2" t="s">
        <v>19</v>
      </c>
      <c r="I84" s="2" t="s">
        <v>83</v>
      </c>
      <c r="J84" s="2" t="n">
        <v>1954</v>
      </c>
      <c r="K84" s="2" t="n">
        <f aca="false">'Notes &amp; Sources'!$B$3-J84</f>
        <v>72</v>
      </c>
      <c r="L84" s="2" t="s">
        <v>76</v>
      </c>
      <c r="M84" s="2" t="s">
        <v>43</v>
      </c>
      <c r="N84" s="2"/>
    </row>
    <row r="85" customFormat="false" ht="15" hidden="false" customHeight="false" outlineLevel="0" collapsed="false">
      <c r="A85" s="2" t="n">
        <v>84</v>
      </c>
      <c r="B85" s="2" t="s">
        <v>326</v>
      </c>
      <c r="C85" s="2" t="s">
        <v>353</v>
      </c>
      <c r="D85" s="2" t="s">
        <v>354</v>
      </c>
      <c r="E85" s="2" t="s">
        <v>355</v>
      </c>
      <c r="F85" s="2" t="s">
        <v>18</v>
      </c>
      <c r="G85" s="3" t="n">
        <v>253</v>
      </c>
      <c r="H85" s="2" t="s">
        <v>19</v>
      </c>
      <c r="I85" s="2" t="s">
        <v>356</v>
      </c>
      <c r="J85" s="2" t="n">
        <v>1997</v>
      </c>
      <c r="K85" s="2" t="n">
        <f aca="false">'Notes &amp; Sources'!$B$3-J85</f>
        <v>29</v>
      </c>
      <c r="L85" s="2" t="s">
        <v>224</v>
      </c>
      <c r="M85" s="2" t="s">
        <v>43</v>
      </c>
      <c r="N85" s="2"/>
    </row>
    <row r="86" customFormat="false" ht="15" hidden="false" customHeight="false" outlineLevel="0" collapsed="false">
      <c r="A86" s="2" t="n">
        <v>85</v>
      </c>
      <c r="B86" s="2" t="s">
        <v>326</v>
      </c>
      <c r="C86" s="2" t="s">
        <v>357</v>
      </c>
      <c r="D86" s="2" t="s">
        <v>358</v>
      </c>
      <c r="E86" s="2" t="s">
        <v>34</v>
      </c>
      <c r="F86" s="2" t="s">
        <v>18</v>
      </c>
      <c r="G86" s="3" t="n">
        <v>501</v>
      </c>
      <c r="H86" s="2" t="s">
        <v>19</v>
      </c>
      <c r="I86" s="2" t="s">
        <v>359</v>
      </c>
      <c r="J86" s="2" t="n">
        <v>1994</v>
      </c>
      <c r="K86" s="2" t="n">
        <f aca="false">'Notes &amp; Sources'!$B$3-J86</f>
        <v>32</v>
      </c>
      <c r="L86" s="2" t="s">
        <v>224</v>
      </c>
      <c r="M86" s="2" t="s">
        <v>43</v>
      </c>
      <c r="N86" s="2"/>
    </row>
    <row r="87" customFormat="false" ht="15" hidden="false" customHeight="false" outlineLevel="0" collapsed="false">
      <c r="A87" s="2" t="n">
        <v>86</v>
      </c>
      <c r="B87" s="2" t="s">
        <v>326</v>
      </c>
      <c r="C87" s="2" t="s">
        <v>360</v>
      </c>
      <c r="D87" s="2" t="s">
        <v>361</v>
      </c>
      <c r="E87" s="2" t="s">
        <v>26</v>
      </c>
      <c r="F87" s="2" t="s">
        <v>18</v>
      </c>
      <c r="G87" s="3" t="n">
        <v>27</v>
      </c>
      <c r="H87" s="2" t="s">
        <v>19</v>
      </c>
      <c r="I87" s="2" t="s">
        <v>362</v>
      </c>
      <c r="J87" s="2" t="n">
        <v>1976</v>
      </c>
      <c r="K87" s="2" t="n">
        <f aca="false">'Notes &amp; Sources'!$B$3-J87</f>
        <v>50</v>
      </c>
      <c r="L87" s="2" t="s">
        <v>224</v>
      </c>
      <c r="M87" s="2" t="s">
        <v>43</v>
      </c>
      <c r="N87" s="2"/>
    </row>
    <row r="88" customFormat="false" ht="15" hidden="false" customHeight="false" outlineLevel="0" collapsed="false">
      <c r="A88" s="2" t="n">
        <v>87</v>
      </c>
      <c r="B88" s="2" t="s">
        <v>326</v>
      </c>
      <c r="C88" s="2" t="s">
        <v>363</v>
      </c>
      <c r="D88" s="2" t="s">
        <v>364</v>
      </c>
      <c r="E88" s="2" t="s">
        <v>365</v>
      </c>
      <c r="F88" s="2" t="s">
        <v>18</v>
      </c>
      <c r="G88" s="3" t="n">
        <v>162</v>
      </c>
      <c r="H88" s="2" t="s">
        <v>19</v>
      </c>
      <c r="I88" s="2" t="s">
        <v>146</v>
      </c>
      <c r="J88" s="2" t="n">
        <v>1937</v>
      </c>
      <c r="K88" s="2" t="n">
        <f aca="false">'Notes &amp; Sources'!$B$3-J88</f>
        <v>89</v>
      </c>
      <c r="L88" s="2" t="s">
        <v>224</v>
      </c>
      <c r="M88" s="2" t="s">
        <v>43</v>
      </c>
      <c r="N88" s="2"/>
    </row>
    <row r="89" customFormat="false" ht="15" hidden="false" customHeight="false" outlineLevel="0" collapsed="false">
      <c r="A89" s="2" t="n">
        <v>88</v>
      </c>
      <c r="B89" s="2" t="s">
        <v>326</v>
      </c>
      <c r="C89" s="2" t="s">
        <v>366</v>
      </c>
      <c r="D89" s="2" t="s">
        <v>55</v>
      </c>
      <c r="E89" s="2" t="s">
        <v>56</v>
      </c>
      <c r="F89" s="2" t="s">
        <v>18</v>
      </c>
      <c r="G89" s="3" t="n">
        <v>28</v>
      </c>
      <c r="H89" s="2" t="s">
        <v>19</v>
      </c>
      <c r="I89" s="2" t="s">
        <v>367</v>
      </c>
      <c r="J89" s="2" t="n">
        <v>2026</v>
      </c>
      <c r="K89" s="2" t="n">
        <f aca="false">'Notes &amp; Sources'!$B$3-J89</f>
        <v>0</v>
      </c>
      <c r="L89" s="2" t="s">
        <v>76</v>
      </c>
      <c r="M89" s="2" t="s">
        <v>22</v>
      </c>
      <c r="N89" s="2" t="s">
        <v>81</v>
      </c>
    </row>
    <row r="90" customFormat="false" ht="15" hidden="false" customHeight="false" outlineLevel="0" collapsed="false">
      <c r="A90" s="2" t="n">
        <v>89</v>
      </c>
      <c r="B90" s="2" t="s">
        <v>326</v>
      </c>
      <c r="C90" s="2" t="s">
        <v>368</v>
      </c>
      <c r="D90" s="2" t="s">
        <v>369</v>
      </c>
      <c r="E90" s="2" t="s">
        <v>370</v>
      </c>
      <c r="F90" s="2" t="s">
        <v>18</v>
      </c>
      <c r="G90" s="3" t="n">
        <v>32</v>
      </c>
      <c r="H90" s="2" t="s">
        <v>19</v>
      </c>
      <c r="I90" s="2" t="s">
        <v>371</v>
      </c>
      <c r="J90" s="2" t="n">
        <v>1955</v>
      </c>
      <c r="K90" s="2" t="n">
        <f aca="false">'Notes &amp; Sources'!$B$3-J90</f>
        <v>71</v>
      </c>
      <c r="L90" s="2" t="s">
        <v>224</v>
      </c>
      <c r="M90" s="2" t="s">
        <v>43</v>
      </c>
      <c r="N90" s="2"/>
    </row>
    <row r="91" customFormat="false" ht="15" hidden="false" customHeight="false" outlineLevel="0" collapsed="false">
      <c r="A91" s="2" t="n">
        <v>90</v>
      </c>
      <c r="B91" s="2" t="s">
        <v>326</v>
      </c>
      <c r="C91" s="2" t="s">
        <v>372</v>
      </c>
      <c r="D91" s="2" t="s">
        <v>373</v>
      </c>
      <c r="E91" s="2" t="s">
        <v>302</v>
      </c>
      <c r="F91" s="2" t="s">
        <v>18</v>
      </c>
      <c r="G91" s="3" t="n">
        <v>35</v>
      </c>
      <c r="H91" s="2" t="s">
        <v>19</v>
      </c>
      <c r="I91" s="2" t="s">
        <v>208</v>
      </c>
      <c r="J91" s="2" t="n">
        <v>1997</v>
      </c>
      <c r="K91" s="2" t="n">
        <f aca="false">'Notes &amp; Sources'!$B$3-J91</f>
        <v>29</v>
      </c>
      <c r="L91" s="2" t="s">
        <v>224</v>
      </c>
      <c r="M91" s="2" t="s">
        <v>43</v>
      </c>
      <c r="N91" s="2"/>
    </row>
    <row r="92" customFormat="false" ht="15" hidden="false" customHeight="false" outlineLevel="0" collapsed="false">
      <c r="A92" s="2" t="n">
        <v>91</v>
      </c>
      <c r="B92" s="2" t="s">
        <v>326</v>
      </c>
      <c r="C92" s="2" t="s">
        <v>374</v>
      </c>
      <c r="D92" s="2" t="s">
        <v>375</v>
      </c>
      <c r="E92" s="2" t="s">
        <v>376</v>
      </c>
      <c r="F92" s="2" t="s">
        <v>18</v>
      </c>
      <c r="G92" s="3" t="n">
        <v>19</v>
      </c>
      <c r="H92" s="2" t="s">
        <v>19</v>
      </c>
      <c r="I92" s="2" t="s">
        <v>377</v>
      </c>
      <c r="J92" s="2" t="n">
        <v>1983</v>
      </c>
      <c r="K92" s="2" t="n">
        <f aca="false">'Notes &amp; Sources'!$B$3-J92</f>
        <v>43</v>
      </c>
      <c r="L92" s="2" t="s">
        <v>224</v>
      </c>
      <c r="M92" s="2" t="s">
        <v>43</v>
      </c>
      <c r="N92" s="2"/>
    </row>
    <row r="93" customFormat="false" ht="15" hidden="false" customHeight="false" outlineLevel="0" collapsed="false">
      <c r="A93" s="2" t="n">
        <v>92</v>
      </c>
      <c r="B93" s="2" t="s">
        <v>326</v>
      </c>
      <c r="C93" s="2" t="s">
        <v>378</v>
      </c>
      <c r="D93" s="2" t="s">
        <v>379</v>
      </c>
      <c r="E93" s="2" t="s">
        <v>40</v>
      </c>
      <c r="F93" s="2" t="s">
        <v>18</v>
      </c>
      <c r="G93" s="3" t="n">
        <v>142</v>
      </c>
      <c r="H93" s="2" t="s">
        <v>380</v>
      </c>
      <c r="I93" s="2" t="s">
        <v>381</v>
      </c>
      <c r="J93" s="2" t="n">
        <v>1951</v>
      </c>
      <c r="K93" s="2" t="n">
        <f aca="false">'Notes &amp; Sources'!$B$3-J93</f>
        <v>75</v>
      </c>
      <c r="L93" s="2" t="s">
        <v>224</v>
      </c>
      <c r="M93" s="2" t="s">
        <v>43</v>
      </c>
      <c r="N93" s="2"/>
    </row>
    <row r="94" customFormat="false" ht="15" hidden="false" customHeight="false" outlineLevel="0" collapsed="false">
      <c r="A94" s="2" t="n">
        <v>93</v>
      </c>
      <c r="B94" s="2" t="s">
        <v>326</v>
      </c>
      <c r="C94" s="2" t="s">
        <v>382</v>
      </c>
      <c r="D94" s="2" t="s">
        <v>328</v>
      </c>
      <c r="E94" s="2" t="s">
        <v>383</v>
      </c>
      <c r="F94" s="2" t="s">
        <v>18</v>
      </c>
      <c r="G94" s="3" t="n">
        <v>21</v>
      </c>
      <c r="H94" s="2" t="s">
        <v>27</v>
      </c>
      <c r="I94" s="2" t="s">
        <v>384</v>
      </c>
      <c r="J94" s="2" t="n">
        <v>1940</v>
      </c>
      <c r="K94" s="2" t="n">
        <f aca="false">'Notes &amp; Sources'!$B$3-J94</f>
        <v>86</v>
      </c>
      <c r="L94" s="2" t="s">
        <v>331</v>
      </c>
      <c r="M94" s="2" t="s">
        <v>43</v>
      </c>
      <c r="N94" s="2"/>
    </row>
    <row r="95" customFormat="false" ht="15" hidden="false" customHeight="false" outlineLevel="0" collapsed="false">
      <c r="A95" s="2" t="n">
        <v>94</v>
      </c>
      <c r="B95" s="2" t="s">
        <v>326</v>
      </c>
      <c r="C95" s="2" t="s">
        <v>385</v>
      </c>
      <c r="D95" s="2" t="s">
        <v>386</v>
      </c>
      <c r="E95" s="2" t="s">
        <v>387</v>
      </c>
      <c r="F95" s="2" t="s">
        <v>18</v>
      </c>
      <c r="G95" s="3" t="n">
        <v>11</v>
      </c>
      <c r="H95" s="2" t="s">
        <v>27</v>
      </c>
      <c r="I95" s="2" t="s">
        <v>388</v>
      </c>
      <c r="J95" s="2" t="n">
        <v>2025</v>
      </c>
      <c r="K95" s="2" t="n">
        <f aca="false">'Notes &amp; Sources'!$B$3-J95</f>
        <v>1</v>
      </c>
      <c r="L95" s="2" t="s">
        <v>76</v>
      </c>
      <c r="M95" s="2" t="s">
        <v>43</v>
      </c>
      <c r="N95" s="2" t="s">
        <v>389</v>
      </c>
    </row>
    <row r="96" customFormat="false" ht="15" hidden="false" customHeight="false" outlineLevel="0" collapsed="false">
      <c r="A96" s="2" t="n">
        <v>95</v>
      </c>
      <c r="B96" s="2" t="s">
        <v>326</v>
      </c>
      <c r="C96" s="2" t="s">
        <v>390</v>
      </c>
      <c r="D96" s="2" t="s">
        <v>391</v>
      </c>
      <c r="E96" s="2" t="s">
        <v>34</v>
      </c>
      <c r="F96" s="2" t="s">
        <v>18</v>
      </c>
      <c r="G96" s="3" t="n">
        <v>15</v>
      </c>
      <c r="H96" s="2" t="s">
        <v>52</v>
      </c>
      <c r="I96" s="2" t="s">
        <v>115</v>
      </c>
      <c r="J96" s="2" t="n">
        <v>2009</v>
      </c>
      <c r="K96" s="2" t="n">
        <f aca="false">'Notes &amp; Sources'!$B$3-J96</f>
        <v>17</v>
      </c>
      <c r="L96" s="2" t="s">
        <v>331</v>
      </c>
      <c r="M96" s="2" t="s">
        <v>43</v>
      </c>
      <c r="N96" s="2" t="s">
        <v>392</v>
      </c>
    </row>
    <row r="97" customFormat="false" ht="15" hidden="false" customHeight="false" outlineLevel="0" collapsed="false">
      <c r="A97" s="2" t="n">
        <v>96</v>
      </c>
      <c r="B97" s="2" t="s">
        <v>326</v>
      </c>
      <c r="C97" s="2" t="s">
        <v>393</v>
      </c>
      <c r="D97" s="2" t="s">
        <v>394</v>
      </c>
      <c r="E97" s="2" t="s">
        <v>114</v>
      </c>
      <c r="F97" s="2" t="s">
        <v>18</v>
      </c>
      <c r="G97" s="3" t="n">
        <v>17</v>
      </c>
      <c r="H97" s="2" t="s">
        <v>36</v>
      </c>
      <c r="I97" s="2" t="s">
        <v>72</v>
      </c>
      <c r="J97" s="2" t="n">
        <v>2024</v>
      </c>
      <c r="K97" s="2" t="n">
        <f aca="false">'Notes &amp; Sources'!$B$3-J97</f>
        <v>2</v>
      </c>
      <c r="L97" s="2" t="s">
        <v>395</v>
      </c>
      <c r="M97" s="2" t="s">
        <v>43</v>
      </c>
      <c r="N97" s="2"/>
    </row>
    <row r="98" customFormat="false" ht="15" hidden="false" customHeight="false" outlineLevel="0" collapsed="false">
      <c r="A98" s="2" t="n">
        <v>97</v>
      </c>
      <c r="B98" s="2" t="s">
        <v>326</v>
      </c>
      <c r="C98" s="2" t="s">
        <v>396</v>
      </c>
      <c r="D98" s="2" t="s">
        <v>397</v>
      </c>
      <c r="E98" s="2" t="s">
        <v>398</v>
      </c>
      <c r="F98" s="2" t="s">
        <v>18</v>
      </c>
      <c r="G98" s="3" t="n">
        <v>46</v>
      </c>
      <c r="H98" s="2" t="s">
        <v>274</v>
      </c>
      <c r="I98" s="2" t="s">
        <v>399</v>
      </c>
      <c r="J98" s="2" t="n">
        <v>2015</v>
      </c>
      <c r="K98" s="2" t="n">
        <f aca="false">'Notes &amp; Sources'!$B$3-J98</f>
        <v>11</v>
      </c>
      <c r="L98" s="2" t="s">
        <v>224</v>
      </c>
      <c r="M98" s="2" t="s">
        <v>43</v>
      </c>
      <c r="N98" s="2"/>
    </row>
    <row r="99" customFormat="false" ht="15" hidden="false" customHeight="false" outlineLevel="0" collapsed="false">
      <c r="A99" s="2" t="n">
        <v>98</v>
      </c>
      <c r="B99" s="2" t="s">
        <v>326</v>
      </c>
      <c r="C99" s="2" t="s">
        <v>400</v>
      </c>
      <c r="D99" s="2" t="s">
        <v>401</v>
      </c>
      <c r="E99" s="2" t="s">
        <v>26</v>
      </c>
      <c r="F99" s="2" t="s">
        <v>18</v>
      </c>
      <c r="G99" s="3" t="n">
        <v>3</v>
      </c>
      <c r="H99" s="2" t="s">
        <v>292</v>
      </c>
      <c r="I99" s="2" t="s">
        <v>46</v>
      </c>
      <c r="J99" s="2" t="n">
        <v>1999</v>
      </c>
      <c r="K99" s="2" t="n">
        <f aca="false">'Notes &amp; Sources'!$B$3-J99</f>
        <v>27</v>
      </c>
      <c r="L99" s="2" t="s">
        <v>111</v>
      </c>
      <c r="M99" s="2" t="s">
        <v>43</v>
      </c>
      <c r="N99" s="2" t="s">
        <v>402</v>
      </c>
    </row>
    <row r="100" customFormat="false" ht="15" hidden="false" customHeight="false" outlineLevel="0" collapsed="false">
      <c r="A100" s="2" t="n">
        <v>99</v>
      </c>
      <c r="B100" s="2" t="s">
        <v>326</v>
      </c>
      <c r="C100" s="2" t="s">
        <v>403</v>
      </c>
      <c r="D100" s="2" t="s">
        <v>404</v>
      </c>
      <c r="E100" s="2" t="s">
        <v>34</v>
      </c>
      <c r="F100" s="2" t="s">
        <v>18</v>
      </c>
      <c r="G100" s="3" t="n">
        <v>37</v>
      </c>
      <c r="H100" s="2" t="s">
        <v>405</v>
      </c>
      <c r="I100" s="2" t="s">
        <v>406</v>
      </c>
      <c r="J100" s="2" t="n">
        <v>2020</v>
      </c>
      <c r="K100" s="2" t="n">
        <f aca="false">'Notes &amp; Sources'!$B$3-J100</f>
        <v>6</v>
      </c>
      <c r="L100" s="2" t="s">
        <v>224</v>
      </c>
      <c r="M100" s="2" t="s">
        <v>43</v>
      </c>
      <c r="N100" s="2"/>
    </row>
    <row r="101" customFormat="false" ht="15" hidden="false" customHeight="false" outlineLevel="0" collapsed="false">
      <c r="A101" s="2" t="n">
        <v>100</v>
      </c>
      <c r="B101" s="2" t="s">
        <v>326</v>
      </c>
      <c r="C101" s="2" t="s">
        <v>407</v>
      </c>
      <c r="D101" s="2" t="s">
        <v>408</v>
      </c>
      <c r="E101" s="2" t="s">
        <v>409</v>
      </c>
      <c r="F101" s="2" t="s">
        <v>18</v>
      </c>
      <c r="G101" s="3" t="n">
        <v>89</v>
      </c>
      <c r="H101" s="2" t="s">
        <v>27</v>
      </c>
      <c r="I101" s="2" t="s">
        <v>410</v>
      </c>
      <c r="J101" s="2" t="n">
        <v>2013</v>
      </c>
      <c r="K101" s="2" t="n">
        <f aca="false">'Notes &amp; Sources'!$B$3-J101</f>
        <v>13</v>
      </c>
      <c r="L101" s="2" t="s">
        <v>224</v>
      </c>
      <c r="M101" s="2" t="s">
        <v>43</v>
      </c>
      <c r="N101" s="2" t="s">
        <v>411</v>
      </c>
    </row>
    <row r="102" customFormat="false" ht="15" hidden="false" customHeight="false" outlineLevel="0" collapsed="false">
      <c r="A102" s="2" t="n">
        <v>101</v>
      </c>
      <c r="B102" s="2" t="s">
        <v>326</v>
      </c>
      <c r="C102" s="2" t="s">
        <v>412</v>
      </c>
      <c r="D102" s="2" t="s">
        <v>413</v>
      </c>
      <c r="E102" s="2" t="s">
        <v>66</v>
      </c>
      <c r="F102" s="2" t="s">
        <v>18</v>
      </c>
      <c r="G102" s="3" t="n">
        <v>30</v>
      </c>
      <c r="H102" s="2" t="s">
        <v>27</v>
      </c>
      <c r="I102" s="2" t="s">
        <v>414</v>
      </c>
      <c r="J102" s="2" t="n">
        <v>1993</v>
      </c>
      <c r="K102" s="2" t="n">
        <f aca="false">'Notes &amp; Sources'!$B$3-J102</f>
        <v>33</v>
      </c>
      <c r="L102" s="2" t="s">
        <v>76</v>
      </c>
      <c r="M102" s="2" t="s">
        <v>43</v>
      </c>
      <c r="N102" s="2"/>
    </row>
    <row r="103" customFormat="false" ht="15" hidden="false" customHeight="false" outlineLevel="0" collapsed="false">
      <c r="A103" s="2" t="n">
        <v>102</v>
      </c>
      <c r="B103" s="2" t="s">
        <v>326</v>
      </c>
      <c r="C103" s="2" t="s">
        <v>415</v>
      </c>
      <c r="D103" s="2" t="s">
        <v>416</v>
      </c>
      <c r="E103" s="2" t="s">
        <v>140</v>
      </c>
      <c r="F103" s="2" t="s">
        <v>18</v>
      </c>
      <c r="G103" s="3" t="n">
        <v>848</v>
      </c>
      <c r="H103" s="2" t="s">
        <v>27</v>
      </c>
      <c r="I103" s="2" t="s">
        <v>417</v>
      </c>
      <c r="J103" s="2" t="n">
        <v>1991</v>
      </c>
      <c r="K103" s="2" t="n">
        <f aca="false">'Notes &amp; Sources'!$B$3-J103</f>
        <v>35</v>
      </c>
      <c r="L103" s="2" t="s">
        <v>418</v>
      </c>
      <c r="M103" s="2" t="s">
        <v>43</v>
      </c>
      <c r="N103" s="2"/>
    </row>
    <row r="104" customFormat="false" ht="15" hidden="false" customHeight="false" outlineLevel="0" collapsed="false">
      <c r="A104" s="2" t="n">
        <v>103</v>
      </c>
      <c r="B104" s="2" t="s">
        <v>326</v>
      </c>
      <c r="C104" s="2" t="s">
        <v>419</v>
      </c>
      <c r="D104" s="2" t="s">
        <v>239</v>
      </c>
      <c r="E104" s="2" t="s">
        <v>240</v>
      </c>
      <c r="F104" s="2" t="s">
        <v>18</v>
      </c>
      <c r="G104" s="3" t="n">
        <v>1197</v>
      </c>
      <c r="H104" s="2" t="s">
        <v>27</v>
      </c>
      <c r="I104" s="2" t="s">
        <v>420</v>
      </c>
      <c r="J104" s="2" t="n">
        <v>2015</v>
      </c>
      <c r="K104" s="2" t="n">
        <f aca="false">'Notes &amp; Sources'!$B$3-J104</f>
        <v>11</v>
      </c>
      <c r="L104" s="2" t="s">
        <v>224</v>
      </c>
      <c r="M104" s="2" t="s">
        <v>43</v>
      </c>
      <c r="N104" s="2"/>
    </row>
    <row r="105" customFormat="false" ht="15" hidden="false" customHeight="false" outlineLevel="0" collapsed="false">
      <c r="A105" s="2" t="n">
        <v>104</v>
      </c>
      <c r="B105" s="2" t="s">
        <v>326</v>
      </c>
      <c r="C105" s="2" t="s">
        <v>421</v>
      </c>
      <c r="D105" s="2" t="s">
        <v>239</v>
      </c>
      <c r="E105" s="2" t="s">
        <v>240</v>
      </c>
      <c r="F105" s="2" t="s">
        <v>18</v>
      </c>
      <c r="G105" s="3" t="n">
        <v>964</v>
      </c>
      <c r="H105" s="2" t="s">
        <v>27</v>
      </c>
      <c r="I105" s="2" t="s">
        <v>422</v>
      </c>
      <c r="J105" s="2" t="n">
        <v>2015</v>
      </c>
      <c r="K105" s="2" t="n">
        <f aca="false">'Notes &amp; Sources'!$B$3-J105</f>
        <v>11</v>
      </c>
      <c r="L105" s="2" t="s">
        <v>224</v>
      </c>
      <c r="M105" s="2" t="s">
        <v>43</v>
      </c>
      <c r="N105" s="2"/>
    </row>
    <row r="106" customFormat="false" ht="15" hidden="false" customHeight="false" outlineLevel="0" collapsed="false">
      <c r="A106" s="2" t="n">
        <v>105</v>
      </c>
      <c r="B106" s="2" t="s">
        <v>423</v>
      </c>
      <c r="C106" s="2" t="s">
        <v>424</v>
      </c>
      <c r="D106" s="2" t="s">
        <v>425</v>
      </c>
      <c r="E106" s="2" t="s">
        <v>426</v>
      </c>
      <c r="F106" s="2" t="s">
        <v>18</v>
      </c>
      <c r="G106" s="3" t="n">
        <v>74.34</v>
      </c>
      <c r="H106" s="2" t="s">
        <v>63</v>
      </c>
      <c r="I106" s="2" t="s">
        <v>427</v>
      </c>
      <c r="J106" s="2" t="n">
        <v>2020</v>
      </c>
      <c r="K106" s="2" t="n">
        <f aca="false">'Notes &amp; Sources'!$B$3-J106</f>
        <v>6</v>
      </c>
      <c r="L106" s="2" t="s">
        <v>428</v>
      </c>
      <c r="M106" s="2" t="s">
        <v>43</v>
      </c>
      <c r="N106" s="2"/>
    </row>
    <row r="107" customFormat="false" ht="15" hidden="false" customHeight="false" outlineLevel="0" collapsed="false">
      <c r="A107" s="2" t="n">
        <v>106</v>
      </c>
      <c r="B107" s="2" t="s">
        <v>423</v>
      </c>
      <c r="C107" s="2" t="s">
        <v>429</v>
      </c>
      <c r="D107" s="2" t="s">
        <v>430</v>
      </c>
      <c r="E107" s="2" t="s">
        <v>431</v>
      </c>
      <c r="F107" s="2" t="s">
        <v>18</v>
      </c>
      <c r="G107" s="3" t="n">
        <v>51.01</v>
      </c>
      <c r="H107" s="2" t="s">
        <v>63</v>
      </c>
      <c r="I107" s="2" t="s">
        <v>432</v>
      </c>
      <c r="J107" s="2" t="n">
        <v>2023</v>
      </c>
      <c r="K107" s="2" t="n">
        <f aca="false">'Notes &amp; Sources'!$B$3-J107</f>
        <v>3</v>
      </c>
      <c r="L107" s="2" t="s">
        <v>433</v>
      </c>
      <c r="M107" s="2" t="s">
        <v>43</v>
      </c>
      <c r="N107" s="2"/>
    </row>
    <row r="108" customFormat="false" ht="15" hidden="false" customHeight="false" outlineLevel="0" collapsed="false">
      <c r="A108" s="2" t="n">
        <v>107</v>
      </c>
      <c r="B108" s="2" t="s">
        <v>423</v>
      </c>
      <c r="C108" s="2" t="s">
        <v>434</v>
      </c>
      <c r="D108" s="2" t="s">
        <v>435</v>
      </c>
      <c r="E108" s="2" t="s">
        <v>436</v>
      </c>
      <c r="F108" s="2" t="s">
        <v>18</v>
      </c>
      <c r="G108" s="3" t="n">
        <v>54.03</v>
      </c>
      <c r="H108" s="2" t="s">
        <v>63</v>
      </c>
      <c r="I108" s="2" t="s">
        <v>437</v>
      </c>
      <c r="J108" s="2" t="n">
        <v>2021</v>
      </c>
      <c r="K108" s="2" t="n">
        <f aca="false">'Notes &amp; Sources'!$B$3-J108</f>
        <v>5</v>
      </c>
      <c r="L108" s="2" t="s">
        <v>438</v>
      </c>
      <c r="M108" s="2" t="s">
        <v>43</v>
      </c>
      <c r="N108" s="2"/>
    </row>
    <row r="109" customFormat="false" ht="15" hidden="false" customHeight="false" outlineLevel="0" collapsed="false">
      <c r="A109" s="2" t="n">
        <v>108</v>
      </c>
      <c r="B109" s="2" t="s">
        <v>423</v>
      </c>
      <c r="C109" s="2" t="s">
        <v>439</v>
      </c>
      <c r="D109" s="2" t="s">
        <v>440</v>
      </c>
      <c r="E109" s="2" t="s">
        <v>441</v>
      </c>
      <c r="F109" s="2" t="s">
        <v>18</v>
      </c>
      <c r="G109" s="3" t="n">
        <v>51.95</v>
      </c>
      <c r="H109" s="2" t="s">
        <v>63</v>
      </c>
      <c r="I109" s="2" t="s">
        <v>442</v>
      </c>
      <c r="J109" s="2" t="n">
        <v>2018</v>
      </c>
      <c r="K109" s="2" t="n">
        <f aca="false">'Notes &amp; Sources'!$B$3-J109</f>
        <v>8</v>
      </c>
      <c r="L109" s="2" t="s">
        <v>76</v>
      </c>
      <c r="M109" s="2" t="s">
        <v>43</v>
      </c>
      <c r="N109" s="2" t="s">
        <v>443</v>
      </c>
    </row>
    <row r="110" customFormat="false" ht="15" hidden="false" customHeight="false" outlineLevel="0" collapsed="false">
      <c r="A110" s="2" t="n">
        <v>109</v>
      </c>
      <c r="B110" s="2" t="s">
        <v>423</v>
      </c>
      <c r="C110" s="2" t="s">
        <v>444</v>
      </c>
      <c r="D110" s="2" t="s">
        <v>445</v>
      </c>
      <c r="E110" s="2" t="s">
        <v>446</v>
      </c>
      <c r="F110" s="2" t="s">
        <v>18</v>
      </c>
      <c r="G110" s="3" t="n">
        <v>45.51</v>
      </c>
      <c r="H110" s="2" t="s">
        <v>63</v>
      </c>
      <c r="I110" s="2" t="s">
        <v>447</v>
      </c>
      <c r="J110" s="2" t="n">
        <v>2011</v>
      </c>
      <c r="K110" s="2" t="n">
        <f aca="false">'Notes &amp; Sources'!$B$3-J110</f>
        <v>15</v>
      </c>
      <c r="L110" s="2" t="s">
        <v>448</v>
      </c>
      <c r="M110" s="2" t="s">
        <v>43</v>
      </c>
      <c r="N110" s="2"/>
    </row>
    <row r="111" customFormat="false" ht="15" hidden="false" customHeight="false" outlineLevel="0" collapsed="false">
      <c r="A111" s="2" t="n">
        <v>110</v>
      </c>
      <c r="B111" s="2" t="s">
        <v>423</v>
      </c>
      <c r="C111" s="2" t="s">
        <v>449</v>
      </c>
      <c r="D111" s="2" t="s">
        <v>435</v>
      </c>
      <c r="E111" s="2" t="s">
        <v>450</v>
      </c>
      <c r="F111" s="2" t="s">
        <v>18</v>
      </c>
      <c r="G111" s="3" t="n">
        <v>40</v>
      </c>
      <c r="H111" s="2" t="s">
        <v>63</v>
      </c>
      <c r="I111" s="2" t="s">
        <v>451</v>
      </c>
      <c r="J111" s="2" t="n">
        <v>2026</v>
      </c>
      <c r="K111" s="2" t="n">
        <f aca="false">'Notes &amp; Sources'!$B$3-J111</f>
        <v>0</v>
      </c>
      <c r="L111" s="2" t="s">
        <v>224</v>
      </c>
      <c r="M111" s="2" t="s">
        <v>43</v>
      </c>
      <c r="N111" s="2" t="s">
        <v>452</v>
      </c>
    </row>
    <row r="112" customFormat="false" ht="15" hidden="false" customHeight="false" outlineLevel="0" collapsed="false">
      <c r="A112" s="2" t="n">
        <v>111</v>
      </c>
      <c r="B112" s="2" t="s">
        <v>423</v>
      </c>
      <c r="C112" s="2" t="s">
        <v>453</v>
      </c>
      <c r="D112" s="2" t="s">
        <v>454</v>
      </c>
      <c r="E112" s="2" t="s">
        <v>455</v>
      </c>
      <c r="F112" s="2" t="s">
        <v>18</v>
      </c>
      <c r="G112" s="3" t="n">
        <v>14.01</v>
      </c>
      <c r="H112" s="2" t="s">
        <v>63</v>
      </c>
      <c r="I112" s="2" t="s">
        <v>456</v>
      </c>
      <c r="J112" s="2" t="n">
        <v>2007</v>
      </c>
      <c r="K112" s="2" t="n">
        <f aca="false">'Notes &amp; Sources'!$B$3-J112</f>
        <v>19</v>
      </c>
      <c r="L112" s="2" t="s">
        <v>76</v>
      </c>
      <c r="M112" s="2" t="s">
        <v>43</v>
      </c>
      <c r="N112" s="2"/>
    </row>
    <row r="113" customFormat="false" ht="15" hidden="false" customHeight="false" outlineLevel="0" collapsed="false">
      <c r="A113" s="2" t="n">
        <v>112</v>
      </c>
      <c r="B113" s="2" t="s">
        <v>423</v>
      </c>
      <c r="C113" s="2" t="s">
        <v>457</v>
      </c>
      <c r="D113" s="2" t="s">
        <v>458</v>
      </c>
      <c r="E113" s="2" t="s">
        <v>459</v>
      </c>
      <c r="F113" s="2" t="s">
        <v>18</v>
      </c>
      <c r="G113" s="3" t="n">
        <v>14.25</v>
      </c>
      <c r="H113" s="2" t="s">
        <v>63</v>
      </c>
      <c r="I113" s="2" t="s">
        <v>460</v>
      </c>
      <c r="J113" s="2" t="n">
        <v>2000</v>
      </c>
      <c r="K113" s="2" t="n">
        <f aca="false">'Notes &amp; Sources'!$B$3-J113</f>
        <v>26</v>
      </c>
      <c r="L113" s="2" t="s">
        <v>76</v>
      </c>
      <c r="M113" s="2" t="s">
        <v>43</v>
      </c>
      <c r="N113" s="2"/>
    </row>
    <row r="114" customFormat="false" ht="15" hidden="false" customHeight="false" outlineLevel="0" collapsed="false">
      <c r="A114" s="2" t="n">
        <v>113</v>
      </c>
      <c r="B114" s="2" t="s">
        <v>423</v>
      </c>
      <c r="C114" s="2" t="s">
        <v>461</v>
      </c>
      <c r="D114" s="2" t="s">
        <v>462</v>
      </c>
      <c r="E114" s="2" t="s">
        <v>463</v>
      </c>
      <c r="F114" s="2" t="s">
        <v>18</v>
      </c>
      <c r="G114" s="3" t="n">
        <v>13.89</v>
      </c>
      <c r="H114" s="2" t="s">
        <v>63</v>
      </c>
      <c r="I114" s="2" t="s">
        <v>464</v>
      </c>
      <c r="J114" s="2" t="n">
        <v>2013</v>
      </c>
      <c r="K114" s="2" t="n">
        <f aca="false">'Notes &amp; Sources'!$B$3-J114</f>
        <v>13</v>
      </c>
      <c r="L114" s="2" t="s">
        <v>465</v>
      </c>
      <c r="M114" s="2" t="s">
        <v>43</v>
      </c>
      <c r="N114" s="2"/>
    </row>
    <row r="115" customFormat="false" ht="15" hidden="false" customHeight="false" outlineLevel="0" collapsed="false">
      <c r="A115" s="2" t="n">
        <v>114</v>
      </c>
      <c r="B115" s="2" t="s">
        <v>423</v>
      </c>
      <c r="C115" s="2" t="s">
        <v>466</v>
      </c>
      <c r="D115" s="2" t="s">
        <v>467</v>
      </c>
      <c r="E115" s="2" t="s">
        <v>468</v>
      </c>
      <c r="F115" s="2" t="s">
        <v>18</v>
      </c>
      <c r="G115" s="3" t="n">
        <v>12.99</v>
      </c>
      <c r="H115" s="2" t="s">
        <v>63</v>
      </c>
      <c r="I115" s="2" t="s">
        <v>469</v>
      </c>
      <c r="J115" s="2" t="n">
        <v>2009</v>
      </c>
      <c r="K115" s="2" t="n">
        <f aca="false">'Notes &amp; Sources'!$B$3-J115</f>
        <v>17</v>
      </c>
      <c r="L115" s="2" t="s">
        <v>470</v>
      </c>
      <c r="M115" s="2" t="s">
        <v>43</v>
      </c>
      <c r="N115" s="2" t="s">
        <v>471</v>
      </c>
    </row>
    <row r="116" customFormat="false" ht="15" hidden="false" customHeight="false" outlineLevel="0" collapsed="false">
      <c r="A116" s="2" t="n">
        <v>115</v>
      </c>
      <c r="B116" s="2" t="s">
        <v>423</v>
      </c>
      <c r="C116" s="2" t="s">
        <v>472</v>
      </c>
      <c r="D116" s="2" t="s">
        <v>473</v>
      </c>
      <c r="E116" s="2" t="s">
        <v>441</v>
      </c>
      <c r="F116" s="2" t="s">
        <v>18</v>
      </c>
      <c r="G116" s="3" t="n">
        <v>10.9</v>
      </c>
      <c r="H116" s="2" t="s">
        <v>63</v>
      </c>
      <c r="I116" s="2" t="s">
        <v>474</v>
      </c>
      <c r="J116" s="2" t="n">
        <v>2021</v>
      </c>
      <c r="K116" s="2" t="n">
        <f aca="false">'Notes &amp; Sources'!$B$3-J116</f>
        <v>5</v>
      </c>
      <c r="L116" s="2" t="s">
        <v>475</v>
      </c>
      <c r="M116" s="2" t="s">
        <v>43</v>
      </c>
      <c r="N116" s="2"/>
    </row>
    <row r="117" customFormat="false" ht="15" hidden="false" customHeight="false" outlineLevel="0" collapsed="false">
      <c r="A117" s="2" t="n">
        <v>116</v>
      </c>
      <c r="B117" s="2" t="s">
        <v>476</v>
      </c>
      <c r="C117" s="2" t="s">
        <v>477</v>
      </c>
      <c r="D117" s="2" t="s">
        <v>478</v>
      </c>
      <c r="E117" s="2" t="s">
        <v>140</v>
      </c>
      <c r="F117" s="2" t="s">
        <v>18</v>
      </c>
      <c r="G117" s="3" t="n">
        <v>568</v>
      </c>
      <c r="H117" s="2" t="s">
        <v>150</v>
      </c>
      <c r="I117" s="2" t="s">
        <v>479</v>
      </c>
      <c r="J117" s="2" t="n">
        <v>1988</v>
      </c>
      <c r="K117" s="2" t="n">
        <f aca="false">'Notes &amp; Sources'!$B$3-J117</f>
        <v>38</v>
      </c>
      <c r="L117" s="2" t="s">
        <v>224</v>
      </c>
      <c r="M117" s="2" t="s">
        <v>43</v>
      </c>
      <c r="N117" s="2"/>
    </row>
    <row r="118" customFormat="false" ht="15" hidden="false" customHeight="false" outlineLevel="0" collapsed="false">
      <c r="A118" s="2" t="n">
        <v>117</v>
      </c>
      <c r="B118" s="2" t="s">
        <v>476</v>
      </c>
      <c r="C118" s="2" t="s">
        <v>480</v>
      </c>
      <c r="D118" s="2" t="s">
        <v>481</v>
      </c>
      <c r="E118" s="2" t="s">
        <v>482</v>
      </c>
      <c r="F118" s="2" t="s">
        <v>18</v>
      </c>
      <c r="G118" s="3" t="n">
        <v>45</v>
      </c>
      <c r="H118" s="2" t="s">
        <v>150</v>
      </c>
      <c r="I118" s="2" t="s">
        <v>483</v>
      </c>
      <c r="J118" s="2" t="n">
        <v>2006</v>
      </c>
      <c r="K118" s="2" t="n">
        <f aca="false">'Notes &amp; Sources'!$B$3-J118</f>
        <v>20</v>
      </c>
      <c r="L118" s="2" t="s">
        <v>224</v>
      </c>
      <c r="M118" s="2" t="s">
        <v>43</v>
      </c>
      <c r="N118" s="2" t="s">
        <v>484</v>
      </c>
    </row>
    <row r="119" customFormat="false" ht="15" hidden="false" customHeight="false" outlineLevel="0" collapsed="false">
      <c r="A119" s="2" t="n">
        <v>118</v>
      </c>
      <c r="B119" s="2" t="s">
        <v>476</v>
      </c>
      <c r="C119" s="2" t="s">
        <v>485</v>
      </c>
      <c r="D119" s="2" t="s">
        <v>486</v>
      </c>
      <c r="E119" s="2" t="s">
        <v>99</v>
      </c>
      <c r="F119" s="2" t="s">
        <v>18</v>
      </c>
      <c r="G119" s="3" t="n">
        <v>102</v>
      </c>
      <c r="H119" s="2" t="s">
        <v>150</v>
      </c>
      <c r="I119" s="2" t="s">
        <v>487</v>
      </c>
      <c r="J119" s="2" t="n">
        <v>2016</v>
      </c>
      <c r="K119" s="2" t="n">
        <f aca="false">'Notes &amp; Sources'!$B$3-J119</f>
        <v>10</v>
      </c>
      <c r="L119" s="2" t="s">
        <v>76</v>
      </c>
      <c r="M119" s="2" t="s">
        <v>43</v>
      </c>
      <c r="N119" s="2"/>
    </row>
    <row r="120" customFormat="false" ht="15" hidden="false" customHeight="false" outlineLevel="0" collapsed="false">
      <c r="A120" s="2" t="n">
        <v>119</v>
      </c>
      <c r="B120" s="2" t="s">
        <v>476</v>
      </c>
      <c r="C120" s="2" t="s">
        <v>177</v>
      </c>
      <c r="D120" s="2" t="s">
        <v>488</v>
      </c>
      <c r="E120" s="2" t="s">
        <v>489</v>
      </c>
      <c r="F120" s="2" t="s">
        <v>18</v>
      </c>
      <c r="G120" s="3" t="n">
        <v>1816</v>
      </c>
      <c r="H120" s="2" t="s">
        <v>179</v>
      </c>
      <c r="I120" s="2" t="s">
        <v>490</v>
      </c>
      <c r="J120" s="2" t="n">
        <v>1978</v>
      </c>
      <c r="K120" s="2" t="n">
        <f aca="false">'Notes &amp; Sources'!$B$3-J120</f>
        <v>48</v>
      </c>
      <c r="L120" s="2" t="s">
        <v>491</v>
      </c>
      <c r="M120" s="2" t="s">
        <v>43</v>
      </c>
      <c r="N120" s="2"/>
    </row>
    <row r="121" customFormat="false" ht="15" hidden="false" customHeight="false" outlineLevel="0" collapsed="false">
      <c r="A121" s="2" t="n">
        <v>120</v>
      </c>
      <c r="B121" s="2" t="s">
        <v>476</v>
      </c>
      <c r="C121" s="2" t="s">
        <v>492</v>
      </c>
      <c r="D121" s="2" t="s">
        <v>493</v>
      </c>
      <c r="E121" s="2" t="s">
        <v>49</v>
      </c>
      <c r="F121" s="2" t="s">
        <v>18</v>
      </c>
      <c r="G121" s="3" t="n">
        <v>1142</v>
      </c>
      <c r="H121" s="2" t="s">
        <v>179</v>
      </c>
      <c r="I121" s="2" t="s">
        <v>494</v>
      </c>
      <c r="J121" s="2" t="n">
        <v>1974</v>
      </c>
      <c r="K121" s="2" t="n">
        <f aca="false">'Notes &amp; Sources'!$B$3-J121</f>
        <v>52</v>
      </c>
      <c r="L121" s="2" t="s">
        <v>76</v>
      </c>
      <c r="M121" s="2" t="s">
        <v>43</v>
      </c>
      <c r="N121" s="2"/>
    </row>
    <row r="122" customFormat="false" ht="15" hidden="false" customHeight="false" outlineLevel="0" collapsed="false">
      <c r="A122" s="2" t="n">
        <v>121</v>
      </c>
      <c r="B122" s="2" t="s">
        <v>476</v>
      </c>
      <c r="C122" s="2" t="s">
        <v>495</v>
      </c>
      <c r="D122" s="2" t="s">
        <v>239</v>
      </c>
      <c r="E122" s="2" t="s">
        <v>240</v>
      </c>
      <c r="F122" s="2" t="s">
        <v>18</v>
      </c>
      <c r="G122" s="3" t="n">
        <v>34</v>
      </c>
      <c r="H122" s="2" t="s">
        <v>292</v>
      </c>
      <c r="I122" s="2" t="s">
        <v>28</v>
      </c>
      <c r="J122" s="2" t="n">
        <v>2015</v>
      </c>
      <c r="K122" s="2" t="n">
        <f aca="false">'Notes &amp; Sources'!$B$3-J122</f>
        <v>11</v>
      </c>
      <c r="L122" s="2" t="s">
        <v>224</v>
      </c>
      <c r="M122" s="2" t="s">
        <v>43</v>
      </c>
      <c r="N122" s="2" t="s">
        <v>496</v>
      </c>
    </row>
    <row r="123" customFormat="false" ht="15" hidden="false" customHeight="false" outlineLevel="0" collapsed="false">
      <c r="A123" s="2" t="n">
        <v>122</v>
      </c>
      <c r="B123" s="2" t="s">
        <v>476</v>
      </c>
      <c r="C123" s="2" t="s">
        <v>497</v>
      </c>
      <c r="D123" s="2" t="s">
        <v>239</v>
      </c>
      <c r="E123" s="2" t="s">
        <v>240</v>
      </c>
      <c r="F123" s="2" t="s">
        <v>18</v>
      </c>
      <c r="G123" s="3" t="n">
        <v>21</v>
      </c>
      <c r="H123" s="2" t="s">
        <v>19</v>
      </c>
      <c r="I123" s="2" t="s">
        <v>384</v>
      </c>
      <c r="J123" s="2" t="n">
        <v>2005</v>
      </c>
      <c r="K123" s="2" t="n">
        <f aca="false">'Notes &amp; Sources'!$B$3-J123</f>
        <v>21</v>
      </c>
      <c r="L123" s="2" t="s">
        <v>224</v>
      </c>
      <c r="M123" s="2" t="s">
        <v>43</v>
      </c>
      <c r="N123" s="2"/>
    </row>
    <row r="124" customFormat="false" ht="15" hidden="false" customHeight="false" outlineLevel="0" collapsed="false">
      <c r="A124" s="2" t="n">
        <v>123</v>
      </c>
      <c r="B124" s="2" t="s">
        <v>498</v>
      </c>
      <c r="C124" s="2" t="s">
        <v>499</v>
      </c>
      <c r="D124" s="2" t="s">
        <v>500</v>
      </c>
      <c r="E124" s="2" t="s">
        <v>501</v>
      </c>
      <c r="F124" s="2" t="s">
        <v>18</v>
      </c>
      <c r="G124" s="3" t="n">
        <v>2155</v>
      </c>
      <c r="H124" s="2" t="s">
        <v>27</v>
      </c>
      <c r="I124" s="2" t="s">
        <v>502</v>
      </c>
      <c r="J124" s="2" t="n">
        <v>2013</v>
      </c>
      <c r="K124" s="2" t="n">
        <f aca="false">'Notes &amp; Sources'!$B$3-J124</f>
        <v>13</v>
      </c>
      <c r="L124" s="2" t="s">
        <v>224</v>
      </c>
      <c r="M124" s="2" t="s">
        <v>43</v>
      </c>
      <c r="N124" s="2"/>
    </row>
    <row r="125" customFormat="false" ht="15" hidden="false" customHeight="false" outlineLevel="0" collapsed="false">
      <c r="A125" s="2" t="n">
        <v>124</v>
      </c>
      <c r="B125" s="2" t="s">
        <v>498</v>
      </c>
      <c r="C125" s="2" t="s">
        <v>503</v>
      </c>
      <c r="D125" s="2" t="s">
        <v>500</v>
      </c>
      <c r="E125" s="2" t="s">
        <v>501</v>
      </c>
      <c r="F125" s="2" t="s">
        <v>18</v>
      </c>
      <c r="G125" s="3" t="n">
        <v>49</v>
      </c>
      <c r="H125" s="2" t="s">
        <v>504</v>
      </c>
      <c r="I125" s="2" t="s">
        <v>169</v>
      </c>
      <c r="J125" s="2" t="n">
        <v>2013</v>
      </c>
      <c r="K125" s="2" t="n">
        <f aca="false">'Notes &amp; Sources'!$B$3-J125</f>
        <v>13</v>
      </c>
      <c r="L125" s="2" t="s">
        <v>224</v>
      </c>
      <c r="M125" s="2" t="s">
        <v>43</v>
      </c>
      <c r="N125" s="2"/>
    </row>
    <row r="126" customFormat="false" ht="15" hidden="false" customHeight="false" outlineLevel="0" collapsed="false">
      <c r="A126" s="2" t="n">
        <v>125</v>
      </c>
      <c r="B126" s="2" t="s">
        <v>498</v>
      </c>
      <c r="C126" s="2" t="s">
        <v>505</v>
      </c>
      <c r="D126" s="2" t="s">
        <v>506</v>
      </c>
      <c r="E126" s="2" t="s">
        <v>365</v>
      </c>
      <c r="F126" s="2" t="s">
        <v>18</v>
      </c>
      <c r="G126" s="3" t="n">
        <v>1754</v>
      </c>
      <c r="H126" s="2" t="s">
        <v>27</v>
      </c>
      <c r="I126" s="2" t="s">
        <v>507</v>
      </c>
      <c r="J126" s="2" t="n">
        <v>1940</v>
      </c>
      <c r="K126" s="2" t="n">
        <f aca="false">'Notes &amp; Sources'!$B$3-J126</f>
        <v>86</v>
      </c>
      <c r="L126" s="2" t="s">
        <v>224</v>
      </c>
      <c r="M126" s="2" t="s">
        <v>43</v>
      </c>
      <c r="N126" s="2"/>
    </row>
    <row r="127" customFormat="false" ht="15" hidden="false" customHeight="false" outlineLevel="0" collapsed="false">
      <c r="A127" s="2" t="n">
        <v>126</v>
      </c>
      <c r="B127" s="2" t="s">
        <v>498</v>
      </c>
      <c r="C127" s="2" t="s">
        <v>508</v>
      </c>
      <c r="D127" s="2" t="s">
        <v>509</v>
      </c>
      <c r="E127" s="2" t="s">
        <v>510</v>
      </c>
      <c r="F127" s="2" t="s">
        <v>18</v>
      </c>
      <c r="G127" s="3" t="n">
        <v>53</v>
      </c>
      <c r="H127" s="2" t="s">
        <v>63</v>
      </c>
      <c r="I127" s="2" t="s">
        <v>511</v>
      </c>
      <c r="J127" s="2" t="n">
        <v>2008</v>
      </c>
      <c r="K127" s="2" t="n">
        <f aca="false">'Notes &amp; Sources'!$B$3-J127</f>
        <v>18</v>
      </c>
      <c r="L127" s="2" t="s">
        <v>224</v>
      </c>
      <c r="M127" s="2" t="s">
        <v>43</v>
      </c>
      <c r="N127" s="2" t="s">
        <v>512</v>
      </c>
    </row>
    <row r="128" customFormat="false" ht="15" hidden="false" customHeight="false" outlineLevel="0" collapsed="false">
      <c r="A128" s="2" t="n">
        <v>127</v>
      </c>
      <c r="B128" s="2" t="s">
        <v>498</v>
      </c>
      <c r="C128" s="2" t="s">
        <v>513</v>
      </c>
      <c r="D128" s="2" t="s">
        <v>514</v>
      </c>
      <c r="E128" s="2" t="s">
        <v>515</v>
      </c>
      <c r="F128" s="2" t="s">
        <v>18</v>
      </c>
      <c r="G128" s="3" t="n">
        <v>287</v>
      </c>
      <c r="H128" s="2" t="s">
        <v>27</v>
      </c>
      <c r="I128" s="2" t="s">
        <v>516</v>
      </c>
      <c r="J128" s="2" t="n">
        <v>2009</v>
      </c>
      <c r="K128" s="2" t="n">
        <f aca="false">'Notes &amp; Sources'!$B$3-J128</f>
        <v>17</v>
      </c>
      <c r="L128" s="2" t="s">
        <v>76</v>
      </c>
      <c r="M128" s="2" t="s">
        <v>43</v>
      </c>
      <c r="N128" s="2"/>
    </row>
    <row r="129" customFormat="false" ht="15" hidden="false" customHeight="false" outlineLevel="0" collapsed="false">
      <c r="A129" s="2" t="n">
        <v>128</v>
      </c>
      <c r="B129" s="2" t="s">
        <v>517</v>
      </c>
      <c r="C129" s="2" t="s">
        <v>518</v>
      </c>
      <c r="D129" s="2" t="s">
        <v>114</v>
      </c>
      <c r="E129" s="2" t="s">
        <v>114</v>
      </c>
      <c r="F129" s="2" t="s">
        <v>35</v>
      </c>
      <c r="G129" s="3" t="n">
        <v>35</v>
      </c>
      <c r="H129" s="2" t="s">
        <v>504</v>
      </c>
      <c r="I129" s="2" t="s">
        <v>208</v>
      </c>
      <c r="J129" s="2" t="n">
        <v>2024</v>
      </c>
      <c r="K129" s="2" t="n">
        <f aca="false">'Notes &amp; Sources'!$B$3-J129</f>
        <v>2</v>
      </c>
      <c r="L129" s="2" t="s">
        <v>519</v>
      </c>
      <c r="M129" s="2" t="s">
        <v>43</v>
      </c>
      <c r="N129" s="2"/>
    </row>
    <row r="130" customFormat="false" ht="15" hidden="false" customHeight="false" outlineLevel="0" collapsed="false">
      <c r="A130" s="2" t="n">
        <v>129</v>
      </c>
      <c r="B130" s="2" t="s">
        <v>517</v>
      </c>
      <c r="C130" s="2" t="s">
        <v>520</v>
      </c>
      <c r="D130" s="2" t="s">
        <v>521</v>
      </c>
      <c r="E130" s="2" t="s">
        <v>522</v>
      </c>
      <c r="F130" s="2" t="s">
        <v>35</v>
      </c>
      <c r="G130" s="3" t="n">
        <v>61</v>
      </c>
      <c r="H130" s="2" t="s">
        <v>172</v>
      </c>
      <c r="I130" s="2" t="s">
        <v>523</v>
      </c>
      <c r="J130" s="2" t="n">
        <v>2024</v>
      </c>
      <c r="K130" s="2" t="n">
        <f aca="false">'Notes &amp; Sources'!$B$3-J130</f>
        <v>2</v>
      </c>
      <c r="L130" s="2" t="s">
        <v>224</v>
      </c>
      <c r="M130" s="2" t="s">
        <v>43</v>
      </c>
      <c r="N130" s="2"/>
    </row>
    <row r="131" customFormat="false" ht="15" hidden="false" customHeight="false" outlineLevel="0" collapsed="false">
      <c r="A131" s="2" t="n">
        <v>130</v>
      </c>
      <c r="B131" s="2" t="s">
        <v>517</v>
      </c>
      <c r="C131" s="2" t="s">
        <v>524</v>
      </c>
      <c r="D131" s="2" t="s">
        <v>525</v>
      </c>
      <c r="E131" s="2" t="s">
        <v>525</v>
      </c>
      <c r="F131" s="2" t="s">
        <v>35</v>
      </c>
      <c r="G131" s="3" t="n">
        <v>19</v>
      </c>
      <c r="H131" s="2" t="s">
        <v>172</v>
      </c>
      <c r="I131" s="2" t="s">
        <v>377</v>
      </c>
      <c r="J131" s="2" t="n">
        <v>2025</v>
      </c>
      <c r="K131" s="2" t="n">
        <f aca="false">'Notes &amp; Sources'!$B$3-J131</f>
        <v>1</v>
      </c>
      <c r="L131" s="2" t="s">
        <v>76</v>
      </c>
      <c r="M131" s="2" t="s">
        <v>43</v>
      </c>
      <c r="N131" s="2"/>
    </row>
    <row r="132" customFormat="false" ht="15" hidden="false" customHeight="false" outlineLevel="0" collapsed="false">
      <c r="A132" s="2" t="n">
        <v>131</v>
      </c>
      <c r="B132" s="2" t="s">
        <v>517</v>
      </c>
      <c r="C132" s="2" t="s">
        <v>526</v>
      </c>
      <c r="D132" s="2" t="s">
        <v>527</v>
      </c>
      <c r="E132" s="2" t="s">
        <v>528</v>
      </c>
      <c r="F132" s="2" t="s">
        <v>35</v>
      </c>
      <c r="G132" s="3" t="n">
        <v>79</v>
      </c>
      <c r="H132" s="2" t="s">
        <v>27</v>
      </c>
      <c r="I132" s="2" t="s">
        <v>529</v>
      </c>
      <c r="J132" s="2" t="n">
        <v>2023</v>
      </c>
      <c r="K132" s="2" t="n">
        <f aca="false">'Notes &amp; Sources'!$B$3-J132</f>
        <v>3</v>
      </c>
      <c r="L132" s="2" t="s">
        <v>224</v>
      </c>
      <c r="M132" s="2" t="s">
        <v>43</v>
      </c>
      <c r="N132" s="2"/>
    </row>
    <row r="133" customFormat="false" ht="15" hidden="false" customHeight="false" outlineLevel="0" collapsed="false">
      <c r="A133" s="2" t="n">
        <v>132</v>
      </c>
      <c r="B133" s="2" t="s">
        <v>517</v>
      </c>
      <c r="C133" s="2" t="s">
        <v>530</v>
      </c>
      <c r="D133" s="2" t="s">
        <v>49</v>
      </c>
      <c r="E133" s="2" t="s">
        <v>49</v>
      </c>
      <c r="F133" s="2" t="s">
        <v>35</v>
      </c>
      <c r="G133" s="3" t="n">
        <v>37</v>
      </c>
      <c r="H133" s="2" t="s">
        <v>27</v>
      </c>
      <c r="I133" s="2" t="s">
        <v>406</v>
      </c>
      <c r="J133" s="2" t="n">
        <v>2021</v>
      </c>
      <c r="K133" s="2" t="n">
        <f aca="false">'Notes &amp; Sources'!$B$3-J133</f>
        <v>5</v>
      </c>
      <c r="L133" s="2" t="s">
        <v>76</v>
      </c>
      <c r="M133" s="2" t="s">
        <v>43</v>
      </c>
      <c r="N133" s="2"/>
    </row>
    <row r="134" customFormat="false" ht="15" hidden="false" customHeight="false" outlineLevel="0" collapsed="false">
      <c r="A134" s="2" t="n">
        <v>133</v>
      </c>
      <c r="B134" s="2" t="s">
        <v>517</v>
      </c>
      <c r="C134" s="2" t="s">
        <v>531</v>
      </c>
      <c r="D134" s="2" t="s">
        <v>532</v>
      </c>
      <c r="E134" s="2" t="s">
        <v>533</v>
      </c>
      <c r="F134" s="2" t="s">
        <v>35</v>
      </c>
      <c r="G134" s="3" t="n">
        <v>15</v>
      </c>
      <c r="H134" s="2" t="s">
        <v>36</v>
      </c>
      <c r="I134" s="2" t="s">
        <v>115</v>
      </c>
      <c r="J134" s="2" t="n">
        <v>2009</v>
      </c>
      <c r="K134" s="2" t="n">
        <f aca="false">'Notes &amp; Sources'!$B$3-J134</f>
        <v>17</v>
      </c>
      <c r="L134" s="2" t="s">
        <v>534</v>
      </c>
      <c r="M134" s="2" t="s">
        <v>43</v>
      </c>
      <c r="N134" s="2"/>
    </row>
    <row r="135" customFormat="false" ht="15" hidden="false" customHeight="false" outlineLevel="0" collapsed="false">
      <c r="A135" s="2" t="n">
        <v>134</v>
      </c>
      <c r="B135" s="2" t="s">
        <v>517</v>
      </c>
      <c r="C135" s="2" t="s">
        <v>535</v>
      </c>
      <c r="D135" s="2" t="s">
        <v>536</v>
      </c>
      <c r="E135" s="2" t="s">
        <v>536</v>
      </c>
      <c r="F135" s="2" t="s">
        <v>35</v>
      </c>
      <c r="G135" s="3" t="n">
        <v>111</v>
      </c>
      <c r="H135" s="2" t="s">
        <v>165</v>
      </c>
      <c r="I135" s="2" t="s">
        <v>537</v>
      </c>
      <c r="J135" s="2" t="n">
        <v>2025</v>
      </c>
      <c r="K135" s="2" t="n">
        <f aca="false">'Notes &amp; Sources'!$B$3-J135</f>
        <v>1</v>
      </c>
      <c r="L135" s="2" t="s">
        <v>538</v>
      </c>
      <c r="M135" s="2" t="s">
        <v>43</v>
      </c>
      <c r="N135" s="2" t="s">
        <v>539</v>
      </c>
    </row>
    <row r="136" customFormat="false" ht="15" hidden="false" customHeight="false" outlineLevel="0" collapsed="false">
      <c r="A136" s="2" t="n">
        <v>135</v>
      </c>
      <c r="B136" s="2" t="s">
        <v>517</v>
      </c>
      <c r="C136" s="2" t="s">
        <v>540</v>
      </c>
      <c r="D136" s="2" t="s">
        <v>541</v>
      </c>
      <c r="E136" s="2" t="s">
        <v>542</v>
      </c>
      <c r="F136" s="2" t="s">
        <v>35</v>
      </c>
      <c r="G136" s="3" t="n">
        <v>35</v>
      </c>
      <c r="H136" s="2" t="s">
        <v>165</v>
      </c>
      <c r="I136" s="2" t="s">
        <v>208</v>
      </c>
      <c r="J136" s="2" t="n">
        <v>2018</v>
      </c>
      <c r="K136" s="2" t="n">
        <f aca="false">'Notes &amp; Sources'!$B$3-J136</f>
        <v>8</v>
      </c>
      <c r="L136" s="2" t="s">
        <v>543</v>
      </c>
      <c r="M136" s="2" t="s">
        <v>43</v>
      </c>
      <c r="N136" s="2"/>
    </row>
    <row r="137" customFormat="false" ht="15" hidden="false" customHeight="false" outlineLevel="0" collapsed="false">
      <c r="A137" s="2" t="n">
        <v>136</v>
      </c>
      <c r="B137" s="2" t="s">
        <v>517</v>
      </c>
      <c r="C137" s="2" t="s">
        <v>544</v>
      </c>
      <c r="D137" s="2" t="s">
        <v>545</v>
      </c>
      <c r="E137" s="2" t="s">
        <v>545</v>
      </c>
      <c r="F137" s="2" t="s">
        <v>35</v>
      </c>
      <c r="G137" s="3" t="n">
        <v>96</v>
      </c>
      <c r="H137" s="2" t="s">
        <v>27</v>
      </c>
      <c r="I137" s="2" t="s">
        <v>348</v>
      </c>
      <c r="J137" s="2" t="n">
        <v>1939</v>
      </c>
      <c r="K137" s="2" t="n">
        <f aca="false">'Notes &amp; Sources'!$B$3-J137</f>
        <v>87</v>
      </c>
      <c r="L137" s="2" t="s">
        <v>546</v>
      </c>
      <c r="M137" s="2" t="s">
        <v>43</v>
      </c>
      <c r="N137" s="2"/>
    </row>
    <row r="138" customFormat="false" ht="15" hidden="false" customHeight="false" outlineLevel="0" collapsed="false">
      <c r="A138" s="2" t="n">
        <v>137</v>
      </c>
      <c r="B138" s="2" t="s">
        <v>517</v>
      </c>
      <c r="C138" s="2" t="s">
        <v>547</v>
      </c>
      <c r="D138" s="2" t="s">
        <v>352</v>
      </c>
      <c r="E138" s="2" t="s">
        <v>352</v>
      </c>
      <c r="F138" s="2" t="s">
        <v>35</v>
      </c>
      <c r="G138" s="3" t="n">
        <v>66</v>
      </c>
      <c r="H138" s="2" t="s">
        <v>27</v>
      </c>
      <c r="I138" s="2" t="s">
        <v>548</v>
      </c>
      <c r="J138" s="2" t="n">
        <v>1957</v>
      </c>
      <c r="K138" s="2" t="n">
        <f aca="false">'Notes &amp; Sources'!$B$3-J138</f>
        <v>69</v>
      </c>
      <c r="L138" s="2" t="s">
        <v>76</v>
      </c>
      <c r="M138" s="2" t="s">
        <v>43</v>
      </c>
      <c r="N138" s="2"/>
    </row>
    <row r="139" customFormat="false" ht="15" hidden="false" customHeight="false" outlineLevel="0" collapsed="false">
      <c r="A139" s="2" t="n">
        <v>138</v>
      </c>
      <c r="B139" s="2" t="s">
        <v>517</v>
      </c>
      <c r="C139" s="2" t="s">
        <v>549</v>
      </c>
      <c r="D139" s="2" t="s">
        <v>550</v>
      </c>
      <c r="E139" s="2" t="s">
        <v>550</v>
      </c>
      <c r="F139" s="2" t="s">
        <v>35</v>
      </c>
      <c r="G139" s="3" t="n">
        <v>65</v>
      </c>
      <c r="H139" s="2" t="s">
        <v>551</v>
      </c>
      <c r="I139" s="2" t="s">
        <v>552</v>
      </c>
      <c r="J139" s="2" t="n">
        <v>2013</v>
      </c>
      <c r="K139" s="2" t="n">
        <f aca="false">'Notes &amp; Sources'!$B$3-J139</f>
        <v>13</v>
      </c>
      <c r="L139" s="2" t="s">
        <v>553</v>
      </c>
      <c r="M139" s="2" t="s">
        <v>43</v>
      </c>
      <c r="N139" s="2"/>
    </row>
    <row r="140" customFormat="false" ht="15" hidden="false" customHeight="false" outlineLevel="0" collapsed="false">
      <c r="A140" s="2" t="n">
        <v>139</v>
      </c>
      <c r="B140" s="2" t="s">
        <v>517</v>
      </c>
      <c r="C140" s="2" t="s">
        <v>554</v>
      </c>
      <c r="D140" s="2" t="s">
        <v>555</v>
      </c>
      <c r="E140" s="2" t="s">
        <v>555</v>
      </c>
      <c r="F140" s="2" t="s">
        <v>35</v>
      </c>
      <c r="G140" s="3" t="n">
        <v>61</v>
      </c>
      <c r="H140" s="2" t="s">
        <v>551</v>
      </c>
      <c r="I140" s="2" t="s">
        <v>523</v>
      </c>
      <c r="J140" s="2" t="n">
        <v>2014</v>
      </c>
      <c r="K140" s="2" t="n">
        <f aca="false">'Notes &amp; Sources'!$B$3-J140</f>
        <v>12</v>
      </c>
      <c r="L140" s="2" t="s">
        <v>76</v>
      </c>
      <c r="M140" s="2" t="s">
        <v>43</v>
      </c>
      <c r="N140" s="2"/>
    </row>
    <row r="141" customFormat="false" ht="15" hidden="false" customHeight="false" outlineLevel="0" collapsed="false">
      <c r="A141" s="2" t="n">
        <v>140</v>
      </c>
      <c r="B141" s="2" t="s">
        <v>517</v>
      </c>
      <c r="C141" s="2" t="s">
        <v>556</v>
      </c>
      <c r="D141" s="2" t="s">
        <v>555</v>
      </c>
      <c r="E141" s="2" t="s">
        <v>555</v>
      </c>
      <c r="F141" s="2" t="s">
        <v>35</v>
      </c>
      <c r="G141" s="3" t="n">
        <v>140</v>
      </c>
      <c r="H141" s="2" t="s">
        <v>27</v>
      </c>
      <c r="I141" s="2" t="s">
        <v>122</v>
      </c>
      <c r="J141" s="2" t="n">
        <v>2024</v>
      </c>
      <c r="K141" s="2" t="n">
        <f aca="false">'Notes &amp; Sources'!$B$3-J141</f>
        <v>2</v>
      </c>
      <c r="L141" s="2" t="s">
        <v>76</v>
      </c>
      <c r="M141" s="2" t="s">
        <v>43</v>
      </c>
      <c r="N141" s="2" t="s">
        <v>557</v>
      </c>
    </row>
    <row r="142" customFormat="false" ht="15" hidden="false" customHeight="false" outlineLevel="0" collapsed="false">
      <c r="A142" s="2" t="n">
        <v>141</v>
      </c>
      <c r="B142" s="2" t="s">
        <v>517</v>
      </c>
      <c r="C142" s="2" t="s">
        <v>558</v>
      </c>
      <c r="D142" s="2" t="s">
        <v>559</v>
      </c>
      <c r="E142" s="2" t="s">
        <v>559</v>
      </c>
      <c r="F142" s="2" t="s">
        <v>35</v>
      </c>
      <c r="G142" s="3" t="n">
        <v>1166</v>
      </c>
      <c r="H142" s="2" t="s">
        <v>179</v>
      </c>
      <c r="I142" s="2" t="s">
        <v>560</v>
      </c>
      <c r="J142" s="2" t="n">
        <v>2011</v>
      </c>
      <c r="K142" s="2" t="n">
        <f aca="false">'Notes &amp; Sources'!$B$3-J142</f>
        <v>15</v>
      </c>
      <c r="L142" s="2" t="s">
        <v>561</v>
      </c>
      <c r="M142" s="2" t="s">
        <v>43</v>
      </c>
      <c r="N142" s="2"/>
    </row>
    <row r="143" customFormat="false" ht="15" hidden="false" customHeight="false" outlineLevel="0" collapsed="false">
      <c r="A143" s="2" t="n">
        <v>142</v>
      </c>
      <c r="B143" s="2" t="s">
        <v>517</v>
      </c>
      <c r="C143" s="2" t="s">
        <v>562</v>
      </c>
      <c r="D143" s="2" t="s">
        <v>563</v>
      </c>
      <c r="E143" s="2" t="s">
        <v>563</v>
      </c>
      <c r="F143" s="2" t="s">
        <v>35</v>
      </c>
      <c r="G143" s="3" t="n">
        <v>36</v>
      </c>
      <c r="H143" s="2" t="s">
        <v>19</v>
      </c>
      <c r="I143" s="2" t="s">
        <v>564</v>
      </c>
      <c r="J143" s="2" t="n">
        <v>1885</v>
      </c>
      <c r="K143" s="2" t="n">
        <f aca="false">'Notes &amp; Sources'!$B$3-J143</f>
        <v>141</v>
      </c>
      <c r="L143" s="2" t="s">
        <v>565</v>
      </c>
      <c r="M143" s="2" t="s">
        <v>43</v>
      </c>
      <c r="N143" s="2" t="s">
        <v>566</v>
      </c>
    </row>
    <row r="144" customFormat="false" ht="15" hidden="false" customHeight="false" outlineLevel="0" collapsed="false">
      <c r="A144" s="2" t="n">
        <v>143</v>
      </c>
      <c r="B144" s="2" t="s">
        <v>265</v>
      </c>
      <c r="C144" s="2" t="s">
        <v>567</v>
      </c>
      <c r="D144" s="2" t="s">
        <v>568</v>
      </c>
      <c r="E144" s="2" t="s">
        <v>569</v>
      </c>
      <c r="F144" s="2" t="s">
        <v>18</v>
      </c>
      <c r="G144" s="3" t="n">
        <v>22</v>
      </c>
      <c r="H144" s="2" t="s">
        <v>19</v>
      </c>
      <c r="I144" s="2" t="s">
        <v>20</v>
      </c>
      <c r="J144" s="2" t="n">
        <v>2021</v>
      </c>
      <c r="K144" s="2" t="n">
        <f aca="false">'Notes &amp; Sources'!$B$3-J144</f>
        <v>5</v>
      </c>
      <c r="L144" s="2" t="s">
        <v>570</v>
      </c>
      <c r="M144" s="2" t="s">
        <v>43</v>
      </c>
      <c r="N144" s="2" t="s">
        <v>571</v>
      </c>
    </row>
    <row r="145" customFormat="false" ht="15" hidden="false" customHeight="false" outlineLevel="0" collapsed="false">
      <c r="A145" s="2" t="n">
        <v>144</v>
      </c>
      <c r="B145" s="2" t="s">
        <v>265</v>
      </c>
      <c r="C145" s="2" t="s">
        <v>572</v>
      </c>
      <c r="D145" s="2" t="s">
        <v>573</v>
      </c>
      <c r="E145" s="2" t="s">
        <v>574</v>
      </c>
      <c r="F145" s="2" t="s">
        <v>18</v>
      </c>
      <c r="G145" s="3" t="n">
        <v>17</v>
      </c>
      <c r="H145" s="2" t="s">
        <v>19</v>
      </c>
      <c r="I145" s="2" t="s">
        <v>72</v>
      </c>
      <c r="J145" s="2" t="n">
        <v>2007</v>
      </c>
      <c r="K145" s="2" t="n">
        <f aca="false">'Notes &amp; Sources'!$B$3-J145</f>
        <v>19</v>
      </c>
      <c r="L145" s="2" t="s">
        <v>575</v>
      </c>
      <c r="M145" s="2" t="s">
        <v>43</v>
      </c>
      <c r="N145" s="2" t="s">
        <v>576</v>
      </c>
    </row>
    <row r="146" customFormat="false" ht="15" hidden="false" customHeight="false" outlineLevel="0" collapsed="false">
      <c r="A146" s="2" t="n">
        <v>145</v>
      </c>
      <c r="B146" s="2" t="s">
        <v>265</v>
      </c>
      <c r="C146" s="2" t="s">
        <v>577</v>
      </c>
      <c r="D146" s="2" t="s">
        <v>578</v>
      </c>
      <c r="E146" s="2" t="s">
        <v>579</v>
      </c>
      <c r="F146" s="2" t="s">
        <v>18</v>
      </c>
      <c r="G146" s="3" t="n">
        <v>76</v>
      </c>
      <c r="H146" s="2" t="s">
        <v>19</v>
      </c>
      <c r="I146" s="2" t="s">
        <v>580</v>
      </c>
      <c r="J146" s="2" t="n">
        <v>2024</v>
      </c>
      <c r="K146" s="2" t="n">
        <f aca="false">'Notes &amp; Sources'!$B$3-J146</f>
        <v>2</v>
      </c>
      <c r="L146" s="2" t="s">
        <v>581</v>
      </c>
      <c r="M146" s="2" t="s">
        <v>43</v>
      </c>
      <c r="N146" s="2"/>
    </row>
    <row r="147" customFormat="false" ht="15" hidden="false" customHeight="false" outlineLevel="0" collapsed="false">
      <c r="A147" s="2" t="n">
        <v>146</v>
      </c>
      <c r="B147" s="2" t="s">
        <v>265</v>
      </c>
      <c r="C147" s="2" t="s">
        <v>582</v>
      </c>
      <c r="D147" s="2" t="s">
        <v>578</v>
      </c>
      <c r="E147" s="2" t="s">
        <v>579</v>
      </c>
      <c r="F147" s="2" t="s">
        <v>18</v>
      </c>
      <c r="G147" s="3" t="n">
        <v>10</v>
      </c>
      <c r="H147" s="2" t="s">
        <v>19</v>
      </c>
      <c r="I147" s="2" t="s">
        <v>583</v>
      </c>
      <c r="J147" s="2" t="n">
        <v>2024</v>
      </c>
      <c r="K147" s="2" t="n">
        <f aca="false">'Notes &amp; Sources'!$B$3-J147</f>
        <v>2</v>
      </c>
      <c r="L147" s="2" t="s">
        <v>581</v>
      </c>
      <c r="M147" s="2" t="s">
        <v>43</v>
      </c>
      <c r="N147" s="2"/>
    </row>
    <row r="148" customFormat="false" ht="15" hidden="false" customHeight="false" outlineLevel="0" collapsed="false">
      <c r="A148" s="2" t="n">
        <v>147</v>
      </c>
      <c r="B148" s="2" t="s">
        <v>265</v>
      </c>
      <c r="C148" s="2" t="s">
        <v>584</v>
      </c>
      <c r="D148" s="2" t="s">
        <v>585</v>
      </c>
      <c r="E148" s="2" t="s">
        <v>586</v>
      </c>
      <c r="F148" s="2" t="s">
        <v>18</v>
      </c>
      <c r="G148" s="3" t="n">
        <v>1.1</v>
      </c>
      <c r="H148" s="2" t="s">
        <v>184</v>
      </c>
      <c r="I148" s="2" t="s">
        <v>587</v>
      </c>
      <c r="J148" s="2" t="n">
        <v>1993</v>
      </c>
      <c r="K148" s="2" t="n">
        <f aca="false">'Notes &amp; Sources'!$B$3-J148</f>
        <v>33</v>
      </c>
      <c r="L148" s="2" t="s">
        <v>588</v>
      </c>
      <c r="M148" s="2" t="s">
        <v>43</v>
      </c>
      <c r="N148" s="2"/>
    </row>
    <row r="149" customFormat="false" ht="15" hidden="false" customHeight="false" outlineLevel="0" collapsed="false">
      <c r="A149" s="2" t="n">
        <v>148</v>
      </c>
      <c r="B149" s="2" t="s">
        <v>265</v>
      </c>
      <c r="C149" s="2" t="s">
        <v>589</v>
      </c>
      <c r="D149" s="2" t="s">
        <v>590</v>
      </c>
      <c r="E149" s="2" t="s">
        <v>591</v>
      </c>
      <c r="F149" s="2" t="s">
        <v>18</v>
      </c>
      <c r="G149" s="3" t="n">
        <v>89</v>
      </c>
      <c r="H149" s="2" t="s">
        <v>184</v>
      </c>
      <c r="I149" s="2" t="s">
        <v>592</v>
      </c>
      <c r="J149" s="2" t="n">
        <v>1995</v>
      </c>
      <c r="K149" s="2" t="n">
        <f aca="false">'Notes &amp; Sources'!$B$3-J149</f>
        <v>31</v>
      </c>
      <c r="L149" s="2" t="s">
        <v>593</v>
      </c>
      <c r="M149" s="2" t="s">
        <v>43</v>
      </c>
      <c r="N149" s="2"/>
    </row>
    <row r="150" customFormat="false" ht="15" hidden="false" customHeight="false" outlineLevel="0" collapsed="false">
      <c r="A150" s="2" t="n">
        <v>149</v>
      </c>
      <c r="B150" s="2" t="s">
        <v>265</v>
      </c>
      <c r="C150" s="2" t="s">
        <v>594</v>
      </c>
      <c r="D150" s="2" t="s">
        <v>595</v>
      </c>
      <c r="E150" s="2" t="s">
        <v>596</v>
      </c>
      <c r="F150" s="2" t="s">
        <v>18</v>
      </c>
      <c r="G150" s="3" t="n">
        <v>149</v>
      </c>
      <c r="H150" s="2" t="s">
        <v>179</v>
      </c>
      <c r="I150" s="2" t="s">
        <v>597</v>
      </c>
      <c r="J150" s="2" t="n">
        <v>1966</v>
      </c>
      <c r="K150" s="2" t="n">
        <f aca="false">'Notes &amp; Sources'!$B$3-J150</f>
        <v>60</v>
      </c>
      <c r="L150" s="2" t="s">
        <v>598</v>
      </c>
      <c r="M150" s="2" t="s">
        <v>43</v>
      </c>
      <c r="N150" s="2" t="s">
        <v>599</v>
      </c>
    </row>
    <row r="151" customFormat="false" ht="15" hidden="false" customHeight="false" outlineLevel="0" collapsed="false">
      <c r="A151" s="2" t="n">
        <v>150</v>
      </c>
      <c r="B151" s="2" t="s">
        <v>265</v>
      </c>
      <c r="C151" s="2" t="s">
        <v>600</v>
      </c>
      <c r="D151" s="2" t="s">
        <v>601</v>
      </c>
      <c r="E151" s="2" t="s">
        <v>602</v>
      </c>
      <c r="F151" s="2" t="s">
        <v>18</v>
      </c>
      <c r="G151" s="3" t="n">
        <v>96.01</v>
      </c>
      <c r="H151" s="2" t="s">
        <v>603</v>
      </c>
      <c r="I151" s="2" t="s">
        <v>604</v>
      </c>
      <c r="J151" s="2" t="n">
        <v>2021</v>
      </c>
      <c r="K151" s="2" t="n">
        <f aca="false">'Notes &amp; Sources'!$B$3-J151</f>
        <v>5</v>
      </c>
      <c r="L151" s="2" t="s">
        <v>605</v>
      </c>
      <c r="M151" s="2" t="s">
        <v>43</v>
      </c>
      <c r="N151" s="2" t="s">
        <v>606</v>
      </c>
    </row>
    <row r="152" customFormat="false" ht="15" hidden="false" customHeight="false" outlineLevel="0" collapsed="false">
      <c r="A152" s="2" t="n">
        <v>151</v>
      </c>
      <c r="B152" s="2" t="s">
        <v>265</v>
      </c>
      <c r="C152" s="2" t="s">
        <v>607</v>
      </c>
      <c r="D152" s="2" t="s">
        <v>608</v>
      </c>
      <c r="E152" s="2" t="s">
        <v>609</v>
      </c>
      <c r="F152" s="2" t="s">
        <v>18</v>
      </c>
      <c r="G152" s="3" t="n">
        <v>58.13</v>
      </c>
      <c r="H152" s="2" t="s">
        <v>603</v>
      </c>
      <c r="I152" s="2" t="s">
        <v>610</v>
      </c>
      <c r="J152" s="2" t="n">
        <v>2011</v>
      </c>
      <c r="K152" s="2" t="n">
        <f aca="false">'Notes &amp; Sources'!$B$3-J152</f>
        <v>15</v>
      </c>
      <c r="L152" s="2" t="s">
        <v>611</v>
      </c>
      <c r="M152" s="2" t="s">
        <v>43</v>
      </c>
      <c r="N152" s="2"/>
    </row>
    <row r="153" customFormat="false" ht="15" hidden="false" customHeight="false" outlineLevel="0" collapsed="false">
      <c r="A153" s="2" t="n">
        <v>152</v>
      </c>
      <c r="B153" s="2" t="s">
        <v>265</v>
      </c>
      <c r="C153" s="2" t="s">
        <v>612</v>
      </c>
      <c r="D153" s="2" t="s">
        <v>613</v>
      </c>
      <c r="E153" s="2" t="s">
        <v>140</v>
      </c>
      <c r="F153" s="2" t="s">
        <v>35</v>
      </c>
      <c r="G153" s="3" t="n">
        <v>49</v>
      </c>
      <c r="H153" s="2" t="s">
        <v>19</v>
      </c>
      <c r="I153" s="2" t="s">
        <v>614</v>
      </c>
      <c r="J153" s="2" t="n">
        <v>2022</v>
      </c>
      <c r="K153" s="2" t="n">
        <f aca="false">'Notes &amp; Sources'!$B$3-J153</f>
        <v>4</v>
      </c>
      <c r="L153" s="2" t="s">
        <v>615</v>
      </c>
      <c r="M153" s="2" t="s">
        <v>43</v>
      </c>
      <c r="N153" s="2"/>
    </row>
    <row r="154" customFormat="false" ht="15" hidden="false" customHeight="false" outlineLevel="0" collapsed="false">
      <c r="A154" s="2" t="n">
        <v>153</v>
      </c>
      <c r="B154" s="2" t="s">
        <v>265</v>
      </c>
      <c r="C154" s="2" t="s">
        <v>616</v>
      </c>
      <c r="D154" s="2" t="s">
        <v>617</v>
      </c>
      <c r="E154" s="2" t="s">
        <v>40</v>
      </c>
      <c r="F154" s="2" t="s">
        <v>35</v>
      </c>
      <c r="G154" s="3" t="n">
        <v>20</v>
      </c>
      <c r="H154" s="2" t="s">
        <v>19</v>
      </c>
      <c r="I154" s="2" t="s">
        <v>618</v>
      </c>
      <c r="J154" s="2" t="n">
        <v>2022</v>
      </c>
      <c r="K154" s="2" t="n">
        <f aca="false">'Notes &amp; Sources'!$B$3-J154</f>
        <v>4</v>
      </c>
      <c r="L154" s="2" t="s">
        <v>619</v>
      </c>
      <c r="M154" s="2" t="s">
        <v>43</v>
      </c>
      <c r="N154" s="2" t="s">
        <v>620</v>
      </c>
    </row>
    <row r="155" customFormat="false" ht="15" hidden="false" customHeight="false" outlineLevel="0" collapsed="false">
      <c r="A155" s="2" t="n">
        <v>154</v>
      </c>
      <c r="B155" s="2" t="s">
        <v>265</v>
      </c>
      <c r="C155" s="2" t="s">
        <v>621</v>
      </c>
      <c r="D155" s="2" t="s">
        <v>622</v>
      </c>
      <c r="E155" s="2" t="s">
        <v>140</v>
      </c>
      <c r="F155" s="2" t="s">
        <v>35</v>
      </c>
      <c r="G155" s="3" t="n">
        <v>203</v>
      </c>
      <c r="H155" s="2" t="s">
        <v>179</v>
      </c>
      <c r="I155" s="2" t="s">
        <v>623</v>
      </c>
      <c r="J155" s="2" t="n">
        <v>1946</v>
      </c>
      <c r="K155" s="2" t="n">
        <f aca="false">'Notes &amp; Sources'!$B$3-J155</f>
        <v>80</v>
      </c>
      <c r="L155" s="2" t="s">
        <v>624</v>
      </c>
      <c r="M155" s="2" t="s">
        <v>43</v>
      </c>
      <c r="N155" s="2" t="s">
        <v>625</v>
      </c>
    </row>
    <row r="156" customFormat="false" ht="15" hidden="false" customHeight="false" outlineLevel="0" collapsed="false">
      <c r="A156" s="2" t="n">
        <v>155</v>
      </c>
      <c r="B156" s="2" t="s">
        <v>265</v>
      </c>
      <c r="C156" s="2" t="s">
        <v>626</v>
      </c>
      <c r="D156" s="2" t="s">
        <v>627</v>
      </c>
      <c r="E156" s="2" t="s">
        <v>627</v>
      </c>
      <c r="F156" s="2" t="s">
        <v>35</v>
      </c>
      <c r="G156" s="3" t="n">
        <v>3</v>
      </c>
      <c r="H156" s="2" t="s">
        <v>27</v>
      </c>
      <c r="I156" s="2" t="s">
        <v>46</v>
      </c>
      <c r="J156" s="2" t="n">
        <v>1994</v>
      </c>
      <c r="K156" s="2" t="n">
        <f aca="false">'Notes &amp; Sources'!$B$3-J156</f>
        <v>32</v>
      </c>
      <c r="L156" s="2" t="s">
        <v>628</v>
      </c>
      <c r="M156" s="2" t="s">
        <v>43</v>
      </c>
      <c r="N156" s="2"/>
    </row>
    <row r="157" customFormat="false" ht="15" hidden="false" customHeight="false" outlineLevel="0" collapsed="false">
      <c r="A157" s="2" t="n">
        <v>156</v>
      </c>
      <c r="B157" s="2" t="s">
        <v>265</v>
      </c>
      <c r="C157" s="2" t="s">
        <v>629</v>
      </c>
      <c r="D157" s="2" t="s">
        <v>630</v>
      </c>
      <c r="E157" s="2" t="s">
        <v>140</v>
      </c>
      <c r="F157" s="2" t="s">
        <v>35</v>
      </c>
      <c r="G157" s="3" t="n">
        <v>1857</v>
      </c>
      <c r="H157" s="2" t="s">
        <v>631</v>
      </c>
      <c r="I157" s="2" t="s">
        <v>632</v>
      </c>
      <c r="J157" s="2" t="n">
        <v>1857</v>
      </c>
      <c r="K157" s="2" t="n">
        <f aca="false">'Notes &amp; Sources'!$B$3-J157</f>
        <v>169</v>
      </c>
      <c r="L157" s="2" t="s">
        <v>633</v>
      </c>
      <c r="M157" s="2" t="s">
        <v>43</v>
      </c>
      <c r="N157" s="2"/>
    </row>
    <row r="158" customFormat="false" ht="15" hidden="false" customHeight="false" outlineLevel="0" collapsed="false">
      <c r="A158" s="2" t="n">
        <v>157</v>
      </c>
      <c r="B158" s="2" t="s">
        <v>265</v>
      </c>
      <c r="C158" s="2" t="s">
        <v>634</v>
      </c>
      <c r="D158" s="2" t="s">
        <v>635</v>
      </c>
      <c r="E158" s="2" t="s">
        <v>636</v>
      </c>
      <c r="F158" s="2" t="s">
        <v>35</v>
      </c>
      <c r="G158" s="3" t="n">
        <v>0</v>
      </c>
      <c r="H158" s="2" t="s">
        <v>19</v>
      </c>
      <c r="I158" s="2" t="s">
        <v>637</v>
      </c>
      <c r="J158" s="2" t="n">
        <v>1872</v>
      </c>
      <c r="K158" s="2" t="n">
        <f aca="false">'Notes &amp; Sources'!$B$3-J158</f>
        <v>154</v>
      </c>
      <c r="L158" s="2" t="s">
        <v>638</v>
      </c>
      <c r="M158" s="2" t="s">
        <v>43</v>
      </c>
      <c r="N158" s="2" t="s">
        <v>639</v>
      </c>
    </row>
    <row r="159" customFormat="false" ht="15" hidden="false" customHeight="false" outlineLevel="0" collapsed="false">
      <c r="A159" s="2" t="n">
        <v>158</v>
      </c>
      <c r="B159" s="2" t="s">
        <v>265</v>
      </c>
      <c r="C159" s="2" t="s">
        <v>640</v>
      </c>
      <c r="D159" s="2" t="s">
        <v>641</v>
      </c>
      <c r="E159" s="2" t="s">
        <v>140</v>
      </c>
      <c r="F159" s="2" t="s">
        <v>35</v>
      </c>
      <c r="G159" s="3" t="n">
        <v>1871</v>
      </c>
      <c r="H159" s="2" t="s">
        <v>631</v>
      </c>
      <c r="I159" s="2" t="s">
        <v>642</v>
      </c>
      <c r="J159" s="2" t="n">
        <v>1871</v>
      </c>
      <c r="K159" s="2" t="n">
        <f aca="false">'Notes &amp; Sources'!$B$3-J159</f>
        <v>155</v>
      </c>
      <c r="L159" s="2" t="s">
        <v>641</v>
      </c>
      <c r="M159" s="2" t="s">
        <v>43</v>
      </c>
      <c r="N159" s="2"/>
    </row>
    <row r="160" customFormat="false" ht="15" hidden="false" customHeight="false" outlineLevel="0" collapsed="false">
      <c r="A160" s="2" t="n">
        <v>159</v>
      </c>
      <c r="B160" s="2" t="s">
        <v>265</v>
      </c>
      <c r="C160" s="2" t="s">
        <v>643</v>
      </c>
      <c r="D160" s="2" t="s">
        <v>565</v>
      </c>
      <c r="E160" s="2" t="s">
        <v>636</v>
      </c>
      <c r="F160" s="2" t="s">
        <v>35</v>
      </c>
      <c r="G160" s="3" t="n">
        <v>1874</v>
      </c>
      <c r="H160" s="2" t="s">
        <v>644</v>
      </c>
      <c r="I160" s="2" t="s">
        <v>645</v>
      </c>
      <c r="J160" s="2" t="n">
        <v>1874</v>
      </c>
      <c r="K160" s="2" t="n">
        <f aca="false">'Notes &amp; Sources'!$B$3-J160</f>
        <v>152</v>
      </c>
      <c r="L160" s="2" t="s">
        <v>565</v>
      </c>
      <c r="M160" s="2" t="s">
        <v>43</v>
      </c>
      <c r="N160" s="2"/>
    </row>
    <row r="161" customFormat="false" ht="15" hidden="false" customHeight="false" outlineLevel="0" collapsed="false">
      <c r="A161" s="2" t="n">
        <v>160</v>
      </c>
      <c r="B161" s="2" t="s">
        <v>265</v>
      </c>
      <c r="C161" s="2" t="s">
        <v>646</v>
      </c>
      <c r="D161" s="2" t="s">
        <v>647</v>
      </c>
      <c r="E161" s="2" t="s">
        <v>648</v>
      </c>
      <c r="F161" s="2" t="s">
        <v>35</v>
      </c>
      <c r="G161" s="3" t="n">
        <v>150000</v>
      </c>
      <c r="H161" s="2" t="s">
        <v>649</v>
      </c>
      <c r="I161" s="2" t="s">
        <v>650</v>
      </c>
      <c r="J161" s="2" t="n">
        <v>1989</v>
      </c>
      <c r="K161" s="2" t="n">
        <f aca="false">'Notes &amp; Sources'!$B$3-J161</f>
        <v>37</v>
      </c>
      <c r="L161" s="2" t="s">
        <v>633</v>
      </c>
      <c r="M161" s="2" t="s">
        <v>43</v>
      </c>
      <c r="N161" s="2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7"/>
  </cols>
  <sheetData>
    <row r="1" customFormat="false" ht="15" hidden="false" customHeight="false" outlineLevel="0" collapsed="false">
      <c r="A1" s="4" t="s">
        <v>1</v>
      </c>
      <c r="B1" s="4" t="s">
        <v>652</v>
      </c>
      <c r="C1" s="4" t="s">
        <v>653</v>
      </c>
      <c r="D1" s="4" t="s">
        <v>654</v>
      </c>
      <c r="E1" s="4" t="s">
        <v>655</v>
      </c>
    </row>
    <row r="2" customFormat="false" ht="15" hidden="false" customHeight="false" outlineLevel="0" collapsed="false">
      <c r="A2" s="2" t="s">
        <v>14</v>
      </c>
      <c r="B2" s="2" t="n">
        <f aca="false">COUNTIF('Football Records'!B:B,A2)</f>
        <v>12</v>
      </c>
      <c r="C2" s="2" t="n">
        <f aca="false">COUNTIFS('Football Records'!B:B,A2,'Football Records'!M:M,"Checked online Sept 2026")</f>
        <v>6</v>
      </c>
      <c r="D2" s="2" t="n">
        <f aca="false">_xlfn.MINIFS('Football Records'!J:J,'Football Records'!B:B,A2)</f>
        <v>1938</v>
      </c>
      <c r="E2" s="2" t="n">
        <f aca="false">_xlfn.MAXIFS('Football Records'!J:J,'Football Records'!B:B,A2)</f>
        <v>2026</v>
      </c>
    </row>
    <row r="3" customFormat="false" ht="15" hidden="false" customHeight="false" outlineLevel="0" collapsed="false">
      <c r="A3" s="2" t="s">
        <v>73</v>
      </c>
      <c r="B3" s="2" t="n">
        <f aca="false">COUNTIF('Football Records'!B:B,A3)</f>
        <v>12</v>
      </c>
      <c r="C3" s="2" t="n">
        <f aca="false">COUNTIFS('Football Records'!B:B,A3,'Football Records'!M:M,"Checked online Sept 2026")</f>
        <v>3</v>
      </c>
      <c r="D3" s="2" t="n">
        <f aca="false">_xlfn.MINIFS('Football Records'!J:J,'Football Records'!B:B,A3)</f>
        <v>1984</v>
      </c>
      <c r="E3" s="2" t="n">
        <f aca="false">_xlfn.MAXIFS('Football Records'!J:J,'Football Records'!B:B,A3)</f>
        <v>2026</v>
      </c>
    </row>
    <row r="4" customFormat="false" ht="15" hidden="false" customHeight="false" outlineLevel="0" collapsed="false">
      <c r="A4" s="2" t="s">
        <v>112</v>
      </c>
      <c r="B4" s="2" t="n">
        <f aca="false">COUNTIF('Football Records'!B:B,A4)</f>
        <v>7</v>
      </c>
      <c r="C4" s="2" t="n">
        <f aca="false">COUNTIFS('Football Records'!B:B,A4,'Football Records'!M:M,"Checked online Sept 2026")</f>
        <v>2</v>
      </c>
      <c r="D4" s="2" t="n">
        <f aca="false">_xlfn.MINIFS('Football Records'!J:J,'Football Records'!B:B,A4)</f>
        <v>1966</v>
      </c>
      <c r="E4" s="2" t="n">
        <f aca="false">_xlfn.MAXIFS('Football Records'!J:J,'Football Records'!B:B,A4)</f>
        <v>2025</v>
      </c>
    </row>
    <row r="5" customFormat="false" ht="15" hidden="false" customHeight="false" outlineLevel="0" collapsed="false">
      <c r="A5" s="2" t="s">
        <v>137</v>
      </c>
      <c r="B5" s="2" t="n">
        <f aca="false">COUNTIF('Football Records'!B:B,A5)</f>
        <v>15</v>
      </c>
      <c r="C5" s="2" t="n">
        <f aca="false">COUNTIFS('Football Records'!B:B,A5,'Football Records'!M:M,"Checked online Sept 2026")</f>
        <v>2</v>
      </c>
      <c r="D5" s="2" t="n">
        <f aca="false">_xlfn.MINIFS('Football Records'!J:J,'Football Records'!B:B,A5)</f>
        <v>2004</v>
      </c>
      <c r="E5" s="2" t="n">
        <f aca="false">_xlfn.MAXIFS('Football Records'!J:J,'Football Records'!B:B,A5)</f>
        <v>2025</v>
      </c>
    </row>
    <row r="6" customFormat="false" ht="15" hidden="false" customHeight="false" outlineLevel="0" collapsed="false">
      <c r="A6" s="2" t="s">
        <v>196</v>
      </c>
      <c r="B6" s="2" t="n">
        <f aca="false">COUNTIF('Football Records'!B:B,A6)</f>
        <v>7</v>
      </c>
      <c r="C6" s="2" t="n">
        <f aca="false">COUNTIFS('Football Records'!B:B,A6,'Football Records'!M:M,"Checked online Sept 2026")</f>
        <v>2</v>
      </c>
      <c r="D6" s="2" t="n">
        <f aca="false">_xlfn.MINIFS('Football Records'!J:J,'Football Records'!B:B,A6)</f>
        <v>1954</v>
      </c>
      <c r="E6" s="2" t="n">
        <f aca="false">_xlfn.MAXIFS('Football Records'!J:J,'Football Records'!B:B,A6)</f>
        <v>2026</v>
      </c>
    </row>
    <row r="7" customFormat="false" ht="15" hidden="false" customHeight="false" outlineLevel="0" collapsed="false">
      <c r="A7" s="2" t="s">
        <v>221</v>
      </c>
      <c r="B7" s="2" t="n">
        <f aca="false">COUNTIF('Football Records'!B:B,A7)</f>
        <v>7</v>
      </c>
      <c r="C7" s="2" t="n">
        <f aca="false">COUNTIFS('Football Records'!B:B,A7,'Football Records'!M:M,"Checked online Sept 2026")</f>
        <v>2</v>
      </c>
      <c r="D7" s="2" t="n">
        <f aca="false">_xlfn.MINIFS('Football Records'!J:J,'Football Records'!B:B,A7)</f>
        <v>2012</v>
      </c>
      <c r="E7" s="2" t="n">
        <f aca="false">_xlfn.MAXIFS('Football Records'!J:J,'Football Records'!B:B,A7)</f>
        <v>2026</v>
      </c>
    </row>
    <row r="8" customFormat="false" ht="15" hidden="false" customHeight="false" outlineLevel="0" collapsed="false">
      <c r="A8" s="2" t="s">
        <v>243</v>
      </c>
      <c r="B8" s="2" t="n">
        <f aca="false">COUNTIF('Football Records'!B:B,A8)</f>
        <v>4</v>
      </c>
      <c r="C8" s="2" t="n">
        <f aca="false">COUNTIFS('Football Records'!B:B,A8,'Football Records'!M:M,"Checked online Sept 2026")</f>
        <v>2</v>
      </c>
      <c r="D8" s="2" t="n">
        <f aca="false">_xlfn.MINIFS('Football Records'!J:J,'Football Records'!B:B,A8)</f>
        <v>1950</v>
      </c>
      <c r="E8" s="2" t="n">
        <f aca="false">_xlfn.MAXIFS('Football Records'!J:J,'Football Records'!B:B,A8)</f>
        <v>2025</v>
      </c>
    </row>
    <row r="9" customFormat="false" ht="15" hidden="false" customHeight="false" outlineLevel="0" collapsed="false">
      <c r="A9" s="2" t="s">
        <v>265</v>
      </c>
      <c r="B9" s="2" t="n">
        <f aca="false">COUNTIF('Football Records'!B:B,A9)</f>
        <v>31</v>
      </c>
      <c r="C9" s="2" t="n">
        <f aca="false">COUNTIFS('Football Records'!B:B,A9,'Football Records'!M:M,"Checked online Sept 2026")</f>
        <v>8</v>
      </c>
      <c r="D9" s="2" t="n">
        <f aca="false">_xlfn.MINIFS('Football Records'!J:J,'Football Records'!B:B,A9)</f>
        <v>1857</v>
      </c>
      <c r="E9" s="2" t="n">
        <f aca="false">_xlfn.MAXIFS('Football Records'!J:J,'Football Records'!B:B,A9)</f>
        <v>2024</v>
      </c>
    </row>
    <row r="10" customFormat="false" ht="15" hidden="false" customHeight="false" outlineLevel="0" collapsed="false">
      <c r="A10" s="2" t="s">
        <v>326</v>
      </c>
      <c r="B10" s="2" t="n">
        <f aca="false">COUNTIF('Football Records'!B:B,A10)</f>
        <v>27</v>
      </c>
      <c r="C10" s="2" t="n">
        <f aca="false">COUNTIFS('Football Records'!B:B,A10,'Football Records'!M:M,"Checked online Sept 2026")</f>
        <v>1</v>
      </c>
      <c r="D10" s="2" t="n">
        <f aca="false">_xlfn.MINIFS('Football Records'!J:J,'Football Records'!B:B,A10)</f>
        <v>1931</v>
      </c>
      <c r="E10" s="2" t="n">
        <f aca="false">_xlfn.MAXIFS('Football Records'!J:J,'Football Records'!B:B,A10)</f>
        <v>2026</v>
      </c>
    </row>
    <row r="11" customFormat="false" ht="15" hidden="false" customHeight="false" outlineLevel="0" collapsed="false">
      <c r="A11" s="2" t="s">
        <v>423</v>
      </c>
      <c r="B11" s="2" t="n">
        <f aca="false">COUNTIF('Football Records'!B:B,A11)</f>
        <v>11</v>
      </c>
      <c r="C11" s="2" t="n">
        <f aca="false">COUNTIFS('Football Records'!B:B,A11,'Football Records'!M:M,"Checked online Sept 2026")</f>
        <v>0</v>
      </c>
      <c r="D11" s="2" t="n">
        <f aca="false">_xlfn.MINIFS('Football Records'!J:J,'Football Records'!B:B,A11)</f>
        <v>2000</v>
      </c>
      <c r="E11" s="2" t="n">
        <f aca="false">_xlfn.MAXIFS('Football Records'!J:J,'Football Records'!B:B,A11)</f>
        <v>2026</v>
      </c>
    </row>
    <row r="12" customFormat="false" ht="15" hidden="false" customHeight="false" outlineLevel="0" collapsed="false">
      <c r="A12" s="2" t="s">
        <v>476</v>
      </c>
      <c r="B12" s="2" t="n">
        <f aca="false">COUNTIF('Football Records'!B:B,A12)</f>
        <v>7</v>
      </c>
      <c r="C12" s="2" t="n">
        <f aca="false">COUNTIFS('Football Records'!B:B,A12,'Football Records'!M:M,"Checked online Sept 2026")</f>
        <v>0</v>
      </c>
      <c r="D12" s="2" t="n">
        <f aca="false">_xlfn.MINIFS('Football Records'!J:J,'Football Records'!B:B,A12)</f>
        <v>1974</v>
      </c>
      <c r="E12" s="2" t="n">
        <f aca="false">_xlfn.MAXIFS('Football Records'!J:J,'Football Records'!B:B,A12)</f>
        <v>2016</v>
      </c>
    </row>
    <row r="13" customFormat="false" ht="15" hidden="false" customHeight="false" outlineLevel="0" collapsed="false">
      <c r="A13" s="2" t="s">
        <v>498</v>
      </c>
      <c r="B13" s="2" t="n">
        <f aca="false">COUNTIF('Football Records'!B:B,A13)</f>
        <v>5</v>
      </c>
      <c r="C13" s="2" t="n">
        <f aca="false">COUNTIFS('Football Records'!B:B,A13,'Football Records'!M:M,"Checked online Sept 2026")</f>
        <v>0</v>
      </c>
      <c r="D13" s="2" t="n">
        <f aca="false">_xlfn.MINIFS('Football Records'!J:J,'Football Records'!B:B,A13)</f>
        <v>1940</v>
      </c>
      <c r="E13" s="2" t="n">
        <f aca="false">_xlfn.MAXIFS('Football Records'!J:J,'Football Records'!B:B,A13)</f>
        <v>2013</v>
      </c>
    </row>
    <row r="14" customFormat="false" ht="15" hidden="false" customHeight="false" outlineLevel="0" collapsed="false">
      <c r="A14" s="2" t="s">
        <v>517</v>
      </c>
      <c r="B14" s="2" t="n">
        <f aca="false">COUNTIF('Football Records'!B:B,A14)</f>
        <v>15</v>
      </c>
      <c r="C14" s="2" t="n">
        <f aca="false">COUNTIFS('Football Records'!B:B,A14,'Football Records'!M:M,"Checked online Sept 2026")</f>
        <v>0</v>
      </c>
      <c r="D14" s="2" t="n">
        <f aca="false">_xlfn.MINIFS('Football Records'!J:J,'Football Records'!B:B,A14)</f>
        <v>1885</v>
      </c>
      <c r="E14" s="2" t="n">
        <f aca="false">_xlfn.MAXIFS('Football Records'!J:J,'Football Records'!B:B,A14)</f>
        <v>2025</v>
      </c>
    </row>
    <row r="15" customFormat="false" ht="15" hidden="false" customHeight="false" outlineLevel="0" collapsed="false">
      <c r="A15" s="5" t="s">
        <v>656</v>
      </c>
      <c r="B15" s="5" t="n">
        <f aca="false">SUM(B2:B14)</f>
        <v>160</v>
      </c>
      <c r="C15" s="5" t="n">
        <f aca="false">SUM(C2:C14)</f>
        <v>28</v>
      </c>
      <c r="D15" s="5" t="n">
        <f aca="false">MIN(D2:D14)</f>
        <v>1857</v>
      </c>
      <c r="E15" s="5" t="n">
        <f aca="false">MAX(E2:E14)</f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6.15" hidden="false" customHeight="false" outlineLevel="0" collapsed="false">
      <c r="A1" s="6" t="s">
        <v>657</v>
      </c>
    </row>
    <row r="2" customFormat="false" ht="15" hidden="false" customHeight="false" outlineLevel="0" collapsed="false">
      <c r="A2" s="5"/>
      <c r="B2" s="7"/>
    </row>
    <row r="3" customFormat="false" ht="15" hidden="false" customHeight="false" outlineLevel="0" collapsed="false">
      <c r="A3" s="5" t="s">
        <v>658</v>
      </c>
      <c r="B3" s="8" t="n">
        <v>2026</v>
      </c>
    </row>
    <row r="4" customFormat="false" ht="15" hidden="false" customHeight="false" outlineLevel="0" collapsed="false">
      <c r="A4" s="5"/>
      <c r="B4" s="7"/>
    </row>
    <row r="5" customFormat="false" ht="15" hidden="false" customHeight="false" outlineLevel="0" collapsed="false">
      <c r="A5" s="5" t="s">
        <v>6</v>
      </c>
      <c r="B5" s="7" t="s">
        <v>659</v>
      </c>
    </row>
    <row r="6" customFormat="false" ht="15" hidden="false" customHeight="false" outlineLevel="0" collapsed="false">
      <c r="A6" s="5" t="s">
        <v>10</v>
      </c>
      <c r="B6" s="7" t="s">
        <v>660</v>
      </c>
    </row>
    <row r="7" customFormat="false" ht="23.85" hidden="false" customHeight="false" outlineLevel="0" collapsed="false">
      <c r="A7" s="5" t="s">
        <v>661</v>
      </c>
      <c r="B7" s="7" t="s">
        <v>662</v>
      </c>
    </row>
    <row r="8" customFormat="false" ht="15" hidden="false" customHeight="false" outlineLevel="0" collapsed="false">
      <c r="A8" s="5" t="s">
        <v>663</v>
      </c>
      <c r="B8" s="7" t="s">
        <v>664</v>
      </c>
    </row>
    <row r="9" customFormat="false" ht="15" hidden="false" customHeight="false" outlineLevel="0" collapsed="false">
      <c r="A9" s="5" t="s">
        <v>665</v>
      </c>
      <c r="B9" s="7" t="s">
        <v>666</v>
      </c>
    </row>
    <row r="10" customFormat="false" ht="35.05" hidden="false" customHeight="false" outlineLevel="0" collapsed="false">
      <c r="A10" s="5" t="s">
        <v>667</v>
      </c>
      <c r="B10" s="7" t="s">
        <v>668</v>
      </c>
    </row>
    <row r="11" customFormat="false" ht="15" hidden="false" customHeight="false" outlineLevel="0" collapsed="false">
      <c r="A11" s="5" t="s">
        <v>669</v>
      </c>
      <c r="B11" s="7" t="s">
        <v>670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2026-09-25T15:46:41Z</dcterms:created>
  <dc:creator>openpyxl</dc:creator>
  <dc:description/>
  <dc:language>en-US</dc:language>
  <cp:lastModifiedBy/>
  <dcterms:modified xsi:type="dcterms:W3CDTF">2026-09-25T15:46:41Z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