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150 Athletes" sheetId="1" state="visible" r:id="rId3"/>
    <sheet name="Notes" sheetId="2" state="visible" r:id="rId4"/>
  </sheets>
  <definedNames>
    <definedName function="false" hidden="true" localSheetId="0" name="_xlnm._FilterDatabase" vbProcedure="false">'Top 150 Athletes'!$A$1:$AO$151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7" authorId="0">
      <text>
        <r>
          <rPr>
            <sz val="10"/>
            <rFont val="Arial"/>
            <family val="2"/>
          </rPr>
          <t xml:space="preserve">Verify: Slams incl. AO 2026; RG 2026 not checked</t>
        </r>
      </text>
    </comment>
    <comment ref="B58" authorId="0">
      <text>
        <r>
          <rPr>
            <sz val="10"/>
            <rFont val="Arial"/>
            <family val="2"/>
          </rPr>
          <t xml:space="preserve">Verify: RG 2026 not checked</t>
        </r>
      </text>
    </comment>
    <comment ref="B74" authorId="0">
      <text>
        <r>
          <rPr>
            <sz val="10"/>
            <rFont val="Arial"/>
            <family val="2"/>
          </rPr>
          <t xml:space="preserve">Verify: Majors 2026 not checked</t>
        </r>
      </text>
    </comment>
    <comment ref="B120" authorId="0">
      <text>
        <r>
          <rPr>
            <sz val="10"/>
            <rFont val="Arial"/>
            <family val="2"/>
          </rPr>
          <t xml:space="preserve">Verify: 2026 Olympic result to verify</t>
        </r>
      </text>
    </comment>
    <comment ref="B121" authorId="0">
      <text>
        <r>
          <rPr>
            <sz val="10"/>
            <rFont val="Arial"/>
            <family val="2"/>
          </rPr>
          <t xml:space="preserve">Verify: 2026 Olympic result to verify</t>
        </r>
      </text>
    </comment>
    <comment ref="B122" authorId="0">
      <text>
        <r>
          <rPr>
            <sz val="10"/>
            <rFont val="Arial"/>
            <family val="2"/>
          </rPr>
          <t xml:space="preserve">Verify: 2026 Olympic result to verify</t>
        </r>
      </text>
    </comment>
    <comment ref="B145" authorId="0">
      <text>
        <r>
          <rPr>
            <sz val="10"/>
            <rFont val="Arial"/>
            <family val="2"/>
          </rPr>
          <t xml:space="preserve">Verify: 2026 Olympic result to verify</t>
        </r>
      </text>
    </comment>
    <comment ref="B147" authorId="0">
      <text>
        <r>
          <rPr>
            <sz val="10"/>
            <rFont val="Arial"/>
            <family val="2"/>
          </rPr>
          <t xml:space="preserve">Verify: 2026 Olympic result to verify</t>
        </r>
      </text>
    </comment>
    <comment ref="B148" authorId="0">
      <text>
        <r>
          <rPr>
            <sz val="10"/>
            <rFont val="Arial"/>
            <family val="2"/>
          </rPr>
          <t xml:space="preserve">Verify: 2026 Olympic result to verify</t>
        </r>
      </text>
    </comment>
    <comment ref="B150" authorId="0">
      <text>
        <r>
          <rPr>
            <sz val="10"/>
            <rFont val="Arial"/>
            <family val="2"/>
          </rPr>
          <t xml:space="preserve">Verify: Tour 2026 not checked</t>
        </r>
      </text>
    </comment>
  </commentList>
</comments>
</file>

<file path=xl/sharedStrings.xml><?xml version="1.0" encoding="utf-8"?>
<sst xmlns="http://schemas.openxmlformats.org/spreadsheetml/2006/main" count="969" uniqueCount="373">
  <si>
    <t xml:space="preserve">#</t>
  </si>
  <si>
    <t xml:space="preserve">Athlete</t>
  </si>
  <si>
    <t xml:space="preserve">Sport</t>
  </si>
  <si>
    <t xml:space="preserve">Nationality</t>
  </si>
  <si>
    <t xml:space="preserve">Sex</t>
  </si>
  <si>
    <t xml:space="preserve">Status</t>
  </si>
  <si>
    <t xml:space="preserve">Partner (1.9.2026)</t>
  </si>
  <si>
    <t xml:space="preserve">Date of birth</t>
  </si>
  <si>
    <t xml:space="preserve">Pro debut (year)</t>
  </si>
  <si>
    <t xml:space="preserve">Retired (year)</t>
  </si>
  <si>
    <t xml:space="preserve">First top-tier title (year)</t>
  </si>
  <si>
    <t xml:space="preserve">Age (1.9.2026)</t>
  </si>
  <si>
    <t xml:space="preserve">Rank</t>
  </si>
  <si>
    <t xml:space="preserve">Height (cm)</t>
  </si>
  <si>
    <t xml:space="preserve">Weight (kg)</t>
  </si>
  <si>
    <t xml:space="preserve">Age at pro debut</t>
  </si>
  <si>
    <t xml:space="preserve">Years as pro</t>
  </si>
  <si>
    <t xml:space="preserve">Olympic Games participations</t>
  </si>
  <si>
    <t xml:space="preserve">Olympic medals</t>
  </si>
  <si>
    <t xml:space="preserve">Olympic golds</t>
  </si>
  <si>
    <t xml:space="preserve">Top-tier titles</t>
  </si>
  <si>
    <t xml:space="preserve">Age at first top-tier title</t>
  </si>
  <si>
    <t xml:space="preserve">Career earnings (USD m)</t>
  </si>
  <si>
    <t xml:space="preserve">Net worth (USD m)</t>
  </si>
  <si>
    <t xml:space="preserve">Instagram followers (m)</t>
  </si>
  <si>
    <t xml:space="preserve">Children</t>
  </si>
  <si>
    <t xml:space="preserve">Laureus awards</t>
  </si>
  <si>
    <t xml:space="preserve">Cristiano Ronaldo</t>
  </si>
  <si>
    <t xml:space="preserve">Football</t>
  </si>
  <si>
    <t xml:space="preserve">Portugal</t>
  </si>
  <si>
    <t xml:space="preserve">M</t>
  </si>
  <si>
    <t xml:space="preserve">Active</t>
  </si>
  <si>
    <t xml:space="preserve">Georgina Rodríguez</t>
  </si>
  <si>
    <t xml:space="preserve">Lionel Messi</t>
  </si>
  <si>
    <t xml:space="preserve">Argentina</t>
  </si>
  <si>
    <t xml:space="preserve">Antonela Roccuzzo</t>
  </si>
  <si>
    <t xml:space="preserve">Neymar</t>
  </si>
  <si>
    <t xml:space="preserve">Brazil</t>
  </si>
  <si>
    <t xml:space="preserve">Bruna Biancardi</t>
  </si>
  <si>
    <t xml:space="preserve">Kylian Mbappé</t>
  </si>
  <si>
    <t xml:space="preserve">France</t>
  </si>
  <si>
    <t xml:space="preserve">—</t>
  </si>
  <si>
    <t xml:space="preserve">Erling Haaland</t>
  </si>
  <si>
    <t xml:space="preserve">Norway</t>
  </si>
  <si>
    <t xml:space="preserve">Isabel Haugseng Johansen</t>
  </si>
  <si>
    <t xml:space="preserve">Lamine Yamal</t>
  </si>
  <si>
    <t xml:space="preserve">Spain</t>
  </si>
  <si>
    <t xml:space="preserve">Mohamed Salah</t>
  </si>
  <si>
    <t xml:space="preserve">Egypt</t>
  </si>
  <si>
    <t xml:space="preserve">Magi Sadeq</t>
  </si>
  <si>
    <t xml:space="preserve">Kevin De Bruyne</t>
  </si>
  <si>
    <t xml:space="preserve">Belgium</t>
  </si>
  <si>
    <t xml:space="preserve">Michèle Lacroix</t>
  </si>
  <si>
    <t xml:space="preserve">Luka Modrić</t>
  </si>
  <si>
    <t xml:space="preserve">Croatia</t>
  </si>
  <si>
    <t xml:space="preserve">Vanja Bosnić</t>
  </si>
  <si>
    <t xml:space="preserve">Robert Lewandowski</t>
  </si>
  <si>
    <t xml:space="preserve">Poland</t>
  </si>
  <si>
    <t xml:space="preserve">Anna Lewandowska</t>
  </si>
  <si>
    <t xml:space="preserve">Karim Benzema</t>
  </si>
  <si>
    <t xml:space="preserve">Vinícius Júnior</t>
  </si>
  <si>
    <t xml:space="preserve">Jude Bellingham</t>
  </si>
  <si>
    <t xml:space="preserve">England</t>
  </si>
  <si>
    <t xml:space="preserve">Harry Kane</t>
  </si>
  <si>
    <t xml:space="preserve">Katie Goodland</t>
  </si>
  <si>
    <t xml:space="preserve">Zlatan Ibrahimović</t>
  </si>
  <si>
    <t xml:space="preserve">Sweden</t>
  </si>
  <si>
    <t xml:space="preserve">Retired</t>
  </si>
  <si>
    <t xml:space="preserve">Helena Seger</t>
  </si>
  <si>
    <t xml:space="preserve">David Beckham</t>
  </si>
  <si>
    <t xml:space="preserve">Victoria Beckham</t>
  </si>
  <si>
    <t xml:space="preserve">Ronaldinho</t>
  </si>
  <si>
    <t xml:space="preserve">Ronaldo Nazário</t>
  </si>
  <si>
    <t xml:space="preserve">Celina Locks</t>
  </si>
  <si>
    <t xml:space="preserve">Kaká</t>
  </si>
  <si>
    <t xml:space="preserve">Carolina Dias</t>
  </si>
  <si>
    <t xml:space="preserve">Andrés Iniesta</t>
  </si>
  <si>
    <t xml:space="preserve">Anna Ortiz</t>
  </si>
  <si>
    <t xml:space="preserve">Sergio Ramos</t>
  </si>
  <si>
    <t xml:space="preserve">Pilar Rubio</t>
  </si>
  <si>
    <t xml:space="preserve">Virgil van Dijk</t>
  </si>
  <si>
    <t xml:space="preserve">Netherlands</t>
  </si>
  <si>
    <t xml:space="preserve">Rike Nooitgedagt</t>
  </si>
  <si>
    <t xml:space="preserve">Thierry Henry</t>
  </si>
  <si>
    <t xml:space="preserve">Andrea Rajačić</t>
  </si>
  <si>
    <t xml:space="preserve">Gianluigi Buffon</t>
  </si>
  <si>
    <t xml:space="preserve">Italy</t>
  </si>
  <si>
    <t xml:space="preserve">Ilaria D'Amico</t>
  </si>
  <si>
    <t xml:space="preserve">Son Heung-min</t>
  </si>
  <si>
    <t xml:space="preserve">South Korea</t>
  </si>
  <si>
    <t xml:space="preserve">Antoine Griezmann</t>
  </si>
  <si>
    <t xml:space="preserve">Erika Choperena</t>
  </si>
  <si>
    <t xml:space="preserve">Manuel Neuer</t>
  </si>
  <si>
    <t xml:space="preserve">Germany</t>
  </si>
  <si>
    <t xml:space="preserve">Anika Bissel</t>
  </si>
  <si>
    <t xml:space="preserve">Toni Kroos</t>
  </si>
  <si>
    <t xml:space="preserve">Jessica Farber</t>
  </si>
  <si>
    <t xml:space="preserve">Paul Pogba</t>
  </si>
  <si>
    <t xml:space="preserve">Zulay Pogba</t>
  </si>
  <si>
    <t xml:space="preserve">Luis Suárez</t>
  </si>
  <si>
    <t xml:space="preserve">Uruguay</t>
  </si>
  <si>
    <t xml:space="preserve">Sofía Balbi</t>
  </si>
  <si>
    <t xml:space="preserve">Zinedine Zidane</t>
  </si>
  <si>
    <t xml:space="preserve">Véronique Zidane</t>
  </si>
  <si>
    <t xml:space="preserve">Alexia Putellas</t>
  </si>
  <si>
    <t xml:space="preserve">F</t>
  </si>
  <si>
    <t xml:space="preserve">Aitana Bonmatí</t>
  </si>
  <si>
    <t xml:space="preserve">Megan Rapinoe</t>
  </si>
  <si>
    <t xml:space="preserve">USA</t>
  </si>
  <si>
    <t xml:space="preserve">Sue Bird</t>
  </si>
  <si>
    <t xml:space="preserve">Alex Morgan</t>
  </si>
  <si>
    <t xml:space="preserve">Servando Carrasco</t>
  </si>
  <si>
    <t xml:space="preserve">Marta</t>
  </si>
  <si>
    <t xml:space="preserve">Carrie Lawrence</t>
  </si>
  <si>
    <t xml:space="preserve">Sam Kerr</t>
  </si>
  <si>
    <t xml:space="preserve">Australia</t>
  </si>
  <si>
    <t xml:space="preserve">Kristie Mewis</t>
  </si>
  <si>
    <t xml:space="preserve">LeBron James</t>
  </si>
  <si>
    <t xml:space="preserve">Basketball</t>
  </si>
  <si>
    <t xml:space="preserve">Savannah James</t>
  </si>
  <si>
    <t xml:space="preserve">Stephen Curry</t>
  </si>
  <si>
    <t xml:space="preserve">Ayesha Curry</t>
  </si>
  <si>
    <t xml:space="preserve">Michael Jordan</t>
  </si>
  <si>
    <t xml:space="preserve">Yvette Prieto</t>
  </si>
  <si>
    <t xml:space="preserve">Kevin Durant</t>
  </si>
  <si>
    <t xml:space="preserve">Giannis Antetokounmpo</t>
  </si>
  <si>
    <t xml:space="preserve">Greece</t>
  </si>
  <si>
    <t xml:space="preserve">Mariah Riddlesprigger</t>
  </si>
  <si>
    <t xml:space="preserve">Nikola Jokić</t>
  </si>
  <si>
    <t xml:space="preserve">Serbia</t>
  </si>
  <si>
    <t xml:space="preserve">Natalija Macesic</t>
  </si>
  <si>
    <t xml:space="preserve">Luka Dončić</t>
  </si>
  <si>
    <t xml:space="preserve">Slovenia</t>
  </si>
  <si>
    <t xml:space="preserve">Victor Wembanyama</t>
  </si>
  <si>
    <t xml:space="preserve">Shaquille O'Neal</t>
  </si>
  <si>
    <t xml:space="preserve">Magic Johnson</t>
  </si>
  <si>
    <t xml:space="preserve">Cookie Johnson</t>
  </si>
  <si>
    <t xml:space="preserve">Dirk Nowitzki</t>
  </si>
  <si>
    <t xml:space="preserve">Jessica Olsson</t>
  </si>
  <si>
    <t xml:space="preserve">Yao Ming</t>
  </si>
  <si>
    <t xml:space="preserve">China</t>
  </si>
  <si>
    <t xml:space="preserve">Ye Li</t>
  </si>
  <si>
    <t xml:space="preserve">Caitlin Clark</t>
  </si>
  <si>
    <t xml:space="preserve">Connor McCaffery</t>
  </si>
  <si>
    <t xml:space="preserve">A'ja Wilson</t>
  </si>
  <si>
    <t xml:space="preserve">Diana Taurasi</t>
  </si>
  <si>
    <t xml:space="preserve">Penny Taylor</t>
  </si>
  <si>
    <t xml:space="preserve">Roger Federer</t>
  </si>
  <si>
    <t xml:space="preserve">Tennis</t>
  </si>
  <si>
    <t xml:space="preserve">Switzerland</t>
  </si>
  <si>
    <t xml:space="preserve">Mirka Federer</t>
  </si>
  <si>
    <t xml:space="preserve">Rafael Nadal</t>
  </si>
  <si>
    <t xml:space="preserve">Mery Perelló</t>
  </si>
  <si>
    <t xml:space="preserve">Novak Djokovic</t>
  </si>
  <si>
    <t xml:space="preserve">Jelena Djokovic</t>
  </si>
  <si>
    <t xml:space="preserve">Carlos Alcaraz</t>
  </si>
  <si>
    <t xml:space="preserve">Jannik Sinner</t>
  </si>
  <si>
    <t xml:space="preserve">Andy Murray</t>
  </si>
  <si>
    <t xml:space="preserve">Great Britain</t>
  </si>
  <si>
    <t xml:space="preserve">Kim Sears</t>
  </si>
  <si>
    <t xml:space="preserve">Pete Sampras</t>
  </si>
  <si>
    <t xml:space="preserve">Bridgette Wilson</t>
  </si>
  <si>
    <t xml:space="preserve">Andre Agassi</t>
  </si>
  <si>
    <t xml:space="preserve">Steffi Graf</t>
  </si>
  <si>
    <t xml:space="preserve">Serena Williams</t>
  </si>
  <si>
    <t xml:space="preserve">Alexis Ohanian</t>
  </si>
  <si>
    <t xml:space="preserve">Venus Williams</t>
  </si>
  <si>
    <t xml:space="preserve">Andrea Preti</t>
  </si>
  <si>
    <t xml:space="preserve">Maria Sharapova</t>
  </si>
  <si>
    <t xml:space="preserve">Russia</t>
  </si>
  <si>
    <t xml:space="preserve">Alexander Gilkes</t>
  </si>
  <si>
    <t xml:space="preserve">Naomi Osaka</t>
  </si>
  <si>
    <t xml:space="preserve">Japan</t>
  </si>
  <si>
    <t xml:space="preserve">Iga Świątek</t>
  </si>
  <si>
    <t xml:space="preserve">Aryna Sabalenka</t>
  </si>
  <si>
    <t xml:space="preserve">Belarus</t>
  </si>
  <si>
    <t xml:space="preserve">Georgios Frangulis</t>
  </si>
  <si>
    <t xml:space="preserve">Coco Gauff</t>
  </si>
  <si>
    <t xml:space="preserve">Emma Raducanu</t>
  </si>
  <si>
    <t xml:space="preserve">Tiger Woods</t>
  </si>
  <si>
    <t xml:space="preserve">Golf</t>
  </si>
  <si>
    <t xml:space="preserve">Vanessa Trump</t>
  </si>
  <si>
    <t xml:space="preserve">Jack Nicklaus</t>
  </si>
  <si>
    <t xml:space="preserve">Barbara Nicklaus</t>
  </si>
  <si>
    <t xml:space="preserve">Rory McIlroy</t>
  </si>
  <si>
    <t xml:space="preserve">Northern Ireland</t>
  </si>
  <si>
    <t xml:space="preserve">Erica Stoll</t>
  </si>
  <si>
    <t xml:space="preserve">Scottie Scheffler</t>
  </si>
  <si>
    <t xml:space="preserve">Meredith Scheffler</t>
  </si>
  <si>
    <t xml:space="preserve">Phil Mickelson</t>
  </si>
  <si>
    <t xml:space="preserve">Amy Mickelson</t>
  </si>
  <si>
    <t xml:space="preserve">Jon Rahm</t>
  </si>
  <si>
    <t xml:space="preserve">Kelley Cahill</t>
  </si>
  <si>
    <t xml:space="preserve">Bryson DeChambeau</t>
  </si>
  <si>
    <t xml:space="preserve">Nelly Korda</t>
  </si>
  <si>
    <t xml:space="preserve">Lydia Ko</t>
  </si>
  <si>
    <t xml:space="preserve">New Zealand</t>
  </si>
  <si>
    <t xml:space="preserve">Jun Chung</t>
  </si>
  <si>
    <t xml:space="preserve">Lewis Hamilton</t>
  </si>
  <si>
    <t xml:space="preserve">Motorsport (F1)</t>
  </si>
  <si>
    <t xml:space="preserve">Max Verstappen</t>
  </si>
  <si>
    <t xml:space="preserve">Kelly Piquet</t>
  </si>
  <si>
    <t xml:space="preserve">Michael Schumacher</t>
  </si>
  <si>
    <t xml:space="preserve">Corinna Schumacher</t>
  </si>
  <si>
    <t xml:space="preserve">Fernando Alonso</t>
  </si>
  <si>
    <t xml:space="preserve">Charles Leclerc</t>
  </si>
  <si>
    <t xml:space="preserve">Monaco</t>
  </si>
  <si>
    <t xml:space="preserve">Alexandra Saint Mleux</t>
  </si>
  <si>
    <t xml:space="preserve">Lando Norris</t>
  </si>
  <si>
    <t xml:space="preserve">Margarida Corceiro</t>
  </si>
  <si>
    <t xml:space="preserve">Sebastian Vettel</t>
  </si>
  <si>
    <t xml:space="preserve">Hanna Prater</t>
  </si>
  <si>
    <t xml:space="preserve">Kimi Räikkönen</t>
  </si>
  <si>
    <t xml:space="preserve">Finland</t>
  </si>
  <si>
    <t xml:space="preserve">Danica Patrick</t>
  </si>
  <si>
    <t xml:space="preserve">Motorsport</t>
  </si>
  <si>
    <t xml:space="preserve">Valentino Rossi</t>
  </si>
  <si>
    <t xml:space="preserve">Motorsport (MotoGP)</t>
  </si>
  <si>
    <t xml:space="preserve">Francesca Sofia Novello</t>
  </si>
  <si>
    <t xml:space="preserve">Marc Márquez</t>
  </si>
  <si>
    <t xml:space="preserve">Gemma Pinto</t>
  </si>
  <si>
    <t xml:space="preserve">Usain Bolt</t>
  </si>
  <si>
    <t xml:space="preserve">Athletics</t>
  </si>
  <si>
    <t xml:space="preserve">Jamaica</t>
  </si>
  <si>
    <t xml:space="preserve">Kasi Bennett</t>
  </si>
  <si>
    <t xml:space="preserve">Mondo Duplantis</t>
  </si>
  <si>
    <t xml:space="preserve">Desiré Inglander</t>
  </si>
  <si>
    <t xml:space="preserve">Noah Lyles</t>
  </si>
  <si>
    <t xml:space="preserve">Junelle Bromfield</t>
  </si>
  <si>
    <t xml:space="preserve">Jakob Ingebrigtsen</t>
  </si>
  <si>
    <t xml:space="preserve">Elisabeth Asserson</t>
  </si>
  <si>
    <t xml:space="preserve">Eliud Kipchoge</t>
  </si>
  <si>
    <t xml:space="preserve">Kenya</t>
  </si>
  <si>
    <t xml:space="preserve">Grace Sugut</t>
  </si>
  <si>
    <t xml:space="preserve">Mo Farah</t>
  </si>
  <si>
    <t xml:space="preserve">Tania Nell</t>
  </si>
  <si>
    <t xml:space="preserve">Shelly-Ann Fraser-Pryce</t>
  </si>
  <si>
    <t xml:space="preserve">Jason Pryce</t>
  </si>
  <si>
    <t xml:space="preserve">Allyson Felix</t>
  </si>
  <si>
    <t xml:space="preserve">Kenneth Ferguson</t>
  </si>
  <si>
    <t xml:space="preserve">Sydney McLaughlin-Levrone</t>
  </si>
  <si>
    <t xml:space="preserve">Andre Levrone Jr.</t>
  </si>
  <si>
    <t xml:space="preserve">Faith Kipyegon</t>
  </si>
  <si>
    <t xml:space="preserve">Timothy Kitum</t>
  </si>
  <si>
    <t xml:space="preserve">Michael Phelps</t>
  </si>
  <si>
    <t xml:space="preserve">Swimming</t>
  </si>
  <si>
    <t xml:space="preserve">Nicole Johnson</t>
  </si>
  <si>
    <t xml:space="preserve">Ian Thorpe</t>
  </si>
  <si>
    <t xml:space="preserve">Léon Marchand</t>
  </si>
  <si>
    <t xml:space="preserve">Katie Ledecky</t>
  </si>
  <si>
    <t xml:space="preserve">Summer McIntosh</t>
  </si>
  <si>
    <t xml:space="preserve">Canada</t>
  </si>
  <si>
    <t xml:space="preserve">Tom Daley</t>
  </si>
  <si>
    <t xml:space="preserve">Diving</t>
  </si>
  <si>
    <t xml:space="preserve">Dustin Lance Black</t>
  </si>
  <si>
    <t xml:space="preserve">Simone Biles</t>
  </si>
  <si>
    <t xml:space="preserve">Gymnastics</t>
  </si>
  <si>
    <t xml:space="preserve">Jonathan Owens</t>
  </si>
  <si>
    <t xml:space="preserve">Nadia Comăneci</t>
  </si>
  <si>
    <t xml:space="preserve">Romania</t>
  </si>
  <si>
    <t xml:space="preserve">Bart Conner</t>
  </si>
  <si>
    <t xml:space="preserve">Rebeca Andrade</t>
  </si>
  <si>
    <t xml:space="preserve">Tom Brady</t>
  </si>
  <si>
    <t xml:space="preserve">American Football</t>
  </si>
  <si>
    <t xml:space="preserve">Peyton Manning</t>
  </si>
  <si>
    <t xml:space="preserve">Ashley Manning</t>
  </si>
  <si>
    <t xml:space="preserve">Jerry Rice</t>
  </si>
  <si>
    <t xml:space="preserve">Patrick Mahomes</t>
  </si>
  <si>
    <t xml:space="preserve">Brittany Mahomes</t>
  </si>
  <si>
    <t xml:space="preserve">Travis Kelce</t>
  </si>
  <si>
    <t xml:space="preserve">Taylor Swift</t>
  </si>
  <si>
    <t xml:space="preserve">Aaron Rodgers</t>
  </si>
  <si>
    <t xml:space="preserve">Brittani Rodgers</t>
  </si>
  <si>
    <t xml:space="preserve">Josh Allen</t>
  </si>
  <si>
    <t xml:space="preserve">Hailee Steinfeld</t>
  </si>
  <si>
    <t xml:space="preserve">Wayne Gretzky</t>
  </si>
  <si>
    <t xml:space="preserve">Ice Hockey</t>
  </si>
  <si>
    <t xml:space="preserve">Janet Jones</t>
  </si>
  <si>
    <t xml:space="preserve">Jaromír Jágr</t>
  </si>
  <si>
    <t xml:space="preserve">Czechia</t>
  </si>
  <si>
    <t xml:space="preserve">Alexander Ovechkin</t>
  </si>
  <si>
    <t xml:space="preserve">Nastasia Shubskaya</t>
  </si>
  <si>
    <t xml:space="preserve">Sidney Crosby</t>
  </si>
  <si>
    <t xml:space="preserve">Kathy Leutner</t>
  </si>
  <si>
    <t xml:space="preserve">Connor McDavid</t>
  </si>
  <si>
    <t xml:space="preserve">Lauren Kyle</t>
  </si>
  <si>
    <t xml:space="preserve">Auston Matthews</t>
  </si>
  <si>
    <t xml:space="preserve">Shohei Ohtani</t>
  </si>
  <si>
    <t xml:space="preserve">Baseball</t>
  </si>
  <si>
    <t xml:space="preserve">Mamiko Tanaka</t>
  </si>
  <si>
    <t xml:space="preserve">Aaron Judge</t>
  </si>
  <si>
    <t xml:space="preserve">Samantha Judge</t>
  </si>
  <si>
    <t xml:space="preserve">Derek Jeter</t>
  </si>
  <si>
    <t xml:space="preserve">Hannah Jeter</t>
  </si>
  <si>
    <t xml:space="preserve">Alex Rodriguez</t>
  </si>
  <si>
    <t xml:space="preserve">Floyd Mayweather</t>
  </si>
  <si>
    <t xml:space="preserve">Boxing</t>
  </si>
  <si>
    <t xml:space="preserve">Manny Pacquiao</t>
  </si>
  <si>
    <t xml:space="preserve">Philippines</t>
  </si>
  <si>
    <t xml:space="preserve">Jinkee Pacquiao</t>
  </si>
  <si>
    <t xml:space="preserve">Canelo Álvarez</t>
  </si>
  <si>
    <t xml:space="preserve">Mexico</t>
  </si>
  <si>
    <t xml:space="preserve">Fernanda Gómez</t>
  </si>
  <si>
    <t xml:space="preserve">Tyson Fury</t>
  </si>
  <si>
    <t xml:space="preserve">Paris Fury</t>
  </si>
  <si>
    <t xml:space="preserve">Anthony Joshua</t>
  </si>
  <si>
    <t xml:space="preserve">Mike Tyson</t>
  </si>
  <si>
    <t xml:space="preserve">Lakiha Spicer</t>
  </si>
  <si>
    <t xml:space="preserve">Claressa Shields</t>
  </si>
  <si>
    <t xml:space="preserve">Conor McGregor</t>
  </si>
  <si>
    <t xml:space="preserve">MMA</t>
  </si>
  <si>
    <t xml:space="preserve">Ireland</t>
  </si>
  <si>
    <t xml:space="preserve">Dee Devlin</t>
  </si>
  <si>
    <t xml:space="preserve">Khabib Nurmagomedov</t>
  </si>
  <si>
    <t xml:space="preserve">Jon Jones</t>
  </si>
  <si>
    <t xml:space="preserve">Jessie Moses</t>
  </si>
  <si>
    <t xml:space="preserve">Ronda Rousey</t>
  </si>
  <si>
    <t xml:space="preserve">Travis Browne</t>
  </si>
  <si>
    <t xml:space="preserve">Virat Kohli</t>
  </si>
  <si>
    <t xml:space="preserve">Cricket</t>
  </si>
  <si>
    <t xml:space="preserve">India</t>
  </si>
  <si>
    <t xml:space="preserve">Anushka Sharma</t>
  </si>
  <si>
    <t xml:space="preserve">Rohit Sharma</t>
  </si>
  <si>
    <t xml:space="preserve">Ritika Sajdeh</t>
  </si>
  <si>
    <t xml:space="preserve">MS Dhoni</t>
  </si>
  <si>
    <t xml:space="preserve">Sakshi Dhoni</t>
  </si>
  <si>
    <t xml:space="preserve">Sachin Tendulkar</t>
  </si>
  <si>
    <t xml:space="preserve">Anjali Tendulkar</t>
  </si>
  <si>
    <t xml:space="preserve">Ben Stokes</t>
  </si>
  <si>
    <t xml:space="preserve">Clare Ratcliffe</t>
  </si>
  <si>
    <t xml:space="preserve">Babar Azam</t>
  </si>
  <si>
    <t xml:space="preserve">Pakistan</t>
  </si>
  <si>
    <t xml:space="preserve">Smriti Mandhana</t>
  </si>
  <si>
    <t xml:space="preserve">Mikaela Shiffrin</t>
  </si>
  <si>
    <t xml:space="preserve">Alpine Skiing</t>
  </si>
  <si>
    <t xml:space="preserve">Aleksander Aamodt Kilde</t>
  </si>
  <si>
    <t xml:space="preserve">Lindsey Vonn</t>
  </si>
  <si>
    <t xml:space="preserve">Marco Odermatt</t>
  </si>
  <si>
    <t xml:space="preserve">Stella Parpan</t>
  </si>
  <si>
    <t xml:space="preserve">Eileen Gu</t>
  </si>
  <si>
    <t xml:space="preserve">Freestyle Skiing</t>
  </si>
  <si>
    <t xml:space="preserve">Shaun White</t>
  </si>
  <si>
    <t xml:space="preserve">Snowboarding</t>
  </si>
  <si>
    <t xml:space="preserve">Nina Dobrev</t>
  </si>
  <si>
    <t xml:space="preserve">Tadej Pogačar</t>
  </si>
  <si>
    <t xml:space="preserve">Cycling</t>
  </si>
  <si>
    <t xml:space="preserve">Urška Žigart</t>
  </si>
  <si>
    <t xml:space="preserve">Luke Littler</t>
  </si>
  <si>
    <t xml:space="preserve">Darts</t>
  </si>
  <si>
    <t xml:space="preserve">Sources</t>
  </si>
  <si>
    <t xml:space="preserve">Compiled from Claude's knowledge (reliable to ~June 2026), NOT live-verified per cell. Cut-off 1.9.2026. Hard facts (birth date, height, titles, Olympic record) are usually reliable; weight, earnings, net worth, Instagram and family data are approximations.</t>
  </si>
  <si>
    <t xml:space="preserve">Selection</t>
  </si>
  <si>
    <t xml:space="preserve">150 of the most famous and successful LIVING athletes, mixed sports and genders (deceased legends like Pelé, Maradona, Kobe, Ali excluded so every attribute applies).</t>
  </si>
  <si>
    <t xml:space="preserve">Ranks</t>
  </si>
  <si>
    <t xml:space="preserve">Rank 1 = highest value for every stat (incl. age, weight, age at debut). Ties share a rank. Blank = not applicable / unknown, no rank. Ranks are formulas – delete rows and they recalculate.</t>
  </si>
  <si>
    <t xml:space="preserve">Age / Age at pro debut / Years as pro</t>
  </si>
  <si>
    <t xml:space="preserve">Formulas from date of birth, pro debut year and retirement year (grey helper columns). Years as pro counts to 2026 for active athletes.</t>
  </si>
  <si>
    <t xml:space="preserve">Olympics</t>
  </si>
  <si>
    <t xml:space="preserve">Summer + Winter Games participations as a competitor, medals and golds (stripped medals excluded). 2026 Milano-Cortina results are flagged for verification.</t>
  </si>
  <si>
    <t xml:space="preserve">The sport's top prize: Football = FIFA World Cup + UEFA Champions League/Copa Libertadores (women: Women's World Cup + UWCL); Tennis = Grand Slam singles; Golf = majors; F1/MotoGP = world championships; NBA/WNBA/NFL/NHL/MLB = league championships; Athletics/Swimming/Gymnastics/Skiing/Diving/Snowboard = Olympic + World Championship golds; Boxing = weight classes with a major world title; MMA = UFC divisions champion; Cricket = ICC world titles; Cycling = Grand Tours + World road race titles; Darts = PDC World Championships.</t>
  </si>
  <si>
    <t xml:space="preserve">Year of first top-tier title minus birth year.</t>
  </si>
  <si>
    <t xml:space="preserve">Career earnings</t>
  </si>
  <si>
    <t xml:space="preserve">Rough estimate of on-field income in USD m: salaries, prize money, fight purses, LIV/contract guarantees. Excludes endorsements.</t>
  </si>
  <si>
    <t xml:space="preserve">Net worth</t>
  </si>
  <si>
    <t xml:space="preserve">Public estimates (Forbes, Bloomberg, media), USD m, rounded. Highly approximate.</t>
  </si>
  <si>
    <t xml:space="preserve">Instagram followers</t>
  </si>
  <si>
    <t xml:space="preserve">Approximate, in millions, mid-2026. Blank = no personal account.</t>
  </si>
  <si>
    <t xml:space="preserve">Publicly known biological/adopted children.</t>
  </si>
  <si>
    <t xml:space="preserve">Individual Laureus World Sports Awards won (Sportsman/Sportswoman, Breakthrough, Comeback, etc.); team and "Sporting Moment" awards excluded. 2026 edition not included.</t>
  </si>
  <si>
    <t xml:space="preserve">Partner</t>
  </si>
  <si>
    <t xml:space="preserve">Spouse/fiancé(e)/public partner as known; "—" = none public or unclear. Not ranked.</t>
  </si>
  <si>
    <t xml:space="preserve">Verify comments</t>
  </si>
  <si>
    <t xml:space="preserve">Athlete names with a cell comment mark facts that changed around/after mid-2026 and should be checked.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</si>
</sst>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0.0"/>
    <numFmt numFmtId="167" formatCode="General"/>
    <numFmt numFmtId="168" formatCode="0"/>
    <numFmt numFmtId="169" formatCode="#,##0.#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5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12" min="8" style="0" width="12"/>
    <col collapsed="false" customWidth="true" hidden="false" outlineLevel="0" max="13" min="13" style="0" width="7"/>
    <col collapsed="false" customWidth="true" hidden="false" outlineLevel="0" max="14" min="14" style="0" width="12"/>
    <col collapsed="false" customWidth="true" hidden="false" outlineLevel="0" max="15" min="15" style="0" width="7"/>
    <col collapsed="false" customWidth="true" hidden="false" outlineLevel="0" max="16" min="16" style="0" width="12"/>
    <col collapsed="false" customWidth="true" hidden="false" outlineLevel="0" max="17" min="17" style="0" width="7"/>
    <col collapsed="false" customWidth="true" hidden="false" outlineLevel="0" max="18" min="18" style="0" width="12"/>
    <col collapsed="false" customWidth="true" hidden="false" outlineLevel="0" max="19" min="19" style="0" width="7"/>
    <col collapsed="false" customWidth="true" hidden="false" outlineLevel="0" max="20" min="20" style="0" width="12"/>
    <col collapsed="false" customWidth="true" hidden="false" outlineLevel="0" max="21" min="21" style="0" width="7"/>
    <col collapsed="false" customWidth="true" hidden="false" outlineLevel="0" max="22" min="22" style="0" width="12"/>
    <col collapsed="false" customWidth="true" hidden="false" outlineLevel="0" max="23" min="23" style="0" width="7"/>
    <col collapsed="false" customWidth="true" hidden="false" outlineLevel="0" max="24" min="24" style="0" width="12"/>
    <col collapsed="false" customWidth="true" hidden="false" outlineLevel="0" max="25" min="25" style="0" width="7"/>
    <col collapsed="false" customWidth="true" hidden="false" outlineLevel="0" max="26" min="26" style="0" width="12"/>
    <col collapsed="false" customWidth="true" hidden="false" outlineLevel="0" max="27" min="27" style="0" width="7"/>
    <col collapsed="false" customWidth="true" hidden="false" outlineLevel="0" max="28" min="28" style="0" width="12"/>
    <col collapsed="false" customWidth="true" hidden="false" outlineLevel="0" max="29" min="29" style="0" width="7"/>
    <col collapsed="false" customWidth="true" hidden="false" outlineLevel="0" max="30" min="30" style="0" width="12"/>
    <col collapsed="false" customWidth="true" hidden="false" outlineLevel="0" max="31" min="31" style="0" width="7"/>
    <col collapsed="false" customWidth="true" hidden="false" outlineLevel="0" max="32" min="32" style="0" width="12"/>
    <col collapsed="false" customWidth="true" hidden="false" outlineLevel="0" max="33" min="33" style="0" width="7"/>
    <col collapsed="false" customWidth="true" hidden="false" outlineLevel="0" max="34" min="34" style="0" width="12"/>
    <col collapsed="false" customWidth="true" hidden="false" outlineLevel="0" max="35" min="35" style="0" width="7"/>
    <col collapsed="false" customWidth="true" hidden="false" outlineLevel="0" max="36" min="36" style="0" width="12"/>
    <col collapsed="false" customWidth="true" hidden="false" outlineLevel="0" max="37" min="37" style="0" width="7"/>
    <col collapsed="false" customWidth="true" hidden="false" outlineLevel="0" max="38" min="38" style="0" width="12"/>
    <col collapsed="false" customWidth="true" hidden="false" outlineLevel="0" max="39" min="39" style="0" width="7"/>
    <col collapsed="false" customWidth="true" hidden="false" outlineLevel="0" max="40" min="40" style="0" width="12"/>
    <col collapsed="false" customWidth="true" hidden="false" outlineLevel="0" max="41" min="41" style="0" width="7"/>
  </cols>
  <sheetData>
    <row r="1" customFormat="false" ht="4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12</v>
      </c>
      <c r="P1" s="1" t="s">
        <v>14</v>
      </c>
      <c r="Q1" s="1" t="s">
        <v>12</v>
      </c>
      <c r="R1" s="1" t="s">
        <v>15</v>
      </c>
      <c r="S1" s="1" t="s">
        <v>12</v>
      </c>
      <c r="T1" s="1" t="s">
        <v>16</v>
      </c>
      <c r="U1" s="1" t="s">
        <v>12</v>
      </c>
      <c r="V1" s="1" t="s">
        <v>17</v>
      </c>
      <c r="W1" s="1" t="s">
        <v>12</v>
      </c>
      <c r="X1" s="1" t="s">
        <v>18</v>
      </c>
      <c r="Y1" s="1" t="s">
        <v>12</v>
      </c>
      <c r="Z1" s="1" t="s">
        <v>19</v>
      </c>
      <c r="AA1" s="1" t="s">
        <v>12</v>
      </c>
      <c r="AB1" s="1" t="s">
        <v>20</v>
      </c>
      <c r="AC1" s="1" t="s">
        <v>12</v>
      </c>
      <c r="AD1" s="1" t="s">
        <v>21</v>
      </c>
      <c r="AE1" s="1" t="s">
        <v>12</v>
      </c>
      <c r="AF1" s="1" t="s">
        <v>22</v>
      </c>
      <c r="AG1" s="1" t="s">
        <v>12</v>
      </c>
      <c r="AH1" s="1" t="s">
        <v>23</v>
      </c>
      <c r="AI1" s="1" t="s">
        <v>12</v>
      </c>
      <c r="AJ1" s="1" t="s">
        <v>24</v>
      </c>
      <c r="AK1" s="1" t="s">
        <v>12</v>
      </c>
      <c r="AL1" s="1" t="s">
        <v>25</v>
      </c>
      <c r="AM1" s="1" t="s">
        <v>12</v>
      </c>
      <c r="AN1" s="1" t="s">
        <v>26</v>
      </c>
      <c r="AO1" s="1" t="s">
        <v>12</v>
      </c>
    </row>
    <row r="2" customFormat="false" ht="15" hidden="false" customHeight="false" outlineLevel="0" collapsed="false">
      <c r="A2" s="2" t="n">
        <v>1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3" t="n">
        <v>31083</v>
      </c>
      <c r="I2" s="2" t="n">
        <v>2002</v>
      </c>
      <c r="J2" s="2"/>
      <c r="K2" s="2" t="n">
        <v>2008</v>
      </c>
      <c r="L2" s="4" t="n">
        <f aca="false">ROUND((DATE(2026,9,1)-H2)/365.25,1)</f>
        <v>41.6</v>
      </c>
      <c r="M2" s="5" t="n">
        <f aca="false">IF(L2="","",RANK(L2,L$2:L$151,0))</f>
        <v>49</v>
      </c>
      <c r="N2" s="6" t="n">
        <v>187</v>
      </c>
      <c r="O2" s="5" t="n">
        <f aca="false">IF(N2="","",RANK(N2,N$2:N$151,0))</f>
        <v>49</v>
      </c>
      <c r="P2" s="6" t="n">
        <v>83</v>
      </c>
      <c r="Q2" s="5" t="n">
        <f aca="false">IF(P2="","",RANK(P2,P$2:P$151,0))</f>
        <v>58</v>
      </c>
      <c r="R2" s="6" t="n">
        <f aca="false">I2-YEAR(H2)</f>
        <v>17</v>
      </c>
      <c r="S2" s="5" t="n">
        <f aca="false">IF(R2="","",RANK(R2,R$2:R$151,0))</f>
        <v>82</v>
      </c>
      <c r="T2" s="6" t="n">
        <f aca="false">IF(J2="",2026,J2)-I2</f>
        <v>24</v>
      </c>
      <c r="U2" s="5" t="n">
        <f aca="false">IF(T2="","",RANK(T2,T$2:T$151,0))</f>
        <v>16</v>
      </c>
      <c r="V2" s="6" t="n">
        <v>1</v>
      </c>
      <c r="W2" s="5" t="n">
        <f aca="false">IF(V2="","",RANK(V2,V$2:V$151,0))</f>
        <v>54</v>
      </c>
      <c r="X2" s="6" t="n">
        <v>0</v>
      </c>
      <c r="Y2" s="5" t="n">
        <f aca="false">IF(X2="","",RANK(X2,X$2:X$151,0))</f>
        <v>65</v>
      </c>
      <c r="Z2" s="6" t="n">
        <v>0</v>
      </c>
      <c r="AA2" s="5" t="n">
        <f aca="false">IF(Z2="","",RANK(Z2,Z$2:Z$151,0))</f>
        <v>53</v>
      </c>
      <c r="AB2" s="6" t="n">
        <v>5</v>
      </c>
      <c r="AC2" s="5" t="n">
        <f aca="false">IF(AB2="","",RANK(AB2,AB$2:AB$151,0))</f>
        <v>39</v>
      </c>
      <c r="AD2" s="6" t="n">
        <f aca="false">IF(K2="","",K2-YEAR(H2))</f>
        <v>23</v>
      </c>
      <c r="AE2" s="5" t="n">
        <f aca="false">IF(AD2="","",RANK(AD2,AD$2:AD$151,0))</f>
        <v>61</v>
      </c>
      <c r="AF2" s="7" t="n">
        <v>1300</v>
      </c>
      <c r="AG2" s="5" t="n">
        <f aca="false">IF(AF2="","",RANK(AF2,AF$2:AF$151,0))</f>
        <v>1</v>
      </c>
      <c r="AH2" s="7" t="n">
        <v>1400</v>
      </c>
      <c r="AI2" s="5" t="n">
        <f aca="false">IF(AH2="","",RANK(AH2,AH$2:AH$151,0))</f>
        <v>3</v>
      </c>
      <c r="AJ2" s="4" t="n">
        <v>670</v>
      </c>
      <c r="AK2" s="5" t="n">
        <f aca="false">IF(AJ2="","",RANK(AJ2,AJ$2:AJ$151,0))</f>
        <v>1</v>
      </c>
      <c r="AL2" s="6" t="n">
        <v>5</v>
      </c>
      <c r="AM2" s="5" t="n">
        <f aca="false">IF(AL2="","",RANK(AL2,AL$2:AL$151,0))</f>
        <v>4</v>
      </c>
      <c r="AN2" s="6" t="n">
        <v>0</v>
      </c>
      <c r="AO2" s="5" t="n">
        <f aca="false">IF(AN2="","",RANK(AN2,AN$2:AN$151,0))</f>
        <v>22</v>
      </c>
    </row>
    <row r="3" customFormat="false" ht="15" hidden="false" customHeight="false" outlineLevel="0" collapsed="false">
      <c r="A3" s="2" t="n">
        <v>2</v>
      </c>
      <c r="B3" s="2" t="s">
        <v>33</v>
      </c>
      <c r="C3" s="2" t="s">
        <v>28</v>
      </c>
      <c r="D3" s="2" t="s">
        <v>34</v>
      </c>
      <c r="E3" s="2" t="s">
        <v>30</v>
      </c>
      <c r="F3" s="2" t="s">
        <v>31</v>
      </c>
      <c r="G3" s="2" t="s">
        <v>35</v>
      </c>
      <c r="H3" s="3" t="n">
        <v>31952</v>
      </c>
      <c r="I3" s="2" t="n">
        <v>2004</v>
      </c>
      <c r="J3" s="2"/>
      <c r="K3" s="2" t="n">
        <v>2006</v>
      </c>
      <c r="L3" s="4" t="n">
        <f aca="false">ROUND((DATE(2026,9,1)-H3)/365.25,1)</f>
        <v>39.2</v>
      </c>
      <c r="M3" s="5" t="n">
        <f aca="false">IF(L3="","",RANK(L3,L$2:L$151,0))</f>
        <v>69</v>
      </c>
      <c r="N3" s="6" t="n">
        <v>170</v>
      </c>
      <c r="O3" s="5" t="n">
        <f aca="false">IF(N3="","",RANK(N3,N$2:N$151,0))</f>
        <v>128</v>
      </c>
      <c r="P3" s="6" t="n">
        <v>72</v>
      </c>
      <c r="Q3" s="5" t="n">
        <f aca="false">IF(P3="","",RANK(P3,P$2:P$151,0))</f>
        <v>89</v>
      </c>
      <c r="R3" s="6" t="n">
        <f aca="false">I3-YEAR(H3)</f>
        <v>17</v>
      </c>
      <c r="S3" s="5" t="n">
        <f aca="false">IF(R3="","",RANK(R3,R$2:R$151,0))</f>
        <v>82</v>
      </c>
      <c r="T3" s="6" t="n">
        <f aca="false">IF(J3="",2026,J3)-I3</f>
        <v>22</v>
      </c>
      <c r="U3" s="5" t="n">
        <f aca="false">IF(T3="","",RANK(T3,T$2:T$151,0))</f>
        <v>25</v>
      </c>
      <c r="V3" s="6" t="n">
        <v>1</v>
      </c>
      <c r="W3" s="5" t="n">
        <f aca="false">IF(V3="","",RANK(V3,V$2:V$151,0))</f>
        <v>54</v>
      </c>
      <c r="X3" s="6" t="n">
        <v>1</v>
      </c>
      <c r="Y3" s="5" t="n">
        <f aca="false">IF(X3="","",RANK(X3,X$2:X$151,0))</f>
        <v>45</v>
      </c>
      <c r="Z3" s="6" t="n">
        <v>1</v>
      </c>
      <c r="AA3" s="5" t="n">
        <f aca="false">IF(Z3="","",RANK(Z3,Z$2:Z$151,0))</f>
        <v>32</v>
      </c>
      <c r="AB3" s="6" t="n">
        <v>5</v>
      </c>
      <c r="AC3" s="5" t="n">
        <f aca="false">IF(AB3="","",RANK(AB3,AB$2:AB$151,0))</f>
        <v>39</v>
      </c>
      <c r="AD3" s="6" t="n">
        <f aca="false">IF(K3="","",K3-YEAR(H3))</f>
        <v>19</v>
      </c>
      <c r="AE3" s="5" t="n">
        <f aca="false">IF(AD3="","",RANK(AD3,AD$2:AD$151,0))</f>
        <v>109</v>
      </c>
      <c r="AF3" s="7" t="n">
        <v>1200</v>
      </c>
      <c r="AG3" s="5" t="n">
        <f aca="false">IF(AF3="","",RANK(AF3,AF$2:AF$151,0))</f>
        <v>2</v>
      </c>
      <c r="AH3" s="7" t="n">
        <v>850</v>
      </c>
      <c r="AI3" s="5" t="n">
        <f aca="false">IF(AH3="","",RANK(AH3,AH$2:AH$151,0))</f>
        <v>7</v>
      </c>
      <c r="AJ3" s="4" t="n">
        <v>510</v>
      </c>
      <c r="AK3" s="5" t="n">
        <f aca="false">IF(AJ3="","",RANK(AJ3,AJ$2:AJ$151,0))</f>
        <v>2</v>
      </c>
      <c r="AL3" s="6" t="n">
        <v>3</v>
      </c>
      <c r="AM3" s="5" t="n">
        <f aca="false">IF(AL3="","",RANK(AL3,AL$2:AL$151,0))</f>
        <v>27</v>
      </c>
      <c r="AN3" s="6" t="n">
        <v>2</v>
      </c>
      <c r="AO3" s="5" t="n">
        <f aca="false">IF(AN3="","",RANK(AN3,AN$2:AN$151,0))</f>
        <v>8</v>
      </c>
    </row>
    <row r="4" customFormat="false" ht="15" hidden="false" customHeight="false" outlineLevel="0" collapsed="false">
      <c r="A4" s="2" t="n">
        <v>3</v>
      </c>
      <c r="B4" s="2" t="s">
        <v>36</v>
      </c>
      <c r="C4" s="2" t="s">
        <v>28</v>
      </c>
      <c r="D4" s="2" t="s">
        <v>37</v>
      </c>
      <c r="E4" s="2" t="s">
        <v>30</v>
      </c>
      <c r="F4" s="2" t="s">
        <v>31</v>
      </c>
      <c r="G4" s="2" t="s">
        <v>38</v>
      </c>
      <c r="H4" s="3" t="n">
        <v>33639</v>
      </c>
      <c r="I4" s="2" t="n">
        <v>2009</v>
      </c>
      <c r="J4" s="2"/>
      <c r="K4" s="2" t="n">
        <v>2011</v>
      </c>
      <c r="L4" s="4" t="n">
        <f aca="false">ROUND((DATE(2026,9,1)-H4)/365.25,1)</f>
        <v>34.6</v>
      </c>
      <c r="M4" s="5" t="n">
        <f aca="false">IF(L4="","",RANK(L4,L$2:L$151,0))</f>
        <v>91</v>
      </c>
      <c r="N4" s="6" t="n">
        <v>175</v>
      </c>
      <c r="O4" s="5" t="n">
        <f aca="false">IF(N4="","",RANK(N4,N$2:N$151,0))</f>
        <v>102</v>
      </c>
      <c r="P4" s="6" t="n">
        <v>68</v>
      </c>
      <c r="Q4" s="5" t="n">
        <f aca="false">IF(P4="","",RANK(P4,P$2:P$151,0))</f>
        <v>109</v>
      </c>
      <c r="R4" s="6" t="n">
        <f aca="false">I4-YEAR(H4)</f>
        <v>17</v>
      </c>
      <c r="S4" s="5" t="n">
        <f aca="false">IF(R4="","",RANK(R4,R$2:R$151,0))</f>
        <v>82</v>
      </c>
      <c r="T4" s="6" t="n">
        <f aca="false">IF(J4="",2026,J4)-I4</f>
        <v>17</v>
      </c>
      <c r="U4" s="5" t="n">
        <f aca="false">IF(T4="","",RANK(T4,T$2:T$151,0))</f>
        <v>69</v>
      </c>
      <c r="V4" s="6" t="n">
        <v>2</v>
      </c>
      <c r="W4" s="5" t="n">
        <f aca="false">IF(V4="","",RANK(V4,V$2:V$151,0))</f>
        <v>33</v>
      </c>
      <c r="X4" s="6" t="n">
        <v>2</v>
      </c>
      <c r="Y4" s="5" t="n">
        <f aca="false">IF(X4="","",RANK(X4,X$2:X$151,0))</f>
        <v>31</v>
      </c>
      <c r="Z4" s="6" t="n">
        <v>1</v>
      </c>
      <c r="AA4" s="5" t="n">
        <f aca="false">IF(Z4="","",RANK(Z4,Z$2:Z$151,0))</f>
        <v>32</v>
      </c>
      <c r="AB4" s="6" t="n">
        <v>2</v>
      </c>
      <c r="AC4" s="5" t="n">
        <f aca="false">IF(AB4="","",RANK(AB4,AB$2:AB$151,0))</f>
        <v>85</v>
      </c>
      <c r="AD4" s="6" t="n">
        <f aca="false">IF(K4="","",K4-YEAR(H4))</f>
        <v>19</v>
      </c>
      <c r="AE4" s="5" t="n">
        <f aca="false">IF(AD4="","",RANK(AD4,AD$2:AD$151,0))</f>
        <v>109</v>
      </c>
      <c r="AF4" s="7" t="n">
        <v>800</v>
      </c>
      <c r="AG4" s="5" t="n">
        <f aca="false">IF(AF4="","",RANK(AF4,AF$2:AF$151,0))</f>
        <v>4</v>
      </c>
      <c r="AH4" s="7" t="n">
        <v>300</v>
      </c>
      <c r="AI4" s="5" t="n">
        <f aca="false">IF(AH4="","",RANK(AH4,AH$2:AH$151,0))</f>
        <v>17</v>
      </c>
      <c r="AJ4" s="4" t="n">
        <v>230</v>
      </c>
      <c r="AK4" s="5" t="n">
        <f aca="false">IF(AJ4="","",RANK(AJ4,AJ$2:AJ$151,0))</f>
        <v>4</v>
      </c>
      <c r="AL4" s="6" t="n">
        <v>4</v>
      </c>
      <c r="AM4" s="5" t="n">
        <f aca="false">IF(AL4="","",RANK(AL4,AL$2:AL$151,0))</f>
        <v>12</v>
      </c>
      <c r="AN4" s="6" t="n">
        <v>0</v>
      </c>
      <c r="AO4" s="5" t="n">
        <f aca="false">IF(AN4="","",RANK(AN4,AN$2:AN$151,0))</f>
        <v>22</v>
      </c>
    </row>
    <row r="5" customFormat="false" ht="15" hidden="false" customHeight="false" outlineLevel="0" collapsed="false">
      <c r="A5" s="2" t="n">
        <v>4</v>
      </c>
      <c r="B5" s="2" t="s">
        <v>39</v>
      </c>
      <c r="C5" s="2" t="s">
        <v>28</v>
      </c>
      <c r="D5" s="2" t="s">
        <v>40</v>
      </c>
      <c r="E5" s="2" t="s">
        <v>30</v>
      </c>
      <c r="F5" s="2" t="s">
        <v>31</v>
      </c>
      <c r="G5" s="2" t="s">
        <v>41</v>
      </c>
      <c r="H5" s="3" t="n">
        <v>36149</v>
      </c>
      <c r="I5" s="2" t="n">
        <v>2015</v>
      </c>
      <c r="J5" s="2"/>
      <c r="K5" s="2" t="n">
        <v>2018</v>
      </c>
      <c r="L5" s="4" t="n">
        <f aca="false">ROUND((DATE(2026,9,1)-H5)/365.25,1)</f>
        <v>27.7</v>
      </c>
      <c r="M5" s="5" t="n">
        <f aca="false">IF(L5="","",RANK(L5,L$2:L$151,0))</f>
        <v>129</v>
      </c>
      <c r="N5" s="6" t="n">
        <v>178</v>
      </c>
      <c r="O5" s="5" t="n">
        <f aca="false">IF(N5="","",RANK(N5,N$2:N$151,0))</f>
        <v>90</v>
      </c>
      <c r="P5" s="6" t="n">
        <v>73</v>
      </c>
      <c r="Q5" s="5" t="n">
        <f aca="false">IF(P5="","",RANK(P5,P$2:P$151,0))</f>
        <v>82</v>
      </c>
      <c r="R5" s="6" t="n">
        <f aca="false">I5-YEAR(H5)</f>
        <v>17</v>
      </c>
      <c r="S5" s="5" t="n">
        <f aca="false">IF(R5="","",RANK(R5,R$2:R$151,0))</f>
        <v>82</v>
      </c>
      <c r="T5" s="6" t="n">
        <f aca="false">IF(J5="",2026,J5)-I5</f>
        <v>11</v>
      </c>
      <c r="U5" s="5" t="n">
        <f aca="false">IF(T5="","",RANK(T5,T$2:T$151,0))</f>
        <v>110</v>
      </c>
      <c r="V5" s="6" t="n">
        <v>0</v>
      </c>
      <c r="W5" s="5" t="n">
        <f aca="false">IF(V5="","",RANK(V5,V$2:V$151,0))</f>
        <v>82</v>
      </c>
      <c r="X5" s="6" t="n">
        <v>0</v>
      </c>
      <c r="Y5" s="5" t="n">
        <f aca="false">IF(X5="","",RANK(X5,X$2:X$151,0))</f>
        <v>65</v>
      </c>
      <c r="Z5" s="6" t="n">
        <v>0</v>
      </c>
      <c r="AA5" s="5" t="n">
        <f aca="false">IF(Z5="","",RANK(Z5,Z$2:Z$151,0))</f>
        <v>53</v>
      </c>
      <c r="AB5" s="6" t="n">
        <v>1</v>
      </c>
      <c r="AC5" s="5" t="n">
        <f aca="false">IF(AB5="","",RANK(AB5,AB$2:AB$151,0))</f>
        <v>106</v>
      </c>
      <c r="AD5" s="6" t="n">
        <f aca="false">IF(K5="","",K5-YEAR(H5))</f>
        <v>20</v>
      </c>
      <c r="AE5" s="5" t="n">
        <f aca="false">IF(AD5="","",RANK(AD5,AD$2:AD$151,0))</f>
        <v>99</v>
      </c>
      <c r="AF5" s="7" t="n">
        <v>450</v>
      </c>
      <c r="AG5" s="5" t="n">
        <f aca="false">IF(AF5="","",RANK(AF5,AF$2:AF$151,0))</f>
        <v>12</v>
      </c>
      <c r="AH5" s="7" t="n">
        <v>200</v>
      </c>
      <c r="AI5" s="5" t="n">
        <f aca="false">IF(AH5="","",RANK(AH5,AH$2:AH$151,0))</f>
        <v>29</v>
      </c>
      <c r="AJ5" s="4" t="n">
        <v>125</v>
      </c>
      <c r="AK5" s="5" t="n">
        <f aca="false">IF(AJ5="","",RANK(AJ5,AJ$2:AJ$151,0))</f>
        <v>6</v>
      </c>
      <c r="AL5" s="6" t="n">
        <v>0</v>
      </c>
      <c r="AM5" s="5" t="n">
        <f aca="false">IF(AL5="","",RANK(AL5,AL$2:AL$151,0))</f>
        <v>95</v>
      </c>
      <c r="AN5" s="6" t="n">
        <v>0</v>
      </c>
      <c r="AO5" s="5" t="n">
        <f aca="false">IF(AN5="","",RANK(AN5,AN$2:AN$151,0))</f>
        <v>22</v>
      </c>
    </row>
    <row r="6" customFormat="false" ht="15" hidden="false" customHeight="false" outlineLevel="0" collapsed="false">
      <c r="A6" s="2" t="n">
        <v>5</v>
      </c>
      <c r="B6" s="2" t="s">
        <v>42</v>
      </c>
      <c r="C6" s="2" t="s">
        <v>28</v>
      </c>
      <c r="D6" s="2" t="s">
        <v>43</v>
      </c>
      <c r="E6" s="2" t="s">
        <v>30</v>
      </c>
      <c r="F6" s="2" t="s">
        <v>31</v>
      </c>
      <c r="G6" s="2" t="s">
        <v>44</v>
      </c>
      <c r="H6" s="3" t="n">
        <v>36728</v>
      </c>
      <c r="I6" s="2" t="n">
        <v>2016</v>
      </c>
      <c r="J6" s="2"/>
      <c r="K6" s="2" t="n">
        <v>2023</v>
      </c>
      <c r="L6" s="4" t="n">
        <f aca="false">ROUND((DATE(2026,9,1)-H6)/365.25,1)</f>
        <v>26.1</v>
      </c>
      <c r="M6" s="5" t="n">
        <f aca="false">IF(L6="","",RANK(L6,L$2:L$151,0))</f>
        <v>135</v>
      </c>
      <c r="N6" s="6" t="n">
        <v>195</v>
      </c>
      <c r="O6" s="5" t="n">
        <f aca="false">IF(N6="","",RANK(N6,N$2:N$151,0))</f>
        <v>19</v>
      </c>
      <c r="P6" s="6" t="n">
        <v>88</v>
      </c>
      <c r="Q6" s="5" t="n">
        <f aca="false">IF(P6="","",RANK(P6,P$2:P$151,0))</f>
        <v>42</v>
      </c>
      <c r="R6" s="6" t="n">
        <f aca="false">I6-YEAR(H6)</f>
        <v>16</v>
      </c>
      <c r="S6" s="5" t="n">
        <f aca="false">IF(R6="","",RANK(R6,R$2:R$151,0))</f>
        <v>109</v>
      </c>
      <c r="T6" s="6" t="n">
        <f aca="false">IF(J6="",2026,J6)-I6</f>
        <v>10</v>
      </c>
      <c r="U6" s="5" t="n">
        <f aca="false">IF(T6="","",RANK(T6,T$2:T$151,0))</f>
        <v>117</v>
      </c>
      <c r="V6" s="6" t="n">
        <v>0</v>
      </c>
      <c r="W6" s="5" t="n">
        <f aca="false">IF(V6="","",RANK(V6,V$2:V$151,0))</f>
        <v>82</v>
      </c>
      <c r="X6" s="6" t="n">
        <v>0</v>
      </c>
      <c r="Y6" s="5" t="n">
        <f aca="false">IF(X6="","",RANK(X6,X$2:X$151,0))</f>
        <v>65</v>
      </c>
      <c r="Z6" s="6" t="n">
        <v>0</v>
      </c>
      <c r="AA6" s="5" t="n">
        <f aca="false">IF(Z6="","",RANK(Z6,Z$2:Z$151,0))</f>
        <v>53</v>
      </c>
      <c r="AB6" s="6" t="n">
        <v>1</v>
      </c>
      <c r="AC6" s="5" t="n">
        <f aca="false">IF(AB6="","",RANK(AB6,AB$2:AB$151,0))</f>
        <v>106</v>
      </c>
      <c r="AD6" s="6" t="n">
        <f aca="false">IF(K6="","",K6-YEAR(H6))</f>
        <v>23</v>
      </c>
      <c r="AE6" s="5" t="n">
        <f aca="false">IF(AD6="","",RANK(AD6,AD$2:AD$151,0))</f>
        <v>61</v>
      </c>
      <c r="AF6" s="7" t="n">
        <v>200</v>
      </c>
      <c r="AG6" s="5" t="n">
        <f aca="false">IF(AF6="","",RANK(AF6,AF$2:AF$151,0))</f>
        <v>44</v>
      </c>
      <c r="AH6" s="7" t="n">
        <v>80</v>
      </c>
      <c r="AI6" s="5" t="n">
        <f aca="false">IF(AH6="","",RANK(AH6,AH$2:AH$151,0))</f>
        <v>78</v>
      </c>
      <c r="AJ6" s="4" t="n">
        <v>45</v>
      </c>
      <c r="AK6" s="5" t="n">
        <f aca="false">IF(AJ6="","",RANK(AJ6,AJ$2:AJ$151,0))</f>
        <v>20</v>
      </c>
      <c r="AL6" s="6" t="n">
        <v>1</v>
      </c>
      <c r="AM6" s="5" t="n">
        <f aca="false">IF(AL6="","",RANK(AL6,AL$2:AL$151,0))</f>
        <v>77</v>
      </c>
      <c r="AN6" s="6" t="n">
        <v>0</v>
      </c>
      <c r="AO6" s="5" t="n">
        <f aca="false">IF(AN6="","",RANK(AN6,AN$2:AN$151,0))</f>
        <v>22</v>
      </c>
    </row>
    <row r="7" customFormat="false" ht="15" hidden="false" customHeight="false" outlineLevel="0" collapsed="false">
      <c r="A7" s="2" t="n">
        <v>6</v>
      </c>
      <c r="B7" s="2" t="s">
        <v>45</v>
      </c>
      <c r="C7" s="2" t="s">
        <v>28</v>
      </c>
      <c r="D7" s="2" t="s">
        <v>46</v>
      </c>
      <c r="E7" s="2" t="s">
        <v>30</v>
      </c>
      <c r="F7" s="2" t="s">
        <v>31</v>
      </c>
      <c r="G7" s="2" t="s">
        <v>41</v>
      </c>
      <c r="H7" s="3" t="n">
        <v>39276</v>
      </c>
      <c r="I7" s="2" t="n">
        <v>2023</v>
      </c>
      <c r="J7" s="2"/>
      <c r="K7" s="2"/>
      <c r="L7" s="4" t="n">
        <f aca="false">ROUND((DATE(2026,9,1)-H7)/365.25,1)</f>
        <v>19.1</v>
      </c>
      <c r="M7" s="5" t="n">
        <f aca="false">IF(L7="","",RANK(L7,L$2:L$151,0))</f>
        <v>150</v>
      </c>
      <c r="N7" s="6" t="n">
        <v>180</v>
      </c>
      <c r="O7" s="5" t="n">
        <f aca="false">IF(N7="","",RANK(N7,N$2:N$151,0))</f>
        <v>83</v>
      </c>
      <c r="P7" s="6" t="n">
        <v>72</v>
      </c>
      <c r="Q7" s="5" t="n">
        <f aca="false">IF(P7="","",RANK(P7,P$2:P$151,0))</f>
        <v>89</v>
      </c>
      <c r="R7" s="6" t="n">
        <f aca="false">I7-YEAR(H7)</f>
        <v>16</v>
      </c>
      <c r="S7" s="5" t="n">
        <f aca="false">IF(R7="","",RANK(R7,R$2:R$151,0))</f>
        <v>109</v>
      </c>
      <c r="T7" s="6" t="n">
        <f aca="false">IF(J7="",2026,J7)-I7</f>
        <v>3</v>
      </c>
      <c r="U7" s="5" t="n">
        <f aca="false">IF(T7="","",RANK(T7,T$2:T$151,0))</f>
        <v>148</v>
      </c>
      <c r="V7" s="6" t="n">
        <v>0</v>
      </c>
      <c r="W7" s="5" t="n">
        <f aca="false">IF(V7="","",RANK(V7,V$2:V$151,0))</f>
        <v>82</v>
      </c>
      <c r="X7" s="6" t="n">
        <v>0</v>
      </c>
      <c r="Y7" s="5" t="n">
        <f aca="false">IF(X7="","",RANK(X7,X$2:X$151,0))</f>
        <v>65</v>
      </c>
      <c r="Z7" s="6" t="n">
        <v>0</v>
      </c>
      <c r="AA7" s="5" t="n">
        <f aca="false">IF(Z7="","",RANK(Z7,Z$2:Z$151,0))</f>
        <v>53</v>
      </c>
      <c r="AB7" s="6" t="n">
        <v>0</v>
      </c>
      <c r="AC7" s="5" t="n">
        <f aca="false">IF(AB7="","",RANK(AB7,AB$2:AB$151,0))</f>
        <v>135</v>
      </c>
      <c r="AD7" s="6" t="str">
        <f aca="false">IF(K7="","",K7-YEAR(H7))</f>
        <v/>
      </c>
      <c r="AE7" s="5" t="str">
        <f aca="false">IF(AD7="","",RANK(AD7,AD$2:AD$151,0))</f>
        <v/>
      </c>
      <c r="AF7" s="7" t="n">
        <v>20</v>
      </c>
      <c r="AG7" s="5" t="n">
        <f aca="false">IF(AF7="","",RANK(AF7,AF$2:AF$151,0))</f>
        <v>109</v>
      </c>
      <c r="AH7" s="7" t="n">
        <v>30</v>
      </c>
      <c r="AI7" s="5" t="n">
        <f aca="false">IF(AH7="","",RANK(AH7,AH$2:AH$151,0))</f>
        <v>104</v>
      </c>
      <c r="AJ7" s="4" t="n">
        <v>40</v>
      </c>
      <c r="AK7" s="5" t="n">
        <f aca="false">IF(AJ7="","",RANK(AJ7,AJ$2:AJ$151,0))</f>
        <v>23</v>
      </c>
      <c r="AL7" s="6" t="n">
        <v>0</v>
      </c>
      <c r="AM7" s="5" t="n">
        <f aca="false">IF(AL7="","",RANK(AL7,AL$2:AL$151,0))</f>
        <v>95</v>
      </c>
      <c r="AN7" s="6" t="n">
        <v>1</v>
      </c>
      <c r="AO7" s="5" t="n">
        <f aca="false">IF(AN7="","",RANK(AN7,AN$2:AN$151,0))</f>
        <v>11</v>
      </c>
    </row>
    <row r="8" customFormat="false" ht="15" hidden="false" customHeight="false" outlineLevel="0" collapsed="false">
      <c r="A8" s="2" t="n">
        <v>7</v>
      </c>
      <c r="B8" s="2" t="s">
        <v>47</v>
      </c>
      <c r="C8" s="2" t="s">
        <v>28</v>
      </c>
      <c r="D8" s="2" t="s">
        <v>48</v>
      </c>
      <c r="E8" s="2" t="s">
        <v>30</v>
      </c>
      <c r="F8" s="2" t="s">
        <v>31</v>
      </c>
      <c r="G8" s="2" t="s">
        <v>49</v>
      </c>
      <c r="H8" s="3" t="n">
        <v>33770</v>
      </c>
      <c r="I8" s="2" t="n">
        <v>2010</v>
      </c>
      <c r="J8" s="2"/>
      <c r="K8" s="2" t="n">
        <v>2019</v>
      </c>
      <c r="L8" s="4" t="n">
        <f aca="false">ROUND((DATE(2026,9,1)-H8)/365.25,1)</f>
        <v>34.2</v>
      </c>
      <c r="M8" s="5" t="n">
        <f aca="false">IF(L8="","",RANK(L8,L$2:L$151,0))</f>
        <v>93</v>
      </c>
      <c r="N8" s="6" t="n">
        <v>175</v>
      </c>
      <c r="O8" s="5" t="n">
        <f aca="false">IF(N8="","",RANK(N8,N$2:N$151,0))</f>
        <v>102</v>
      </c>
      <c r="P8" s="6" t="n">
        <v>71</v>
      </c>
      <c r="Q8" s="5" t="n">
        <f aca="false">IF(P8="","",RANK(P8,P$2:P$151,0))</f>
        <v>97</v>
      </c>
      <c r="R8" s="6" t="n">
        <f aca="false">I8-YEAR(H8)</f>
        <v>18</v>
      </c>
      <c r="S8" s="5" t="n">
        <f aca="false">IF(R8="","",RANK(R8,R$2:R$151,0))</f>
        <v>56</v>
      </c>
      <c r="T8" s="6" t="n">
        <f aca="false">IF(J8="",2026,J8)-I8</f>
        <v>16</v>
      </c>
      <c r="U8" s="5" t="n">
        <f aca="false">IF(T8="","",RANK(T8,T$2:T$151,0))</f>
        <v>80</v>
      </c>
      <c r="V8" s="6" t="n">
        <v>1</v>
      </c>
      <c r="W8" s="5" t="n">
        <f aca="false">IF(V8="","",RANK(V8,V$2:V$151,0))</f>
        <v>54</v>
      </c>
      <c r="X8" s="6" t="n">
        <v>0</v>
      </c>
      <c r="Y8" s="5" t="n">
        <f aca="false">IF(X8="","",RANK(X8,X$2:X$151,0))</f>
        <v>65</v>
      </c>
      <c r="Z8" s="6" t="n">
        <v>0</v>
      </c>
      <c r="AA8" s="5" t="n">
        <f aca="false">IF(Z8="","",RANK(Z8,Z$2:Z$151,0))</f>
        <v>53</v>
      </c>
      <c r="AB8" s="6" t="n">
        <v>1</v>
      </c>
      <c r="AC8" s="5" t="n">
        <f aca="false">IF(AB8="","",RANK(AB8,AB$2:AB$151,0))</f>
        <v>106</v>
      </c>
      <c r="AD8" s="6" t="n">
        <f aca="false">IF(K8="","",K8-YEAR(H8))</f>
        <v>27</v>
      </c>
      <c r="AE8" s="5" t="n">
        <f aca="false">IF(AD8="","",RANK(AD8,AD$2:AD$151,0))</f>
        <v>27</v>
      </c>
      <c r="AF8" s="7" t="n">
        <v>300</v>
      </c>
      <c r="AG8" s="5" t="n">
        <f aca="false">IF(AF8="","",RANK(AF8,AF$2:AF$151,0))</f>
        <v>25</v>
      </c>
      <c r="AH8" s="7" t="n">
        <v>100</v>
      </c>
      <c r="AI8" s="5" t="n">
        <f aca="false">IF(AH8="","",RANK(AH8,AH$2:AH$151,0))</f>
        <v>61</v>
      </c>
      <c r="AJ8" s="4" t="n">
        <v>65</v>
      </c>
      <c r="AK8" s="5" t="n">
        <f aca="false">IF(AJ8="","",RANK(AJ8,AJ$2:AJ$151,0))</f>
        <v>10</v>
      </c>
      <c r="AL8" s="6" t="n">
        <v>2</v>
      </c>
      <c r="AM8" s="5" t="n">
        <f aca="false">IF(AL8="","",RANK(AL8,AL$2:AL$151,0))</f>
        <v>49</v>
      </c>
      <c r="AN8" s="6" t="n">
        <v>0</v>
      </c>
      <c r="AO8" s="5" t="n">
        <f aca="false">IF(AN8="","",RANK(AN8,AN$2:AN$151,0))</f>
        <v>22</v>
      </c>
    </row>
    <row r="9" customFormat="false" ht="15" hidden="false" customHeight="false" outlineLevel="0" collapsed="false">
      <c r="A9" s="2" t="n">
        <v>8</v>
      </c>
      <c r="B9" s="2" t="s">
        <v>50</v>
      </c>
      <c r="C9" s="2" t="s">
        <v>28</v>
      </c>
      <c r="D9" s="2" t="s">
        <v>51</v>
      </c>
      <c r="E9" s="2" t="s">
        <v>30</v>
      </c>
      <c r="F9" s="2" t="s">
        <v>31</v>
      </c>
      <c r="G9" s="2" t="s">
        <v>52</v>
      </c>
      <c r="H9" s="3" t="n">
        <v>33417</v>
      </c>
      <c r="I9" s="2" t="n">
        <v>2008</v>
      </c>
      <c r="J9" s="2"/>
      <c r="K9" s="2" t="n">
        <v>2023</v>
      </c>
      <c r="L9" s="4" t="n">
        <f aca="false">ROUND((DATE(2026,9,1)-H9)/365.25,1)</f>
        <v>35.2</v>
      </c>
      <c r="M9" s="5" t="n">
        <f aca="false">IF(L9="","",RANK(L9,L$2:L$151,0))</f>
        <v>88</v>
      </c>
      <c r="N9" s="6" t="n">
        <v>181</v>
      </c>
      <c r="O9" s="5" t="n">
        <f aca="false">IF(N9="","",RANK(N9,N$2:N$151,0))</f>
        <v>79</v>
      </c>
      <c r="P9" s="6" t="n">
        <v>68</v>
      </c>
      <c r="Q9" s="5" t="n">
        <f aca="false">IF(P9="","",RANK(P9,P$2:P$151,0))</f>
        <v>109</v>
      </c>
      <c r="R9" s="6" t="n">
        <f aca="false">I9-YEAR(H9)</f>
        <v>17</v>
      </c>
      <c r="S9" s="5" t="n">
        <f aca="false">IF(R9="","",RANK(R9,R$2:R$151,0))</f>
        <v>82</v>
      </c>
      <c r="T9" s="6" t="n">
        <f aca="false">IF(J9="",2026,J9)-I9</f>
        <v>18</v>
      </c>
      <c r="U9" s="5" t="n">
        <f aca="false">IF(T9="","",RANK(T9,T$2:T$151,0))</f>
        <v>61</v>
      </c>
      <c r="V9" s="6" t="n">
        <v>0</v>
      </c>
      <c r="W9" s="5" t="n">
        <f aca="false">IF(V9="","",RANK(V9,V$2:V$151,0))</f>
        <v>82</v>
      </c>
      <c r="X9" s="6" t="n">
        <v>0</v>
      </c>
      <c r="Y9" s="5" t="n">
        <f aca="false">IF(X9="","",RANK(X9,X$2:X$151,0))</f>
        <v>65</v>
      </c>
      <c r="Z9" s="6" t="n">
        <v>0</v>
      </c>
      <c r="AA9" s="5" t="n">
        <f aca="false">IF(Z9="","",RANK(Z9,Z$2:Z$151,0))</f>
        <v>53</v>
      </c>
      <c r="AB9" s="6" t="n">
        <v>1</v>
      </c>
      <c r="AC9" s="5" t="n">
        <f aca="false">IF(AB9="","",RANK(AB9,AB$2:AB$151,0))</f>
        <v>106</v>
      </c>
      <c r="AD9" s="6" t="n">
        <f aca="false">IF(K9="","",K9-YEAR(H9))</f>
        <v>32</v>
      </c>
      <c r="AE9" s="5" t="n">
        <f aca="false">IF(AD9="","",RANK(AD9,AD$2:AD$151,0))</f>
        <v>6</v>
      </c>
      <c r="AF9" s="7" t="n">
        <v>250</v>
      </c>
      <c r="AG9" s="5" t="n">
        <f aca="false">IF(AF9="","",RANK(AF9,AF$2:AF$151,0))</f>
        <v>34</v>
      </c>
      <c r="AH9" s="7" t="n">
        <v>100</v>
      </c>
      <c r="AI9" s="5" t="n">
        <f aca="false">IF(AH9="","",RANK(AH9,AH$2:AH$151,0))</f>
        <v>61</v>
      </c>
      <c r="AJ9" s="4" t="n">
        <v>17</v>
      </c>
      <c r="AK9" s="5" t="n">
        <f aca="false">IF(AJ9="","",RANK(AJ9,AJ$2:AJ$151,0))</f>
        <v>40</v>
      </c>
      <c r="AL9" s="6" t="n">
        <v>3</v>
      </c>
      <c r="AM9" s="5" t="n">
        <f aca="false">IF(AL9="","",RANK(AL9,AL$2:AL$151,0))</f>
        <v>27</v>
      </c>
      <c r="AN9" s="6" t="n">
        <v>0</v>
      </c>
      <c r="AO9" s="5" t="n">
        <f aca="false">IF(AN9="","",RANK(AN9,AN$2:AN$151,0))</f>
        <v>22</v>
      </c>
    </row>
    <row r="10" customFormat="false" ht="15" hidden="false" customHeight="false" outlineLevel="0" collapsed="false">
      <c r="A10" s="2" t="n">
        <v>9</v>
      </c>
      <c r="B10" s="2" t="s">
        <v>53</v>
      </c>
      <c r="C10" s="2" t="s">
        <v>28</v>
      </c>
      <c r="D10" s="2" t="s">
        <v>54</v>
      </c>
      <c r="E10" s="2" t="s">
        <v>30</v>
      </c>
      <c r="F10" s="2" t="s">
        <v>31</v>
      </c>
      <c r="G10" s="2" t="s">
        <v>55</v>
      </c>
      <c r="H10" s="3" t="n">
        <v>31299</v>
      </c>
      <c r="I10" s="2" t="n">
        <v>2003</v>
      </c>
      <c r="J10" s="2"/>
      <c r="K10" s="2" t="n">
        <v>2014</v>
      </c>
      <c r="L10" s="4" t="n">
        <f aca="false">ROUND((DATE(2026,9,1)-H10)/365.25,1)</f>
        <v>41</v>
      </c>
      <c r="M10" s="5" t="n">
        <f aca="false">IF(L10="","",RANK(L10,L$2:L$151,0))</f>
        <v>53</v>
      </c>
      <c r="N10" s="6" t="n">
        <v>172</v>
      </c>
      <c r="O10" s="5" t="n">
        <f aca="false">IF(N10="","",RANK(N10,N$2:N$151,0))</f>
        <v>124</v>
      </c>
      <c r="P10" s="6" t="n">
        <v>66</v>
      </c>
      <c r="Q10" s="5" t="n">
        <f aca="false">IF(P10="","",RANK(P10,P$2:P$151,0))</f>
        <v>117</v>
      </c>
      <c r="R10" s="6" t="n">
        <f aca="false">I10-YEAR(H10)</f>
        <v>18</v>
      </c>
      <c r="S10" s="5" t="n">
        <f aca="false">IF(R10="","",RANK(R10,R$2:R$151,0))</f>
        <v>56</v>
      </c>
      <c r="T10" s="6" t="n">
        <f aca="false">IF(J10="",2026,J10)-I10</f>
        <v>23</v>
      </c>
      <c r="U10" s="5" t="n">
        <f aca="false">IF(T10="","",RANK(T10,T$2:T$151,0))</f>
        <v>20</v>
      </c>
      <c r="V10" s="6" t="n">
        <v>0</v>
      </c>
      <c r="W10" s="5" t="n">
        <f aca="false">IF(V10="","",RANK(V10,V$2:V$151,0))</f>
        <v>82</v>
      </c>
      <c r="X10" s="6" t="n">
        <v>0</v>
      </c>
      <c r="Y10" s="5" t="n">
        <f aca="false">IF(X10="","",RANK(X10,X$2:X$151,0))</f>
        <v>65</v>
      </c>
      <c r="Z10" s="6" t="n">
        <v>0</v>
      </c>
      <c r="AA10" s="5" t="n">
        <f aca="false">IF(Z10="","",RANK(Z10,Z$2:Z$151,0))</f>
        <v>53</v>
      </c>
      <c r="AB10" s="6" t="n">
        <v>6</v>
      </c>
      <c r="AC10" s="5" t="n">
        <f aca="false">IF(AB10="","",RANK(AB10,AB$2:AB$151,0))</f>
        <v>35</v>
      </c>
      <c r="AD10" s="6" t="n">
        <f aca="false">IF(K10="","",K10-YEAR(H10))</f>
        <v>29</v>
      </c>
      <c r="AE10" s="5" t="n">
        <f aca="false">IF(AD10="","",RANK(AD10,AD$2:AD$151,0))</f>
        <v>13</v>
      </c>
      <c r="AF10" s="7" t="n">
        <v>200</v>
      </c>
      <c r="AG10" s="5" t="n">
        <f aca="false">IF(AF10="","",RANK(AF10,AF$2:AF$151,0))</f>
        <v>44</v>
      </c>
      <c r="AH10" s="7" t="n">
        <v>60</v>
      </c>
      <c r="AI10" s="5" t="n">
        <f aca="false">IF(AH10="","",RANK(AH10,AH$2:AH$151,0))</f>
        <v>85</v>
      </c>
      <c r="AJ10" s="4" t="n">
        <v>30</v>
      </c>
      <c r="AK10" s="5" t="n">
        <f aca="false">IF(AJ10="","",RANK(AJ10,AJ$2:AJ$151,0))</f>
        <v>30</v>
      </c>
      <c r="AL10" s="6" t="n">
        <v>3</v>
      </c>
      <c r="AM10" s="5" t="n">
        <f aca="false">IF(AL10="","",RANK(AL10,AL$2:AL$151,0))</f>
        <v>27</v>
      </c>
      <c r="AN10" s="6" t="n">
        <v>0</v>
      </c>
      <c r="AO10" s="5" t="n">
        <f aca="false">IF(AN10="","",RANK(AN10,AN$2:AN$151,0))</f>
        <v>22</v>
      </c>
    </row>
    <row r="11" customFormat="false" ht="15" hidden="false" customHeight="false" outlineLevel="0" collapsed="false">
      <c r="A11" s="2" t="n">
        <v>10</v>
      </c>
      <c r="B11" s="2" t="s">
        <v>56</v>
      </c>
      <c r="C11" s="2" t="s">
        <v>28</v>
      </c>
      <c r="D11" s="2" t="s">
        <v>57</v>
      </c>
      <c r="E11" s="2" t="s">
        <v>30</v>
      </c>
      <c r="F11" s="2" t="s">
        <v>31</v>
      </c>
      <c r="G11" s="2" t="s">
        <v>58</v>
      </c>
      <c r="H11" s="3" t="n">
        <v>32376</v>
      </c>
      <c r="I11" s="2" t="n">
        <v>2006</v>
      </c>
      <c r="J11" s="2"/>
      <c r="K11" s="2" t="n">
        <v>2020</v>
      </c>
      <c r="L11" s="4" t="n">
        <f aca="false">ROUND((DATE(2026,9,1)-H11)/365.25,1)</f>
        <v>38</v>
      </c>
      <c r="M11" s="5" t="n">
        <f aca="false">IF(L11="","",RANK(L11,L$2:L$151,0))</f>
        <v>77</v>
      </c>
      <c r="N11" s="6" t="n">
        <v>185</v>
      </c>
      <c r="O11" s="5" t="n">
        <f aca="false">IF(N11="","",RANK(N11,N$2:N$151,0))</f>
        <v>54</v>
      </c>
      <c r="P11" s="6" t="n">
        <v>81</v>
      </c>
      <c r="Q11" s="5" t="n">
        <f aca="false">IF(P11="","",RANK(P11,P$2:P$151,0))</f>
        <v>63</v>
      </c>
      <c r="R11" s="6" t="n">
        <f aca="false">I11-YEAR(H11)</f>
        <v>18</v>
      </c>
      <c r="S11" s="5" t="n">
        <f aca="false">IF(R11="","",RANK(R11,R$2:R$151,0))</f>
        <v>56</v>
      </c>
      <c r="T11" s="6" t="n">
        <f aca="false">IF(J11="",2026,J11)-I11</f>
        <v>20</v>
      </c>
      <c r="U11" s="5" t="n">
        <f aca="false">IF(T11="","",RANK(T11,T$2:T$151,0))</f>
        <v>42</v>
      </c>
      <c r="V11" s="6" t="n">
        <v>0</v>
      </c>
      <c r="W11" s="5" t="n">
        <f aca="false">IF(V11="","",RANK(V11,V$2:V$151,0))</f>
        <v>82</v>
      </c>
      <c r="X11" s="6" t="n">
        <v>0</v>
      </c>
      <c r="Y11" s="5" t="n">
        <f aca="false">IF(X11="","",RANK(X11,X$2:X$151,0))</f>
        <v>65</v>
      </c>
      <c r="Z11" s="6" t="n">
        <v>0</v>
      </c>
      <c r="AA11" s="5" t="n">
        <f aca="false">IF(Z11="","",RANK(Z11,Z$2:Z$151,0))</f>
        <v>53</v>
      </c>
      <c r="AB11" s="6" t="n">
        <v>1</v>
      </c>
      <c r="AC11" s="5" t="n">
        <f aca="false">IF(AB11="","",RANK(AB11,AB$2:AB$151,0))</f>
        <v>106</v>
      </c>
      <c r="AD11" s="6" t="n">
        <f aca="false">IF(K11="","",K11-YEAR(H11))</f>
        <v>32</v>
      </c>
      <c r="AE11" s="5" t="n">
        <f aca="false">IF(AD11="","",RANK(AD11,AD$2:AD$151,0))</f>
        <v>6</v>
      </c>
      <c r="AF11" s="7" t="n">
        <v>300</v>
      </c>
      <c r="AG11" s="5" t="n">
        <f aca="false">IF(AF11="","",RANK(AF11,AF$2:AF$151,0))</f>
        <v>25</v>
      </c>
      <c r="AH11" s="7" t="n">
        <v>110</v>
      </c>
      <c r="AI11" s="5" t="n">
        <f aca="false">IF(AH11="","",RANK(AH11,AH$2:AH$151,0))</f>
        <v>57</v>
      </c>
      <c r="AJ11" s="4" t="n">
        <v>38</v>
      </c>
      <c r="AK11" s="5" t="n">
        <f aca="false">IF(AJ11="","",RANK(AJ11,AJ$2:AJ$151,0))</f>
        <v>28</v>
      </c>
      <c r="AL11" s="6" t="n">
        <v>2</v>
      </c>
      <c r="AM11" s="5" t="n">
        <f aca="false">IF(AL11="","",RANK(AL11,AL$2:AL$151,0))</f>
        <v>49</v>
      </c>
      <c r="AN11" s="6" t="n">
        <v>0</v>
      </c>
      <c r="AO11" s="5" t="n">
        <f aca="false">IF(AN11="","",RANK(AN11,AN$2:AN$151,0))</f>
        <v>22</v>
      </c>
    </row>
    <row r="12" customFormat="false" ht="15" hidden="false" customHeight="false" outlineLevel="0" collapsed="false">
      <c r="A12" s="2" t="n">
        <v>11</v>
      </c>
      <c r="B12" s="2" t="s">
        <v>59</v>
      </c>
      <c r="C12" s="2" t="s">
        <v>28</v>
      </c>
      <c r="D12" s="2" t="s">
        <v>40</v>
      </c>
      <c r="E12" s="2" t="s">
        <v>30</v>
      </c>
      <c r="F12" s="2" t="s">
        <v>31</v>
      </c>
      <c r="G12" s="2" t="s">
        <v>41</v>
      </c>
      <c r="H12" s="3" t="n">
        <v>32130</v>
      </c>
      <c r="I12" s="2" t="n">
        <v>2004</v>
      </c>
      <c r="J12" s="2"/>
      <c r="K12" s="2" t="n">
        <v>2014</v>
      </c>
      <c r="L12" s="4" t="n">
        <f aca="false">ROUND((DATE(2026,9,1)-H12)/365.25,1)</f>
        <v>38.7</v>
      </c>
      <c r="M12" s="5" t="n">
        <f aca="false">IF(L12="","",RANK(L12,L$2:L$151,0))</f>
        <v>73</v>
      </c>
      <c r="N12" s="6" t="n">
        <v>185</v>
      </c>
      <c r="O12" s="5" t="n">
        <f aca="false">IF(N12="","",RANK(N12,N$2:N$151,0))</f>
        <v>54</v>
      </c>
      <c r="P12" s="6" t="n">
        <v>81</v>
      </c>
      <c r="Q12" s="5" t="n">
        <f aca="false">IF(P12="","",RANK(P12,P$2:P$151,0))</f>
        <v>63</v>
      </c>
      <c r="R12" s="6" t="n">
        <f aca="false">I12-YEAR(H12)</f>
        <v>17</v>
      </c>
      <c r="S12" s="5" t="n">
        <f aca="false">IF(R12="","",RANK(R12,R$2:R$151,0))</f>
        <v>82</v>
      </c>
      <c r="T12" s="6" t="n">
        <f aca="false">IF(J12="",2026,J12)-I12</f>
        <v>22</v>
      </c>
      <c r="U12" s="5" t="n">
        <f aca="false">IF(T12="","",RANK(T12,T$2:T$151,0))</f>
        <v>25</v>
      </c>
      <c r="V12" s="6" t="n">
        <v>0</v>
      </c>
      <c r="W12" s="5" t="n">
        <f aca="false">IF(V12="","",RANK(V12,V$2:V$151,0))</f>
        <v>82</v>
      </c>
      <c r="X12" s="6" t="n">
        <v>0</v>
      </c>
      <c r="Y12" s="5" t="n">
        <f aca="false">IF(X12="","",RANK(X12,X$2:X$151,0))</f>
        <v>65</v>
      </c>
      <c r="Z12" s="6" t="n">
        <v>0</v>
      </c>
      <c r="AA12" s="5" t="n">
        <f aca="false">IF(Z12="","",RANK(Z12,Z$2:Z$151,0))</f>
        <v>53</v>
      </c>
      <c r="AB12" s="6" t="n">
        <v>5</v>
      </c>
      <c r="AC12" s="5" t="n">
        <f aca="false">IF(AB12="","",RANK(AB12,AB$2:AB$151,0))</f>
        <v>39</v>
      </c>
      <c r="AD12" s="6" t="n">
        <f aca="false">IF(K12="","",K12-YEAR(H12))</f>
        <v>27</v>
      </c>
      <c r="AE12" s="5" t="n">
        <f aca="false">IF(AD12="","",RANK(AD12,AD$2:AD$151,0))</f>
        <v>27</v>
      </c>
      <c r="AF12" s="7" t="n">
        <v>450</v>
      </c>
      <c r="AG12" s="5" t="n">
        <f aca="false">IF(AF12="","",RANK(AF12,AF$2:AF$151,0))</f>
        <v>12</v>
      </c>
      <c r="AH12" s="7" t="n">
        <v>150</v>
      </c>
      <c r="AI12" s="5" t="n">
        <f aca="false">IF(AH12="","",RANK(AH12,AH$2:AH$151,0))</f>
        <v>44</v>
      </c>
      <c r="AJ12" s="4" t="n">
        <v>76</v>
      </c>
      <c r="AK12" s="5" t="n">
        <f aca="false">IF(AJ12="","",RANK(AJ12,AJ$2:AJ$151,0))</f>
        <v>8</v>
      </c>
      <c r="AL12" s="6" t="n">
        <v>3</v>
      </c>
      <c r="AM12" s="5" t="n">
        <f aca="false">IF(AL12="","",RANK(AL12,AL$2:AL$151,0))</f>
        <v>27</v>
      </c>
      <c r="AN12" s="6" t="n">
        <v>0</v>
      </c>
      <c r="AO12" s="5" t="n">
        <f aca="false">IF(AN12="","",RANK(AN12,AN$2:AN$151,0))</f>
        <v>22</v>
      </c>
    </row>
    <row r="13" customFormat="false" ht="15" hidden="false" customHeight="false" outlineLevel="0" collapsed="false">
      <c r="A13" s="2" t="n">
        <v>12</v>
      </c>
      <c r="B13" s="2" t="s">
        <v>60</v>
      </c>
      <c r="C13" s="2" t="s">
        <v>28</v>
      </c>
      <c r="D13" s="2" t="s">
        <v>37</v>
      </c>
      <c r="E13" s="2" t="s">
        <v>30</v>
      </c>
      <c r="F13" s="2" t="s">
        <v>31</v>
      </c>
      <c r="G13" s="2" t="s">
        <v>41</v>
      </c>
      <c r="H13" s="3" t="n">
        <v>36719</v>
      </c>
      <c r="I13" s="2" t="n">
        <v>2017</v>
      </c>
      <c r="J13" s="2"/>
      <c r="K13" s="2" t="n">
        <v>2022</v>
      </c>
      <c r="L13" s="4" t="n">
        <f aca="false">ROUND((DATE(2026,9,1)-H13)/365.25,1)</f>
        <v>26.1</v>
      </c>
      <c r="M13" s="5" t="n">
        <f aca="false">IF(L13="","",RANK(L13,L$2:L$151,0))</f>
        <v>135</v>
      </c>
      <c r="N13" s="6" t="n">
        <v>176</v>
      </c>
      <c r="O13" s="5" t="n">
        <f aca="false">IF(N13="","",RANK(N13,N$2:N$151,0))</f>
        <v>97</v>
      </c>
      <c r="P13" s="6" t="n">
        <v>73</v>
      </c>
      <c r="Q13" s="5" t="n">
        <f aca="false">IF(P13="","",RANK(P13,P$2:P$151,0))</f>
        <v>82</v>
      </c>
      <c r="R13" s="6" t="n">
        <f aca="false">I13-YEAR(H13)</f>
        <v>17</v>
      </c>
      <c r="S13" s="5" t="n">
        <f aca="false">IF(R13="","",RANK(R13,R$2:R$151,0))</f>
        <v>82</v>
      </c>
      <c r="T13" s="6" t="n">
        <f aca="false">IF(J13="",2026,J13)-I13</f>
        <v>9</v>
      </c>
      <c r="U13" s="5" t="n">
        <f aca="false">IF(T13="","",RANK(T13,T$2:T$151,0))</f>
        <v>129</v>
      </c>
      <c r="V13" s="6" t="n">
        <v>0</v>
      </c>
      <c r="W13" s="5" t="n">
        <f aca="false">IF(V13="","",RANK(V13,V$2:V$151,0))</f>
        <v>82</v>
      </c>
      <c r="X13" s="6" t="n">
        <v>0</v>
      </c>
      <c r="Y13" s="5" t="n">
        <f aca="false">IF(X13="","",RANK(X13,X$2:X$151,0))</f>
        <v>65</v>
      </c>
      <c r="Z13" s="6" t="n">
        <v>0</v>
      </c>
      <c r="AA13" s="5" t="n">
        <f aca="false">IF(Z13="","",RANK(Z13,Z$2:Z$151,0))</f>
        <v>53</v>
      </c>
      <c r="AB13" s="6" t="n">
        <v>2</v>
      </c>
      <c r="AC13" s="5" t="n">
        <f aca="false">IF(AB13="","",RANK(AB13,AB$2:AB$151,0))</f>
        <v>85</v>
      </c>
      <c r="AD13" s="6" t="n">
        <f aca="false">IF(K13="","",K13-YEAR(H13))</f>
        <v>22</v>
      </c>
      <c r="AE13" s="5" t="n">
        <f aca="false">IF(AD13="","",RANK(AD13,AD$2:AD$151,0))</f>
        <v>71</v>
      </c>
      <c r="AF13" s="7" t="n">
        <v>80</v>
      </c>
      <c r="AG13" s="5" t="n">
        <f aca="false">IF(AF13="","",RANK(AF13,AF$2:AF$151,0))</f>
        <v>83</v>
      </c>
      <c r="AH13" s="7" t="n">
        <v>50</v>
      </c>
      <c r="AI13" s="5" t="n">
        <f aca="false">IF(AH13="","",RANK(AH13,AH$2:AH$151,0))</f>
        <v>97</v>
      </c>
      <c r="AJ13" s="4" t="n">
        <v>55</v>
      </c>
      <c r="AK13" s="5" t="n">
        <f aca="false">IF(AJ13="","",RANK(AJ13,AJ$2:AJ$151,0))</f>
        <v>14</v>
      </c>
      <c r="AL13" s="6" t="n">
        <v>0</v>
      </c>
      <c r="AM13" s="5" t="n">
        <f aca="false">IF(AL13="","",RANK(AL13,AL$2:AL$151,0))</f>
        <v>95</v>
      </c>
      <c r="AN13" s="6" t="n">
        <v>0</v>
      </c>
      <c r="AO13" s="5" t="n">
        <f aca="false">IF(AN13="","",RANK(AN13,AN$2:AN$151,0))</f>
        <v>22</v>
      </c>
    </row>
    <row r="14" customFormat="false" ht="15" hidden="false" customHeight="false" outlineLevel="0" collapsed="false">
      <c r="A14" s="2" t="n">
        <v>13</v>
      </c>
      <c r="B14" s="2" t="s">
        <v>61</v>
      </c>
      <c r="C14" s="2" t="s">
        <v>28</v>
      </c>
      <c r="D14" s="2" t="s">
        <v>62</v>
      </c>
      <c r="E14" s="2" t="s">
        <v>30</v>
      </c>
      <c r="F14" s="2" t="s">
        <v>31</v>
      </c>
      <c r="G14" s="2" t="s">
        <v>41</v>
      </c>
      <c r="H14" s="3" t="n">
        <v>37801</v>
      </c>
      <c r="I14" s="2" t="n">
        <v>2019</v>
      </c>
      <c r="J14" s="2"/>
      <c r="K14" s="2" t="n">
        <v>2024</v>
      </c>
      <c r="L14" s="4" t="n">
        <f aca="false">ROUND((DATE(2026,9,1)-H14)/365.25,1)</f>
        <v>23.2</v>
      </c>
      <c r="M14" s="5" t="n">
        <f aca="false">IF(L14="","",RANK(L14,L$2:L$151,0))</f>
        <v>144</v>
      </c>
      <c r="N14" s="6" t="n">
        <v>186</v>
      </c>
      <c r="O14" s="5" t="n">
        <f aca="false">IF(N14="","",RANK(N14,N$2:N$151,0))</f>
        <v>51</v>
      </c>
      <c r="P14" s="6" t="n">
        <v>75</v>
      </c>
      <c r="Q14" s="5" t="n">
        <f aca="false">IF(P14="","",RANK(P14,P$2:P$151,0))</f>
        <v>77</v>
      </c>
      <c r="R14" s="6" t="n">
        <f aca="false">I14-YEAR(H14)</f>
        <v>16</v>
      </c>
      <c r="S14" s="5" t="n">
        <f aca="false">IF(R14="","",RANK(R14,R$2:R$151,0))</f>
        <v>109</v>
      </c>
      <c r="T14" s="6" t="n">
        <f aca="false">IF(J14="",2026,J14)-I14</f>
        <v>7</v>
      </c>
      <c r="U14" s="5" t="n">
        <f aca="false">IF(T14="","",RANK(T14,T$2:T$151,0))</f>
        <v>140</v>
      </c>
      <c r="V14" s="6" t="n">
        <v>0</v>
      </c>
      <c r="W14" s="5" t="n">
        <f aca="false">IF(V14="","",RANK(V14,V$2:V$151,0))</f>
        <v>82</v>
      </c>
      <c r="X14" s="6" t="n">
        <v>0</v>
      </c>
      <c r="Y14" s="5" t="n">
        <f aca="false">IF(X14="","",RANK(X14,X$2:X$151,0))</f>
        <v>65</v>
      </c>
      <c r="Z14" s="6" t="n">
        <v>0</v>
      </c>
      <c r="AA14" s="5" t="n">
        <f aca="false">IF(Z14="","",RANK(Z14,Z$2:Z$151,0))</f>
        <v>53</v>
      </c>
      <c r="AB14" s="6" t="n">
        <v>1</v>
      </c>
      <c r="AC14" s="5" t="n">
        <f aca="false">IF(AB14="","",RANK(AB14,AB$2:AB$151,0))</f>
        <v>106</v>
      </c>
      <c r="AD14" s="6" t="n">
        <f aca="false">IF(K14="","",K14-YEAR(H14))</f>
        <v>21</v>
      </c>
      <c r="AE14" s="5" t="n">
        <f aca="false">IF(AD14="","",RANK(AD14,AD$2:AD$151,0))</f>
        <v>91</v>
      </c>
      <c r="AF14" s="7" t="n">
        <v>50</v>
      </c>
      <c r="AG14" s="5" t="n">
        <f aca="false">IF(AF14="","",RANK(AF14,AF$2:AF$151,0))</f>
        <v>89</v>
      </c>
      <c r="AH14" s="7" t="n">
        <v>40</v>
      </c>
      <c r="AI14" s="5" t="n">
        <f aca="false">IF(AH14="","",RANK(AH14,AH$2:AH$151,0))</f>
        <v>100</v>
      </c>
      <c r="AJ14" s="4" t="n">
        <v>40</v>
      </c>
      <c r="AK14" s="5" t="n">
        <f aca="false">IF(AJ14="","",RANK(AJ14,AJ$2:AJ$151,0))</f>
        <v>23</v>
      </c>
      <c r="AL14" s="6" t="n">
        <v>0</v>
      </c>
      <c r="AM14" s="5" t="n">
        <f aca="false">IF(AL14="","",RANK(AL14,AL$2:AL$151,0))</f>
        <v>95</v>
      </c>
      <c r="AN14" s="6" t="n">
        <v>1</v>
      </c>
      <c r="AO14" s="5" t="n">
        <f aca="false">IF(AN14="","",RANK(AN14,AN$2:AN$151,0))</f>
        <v>11</v>
      </c>
    </row>
    <row r="15" customFormat="false" ht="15" hidden="false" customHeight="false" outlineLevel="0" collapsed="false">
      <c r="A15" s="2" t="n">
        <v>14</v>
      </c>
      <c r="B15" s="2" t="s">
        <v>63</v>
      </c>
      <c r="C15" s="2" t="s">
        <v>28</v>
      </c>
      <c r="D15" s="2" t="s">
        <v>62</v>
      </c>
      <c r="E15" s="2" t="s">
        <v>30</v>
      </c>
      <c r="F15" s="2" t="s">
        <v>31</v>
      </c>
      <c r="G15" s="2" t="s">
        <v>64</v>
      </c>
      <c r="H15" s="3" t="n">
        <v>34178</v>
      </c>
      <c r="I15" s="2" t="n">
        <v>2011</v>
      </c>
      <c r="J15" s="2"/>
      <c r="K15" s="2"/>
      <c r="L15" s="4" t="n">
        <f aca="false">ROUND((DATE(2026,9,1)-H15)/365.25,1)</f>
        <v>33.1</v>
      </c>
      <c r="M15" s="5" t="n">
        <f aca="false">IF(L15="","",RANK(L15,L$2:L$151,0))</f>
        <v>97</v>
      </c>
      <c r="N15" s="6" t="n">
        <v>188</v>
      </c>
      <c r="O15" s="5" t="n">
        <f aca="false">IF(N15="","",RANK(N15,N$2:N$151,0))</f>
        <v>40</v>
      </c>
      <c r="P15" s="6" t="n">
        <v>86</v>
      </c>
      <c r="Q15" s="5" t="n">
        <f aca="false">IF(P15="","",RANK(P15,P$2:P$151,0))</f>
        <v>48</v>
      </c>
      <c r="R15" s="6" t="n">
        <f aca="false">I15-YEAR(H15)</f>
        <v>18</v>
      </c>
      <c r="S15" s="5" t="n">
        <f aca="false">IF(R15="","",RANK(R15,R$2:R$151,0))</f>
        <v>56</v>
      </c>
      <c r="T15" s="6" t="n">
        <f aca="false">IF(J15="",2026,J15)-I15</f>
        <v>15</v>
      </c>
      <c r="U15" s="5" t="n">
        <f aca="false">IF(T15="","",RANK(T15,T$2:T$151,0))</f>
        <v>85</v>
      </c>
      <c r="V15" s="6" t="n">
        <v>0</v>
      </c>
      <c r="W15" s="5" t="n">
        <f aca="false">IF(V15="","",RANK(V15,V$2:V$151,0))</f>
        <v>82</v>
      </c>
      <c r="X15" s="6" t="n">
        <v>0</v>
      </c>
      <c r="Y15" s="5" t="n">
        <f aca="false">IF(X15="","",RANK(X15,X$2:X$151,0))</f>
        <v>65</v>
      </c>
      <c r="Z15" s="6" t="n">
        <v>0</v>
      </c>
      <c r="AA15" s="5" t="n">
        <f aca="false">IF(Z15="","",RANK(Z15,Z$2:Z$151,0))</f>
        <v>53</v>
      </c>
      <c r="AB15" s="6" t="n">
        <v>0</v>
      </c>
      <c r="AC15" s="5" t="n">
        <f aca="false">IF(AB15="","",RANK(AB15,AB$2:AB$151,0))</f>
        <v>135</v>
      </c>
      <c r="AD15" s="6" t="str">
        <f aca="false">IF(K15="","",K15-YEAR(H15))</f>
        <v/>
      </c>
      <c r="AE15" s="5" t="str">
        <f aca="false">IF(AD15="","",RANK(AD15,AD$2:AD$151,0))</f>
        <v/>
      </c>
      <c r="AF15" s="7" t="n">
        <v>250</v>
      </c>
      <c r="AG15" s="5" t="n">
        <f aca="false">IF(AF15="","",RANK(AF15,AF$2:AF$151,0))</f>
        <v>34</v>
      </c>
      <c r="AH15" s="7" t="n">
        <v>110</v>
      </c>
      <c r="AI15" s="5" t="n">
        <f aca="false">IF(AH15="","",RANK(AH15,AH$2:AH$151,0))</f>
        <v>57</v>
      </c>
      <c r="AJ15" s="4" t="n">
        <v>18</v>
      </c>
      <c r="AK15" s="5" t="n">
        <f aca="false">IF(AJ15="","",RANK(AJ15,AJ$2:AJ$151,0))</f>
        <v>38</v>
      </c>
      <c r="AL15" s="6" t="n">
        <v>4</v>
      </c>
      <c r="AM15" s="5" t="n">
        <f aca="false">IF(AL15="","",RANK(AL15,AL$2:AL$151,0))</f>
        <v>12</v>
      </c>
      <c r="AN15" s="6" t="n">
        <v>0</v>
      </c>
      <c r="AO15" s="5" t="n">
        <f aca="false">IF(AN15="","",RANK(AN15,AN$2:AN$151,0))</f>
        <v>22</v>
      </c>
    </row>
    <row r="16" customFormat="false" ht="15" hidden="false" customHeight="false" outlineLevel="0" collapsed="false">
      <c r="A16" s="2" t="n">
        <v>15</v>
      </c>
      <c r="B16" s="2" t="s">
        <v>65</v>
      </c>
      <c r="C16" s="2" t="s">
        <v>28</v>
      </c>
      <c r="D16" s="2" t="s">
        <v>66</v>
      </c>
      <c r="E16" s="2" t="s">
        <v>30</v>
      </c>
      <c r="F16" s="2" t="s">
        <v>67</v>
      </c>
      <c r="G16" s="2" t="s">
        <v>68</v>
      </c>
      <c r="H16" s="3" t="n">
        <v>29862</v>
      </c>
      <c r="I16" s="2" t="n">
        <v>1999</v>
      </c>
      <c r="J16" s="2" t="n">
        <v>2023</v>
      </c>
      <c r="K16" s="2"/>
      <c r="L16" s="4" t="n">
        <f aca="false">ROUND((DATE(2026,9,1)-H16)/365.25,1)</f>
        <v>44.9</v>
      </c>
      <c r="M16" s="5" t="n">
        <f aca="false">IF(L16="","",RANK(L16,L$2:L$151,0))</f>
        <v>37</v>
      </c>
      <c r="N16" s="6" t="n">
        <v>195</v>
      </c>
      <c r="O16" s="5" t="n">
        <f aca="false">IF(N16="","",RANK(N16,N$2:N$151,0))</f>
        <v>19</v>
      </c>
      <c r="P16" s="6" t="n">
        <v>95</v>
      </c>
      <c r="Q16" s="5" t="n">
        <f aca="false">IF(P16="","",RANK(P16,P$2:P$151,0))</f>
        <v>29</v>
      </c>
      <c r="R16" s="6" t="n">
        <f aca="false">I16-YEAR(H16)</f>
        <v>18</v>
      </c>
      <c r="S16" s="5" t="n">
        <f aca="false">IF(R16="","",RANK(R16,R$2:R$151,0))</f>
        <v>56</v>
      </c>
      <c r="T16" s="6" t="n">
        <f aca="false">IF(J16="",2026,J16)-I16</f>
        <v>24</v>
      </c>
      <c r="U16" s="5" t="n">
        <f aca="false">IF(T16="","",RANK(T16,T$2:T$151,0))</f>
        <v>16</v>
      </c>
      <c r="V16" s="6" t="n">
        <v>0</v>
      </c>
      <c r="W16" s="5" t="n">
        <f aca="false">IF(V16="","",RANK(V16,V$2:V$151,0))</f>
        <v>82</v>
      </c>
      <c r="X16" s="6" t="n">
        <v>0</v>
      </c>
      <c r="Y16" s="5" t="n">
        <f aca="false">IF(X16="","",RANK(X16,X$2:X$151,0))</f>
        <v>65</v>
      </c>
      <c r="Z16" s="6" t="n">
        <v>0</v>
      </c>
      <c r="AA16" s="5" t="n">
        <f aca="false">IF(Z16="","",RANK(Z16,Z$2:Z$151,0))</f>
        <v>53</v>
      </c>
      <c r="AB16" s="6" t="n">
        <v>0</v>
      </c>
      <c r="AC16" s="5" t="n">
        <f aca="false">IF(AB16="","",RANK(AB16,AB$2:AB$151,0))</f>
        <v>135</v>
      </c>
      <c r="AD16" s="6" t="str">
        <f aca="false">IF(K16="","",K16-YEAR(H16))</f>
        <v/>
      </c>
      <c r="AE16" s="5" t="str">
        <f aca="false">IF(AD16="","",RANK(AD16,AD$2:AD$151,0))</f>
        <v/>
      </c>
      <c r="AF16" s="7" t="n">
        <v>350</v>
      </c>
      <c r="AG16" s="5" t="n">
        <f aca="false">IF(AF16="","",RANK(AF16,AF$2:AF$151,0))</f>
        <v>18</v>
      </c>
      <c r="AH16" s="7" t="n">
        <v>190</v>
      </c>
      <c r="AI16" s="5" t="n">
        <f aca="false">IF(AH16="","",RANK(AH16,AH$2:AH$151,0))</f>
        <v>39</v>
      </c>
      <c r="AJ16" s="4" t="n">
        <v>60</v>
      </c>
      <c r="AK16" s="5" t="n">
        <f aca="false">IF(AJ16="","",RANK(AJ16,AJ$2:AJ$151,0))</f>
        <v>12</v>
      </c>
      <c r="AL16" s="6" t="n">
        <v>2</v>
      </c>
      <c r="AM16" s="5" t="n">
        <f aca="false">IF(AL16="","",RANK(AL16,AL$2:AL$151,0))</f>
        <v>49</v>
      </c>
      <c r="AN16" s="6" t="n">
        <v>0</v>
      </c>
      <c r="AO16" s="5" t="n">
        <f aca="false">IF(AN16="","",RANK(AN16,AN$2:AN$151,0))</f>
        <v>22</v>
      </c>
    </row>
    <row r="17" customFormat="false" ht="15" hidden="false" customHeight="false" outlineLevel="0" collapsed="false">
      <c r="A17" s="2" t="n">
        <v>16</v>
      </c>
      <c r="B17" s="2" t="s">
        <v>69</v>
      </c>
      <c r="C17" s="2" t="s">
        <v>28</v>
      </c>
      <c r="D17" s="2" t="s">
        <v>62</v>
      </c>
      <c r="E17" s="2" t="s">
        <v>30</v>
      </c>
      <c r="F17" s="2" t="s">
        <v>67</v>
      </c>
      <c r="G17" s="2" t="s">
        <v>70</v>
      </c>
      <c r="H17" s="3" t="n">
        <v>27516</v>
      </c>
      <c r="I17" s="2" t="n">
        <v>1992</v>
      </c>
      <c r="J17" s="2" t="n">
        <v>2013</v>
      </c>
      <c r="K17" s="2" t="n">
        <v>1999</v>
      </c>
      <c r="L17" s="4" t="n">
        <f aca="false">ROUND((DATE(2026,9,1)-H17)/365.25,1)</f>
        <v>51.3</v>
      </c>
      <c r="M17" s="5" t="n">
        <f aca="false">IF(L17="","",RANK(L17,L$2:L$151,0))</f>
        <v>18</v>
      </c>
      <c r="N17" s="6" t="n">
        <v>183</v>
      </c>
      <c r="O17" s="5" t="n">
        <f aca="false">IF(N17="","",RANK(N17,N$2:N$151,0))</f>
        <v>66</v>
      </c>
      <c r="P17" s="6" t="n">
        <v>75</v>
      </c>
      <c r="Q17" s="5" t="n">
        <f aca="false">IF(P17="","",RANK(P17,P$2:P$151,0))</f>
        <v>77</v>
      </c>
      <c r="R17" s="6" t="n">
        <f aca="false">I17-YEAR(H17)</f>
        <v>17</v>
      </c>
      <c r="S17" s="5" t="n">
        <f aca="false">IF(R17="","",RANK(R17,R$2:R$151,0))</f>
        <v>82</v>
      </c>
      <c r="T17" s="6" t="n">
        <f aca="false">IF(J17="",2026,J17)-I17</f>
        <v>21</v>
      </c>
      <c r="U17" s="5" t="n">
        <f aca="false">IF(T17="","",RANK(T17,T$2:T$151,0))</f>
        <v>33</v>
      </c>
      <c r="V17" s="6" t="n">
        <v>0</v>
      </c>
      <c r="W17" s="5" t="n">
        <f aca="false">IF(V17="","",RANK(V17,V$2:V$151,0))</f>
        <v>82</v>
      </c>
      <c r="X17" s="6" t="n">
        <v>0</v>
      </c>
      <c r="Y17" s="5" t="n">
        <f aca="false">IF(X17="","",RANK(X17,X$2:X$151,0))</f>
        <v>65</v>
      </c>
      <c r="Z17" s="6" t="n">
        <v>0</v>
      </c>
      <c r="AA17" s="5" t="n">
        <f aca="false">IF(Z17="","",RANK(Z17,Z$2:Z$151,0))</f>
        <v>53</v>
      </c>
      <c r="AB17" s="6" t="n">
        <v>1</v>
      </c>
      <c r="AC17" s="5" t="n">
        <f aca="false">IF(AB17="","",RANK(AB17,AB$2:AB$151,0))</f>
        <v>106</v>
      </c>
      <c r="AD17" s="6" t="n">
        <f aca="false">IF(K17="","",K17-YEAR(H17))</f>
        <v>24</v>
      </c>
      <c r="AE17" s="5" t="n">
        <f aca="false">IF(AD17="","",RANK(AD17,AD$2:AD$151,0))</f>
        <v>56</v>
      </c>
      <c r="AF17" s="7" t="n">
        <v>200</v>
      </c>
      <c r="AG17" s="5" t="n">
        <f aca="false">IF(AF17="","",RANK(AF17,AF$2:AF$151,0))</f>
        <v>44</v>
      </c>
      <c r="AH17" s="7" t="n">
        <v>500</v>
      </c>
      <c r="AI17" s="5" t="n">
        <f aca="false">IF(AH17="","",RANK(AH17,AH$2:AH$151,0))</f>
        <v>9</v>
      </c>
      <c r="AJ17" s="4" t="n">
        <v>88</v>
      </c>
      <c r="AK17" s="5" t="n">
        <f aca="false">IF(AJ17="","",RANK(AJ17,AJ$2:AJ$151,0))</f>
        <v>7</v>
      </c>
      <c r="AL17" s="6" t="n">
        <v>4</v>
      </c>
      <c r="AM17" s="5" t="n">
        <f aca="false">IF(AL17="","",RANK(AL17,AL$2:AL$151,0))</f>
        <v>12</v>
      </c>
      <c r="AN17" s="6" t="n">
        <v>0</v>
      </c>
      <c r="AO17" s="5" t="n">
        <f aca="false">IF(AN17="","",RANK(AN17,AN$2:AN$151,0))</f>
        <v>22</v>
      </c>
    </row>
    <row r="18" customFormat="false" ht="15" hidden="false" customHeight="false" outlineLevel="0" collapsed="false">
      <c r="A18" s="2" t="n">
        <v>17</v>
      </c>
      <c r="B18" s="2" t="s">
        <v>71</v>
      </c>
      <c r="C18" s="2" t="s">
        <v>28</v>
      </c>
      <c r="D18" s="2" t="s">
        <v>37</v>
      </c>
      <c r="E18" s="2" t="s">
        <v>30</v>
      </c>
      <c r="F18" s="2" t="s">
        <v>67</v>
      </c>
      <c r="G18" s="2" t="s">
        <v>41</v>
      </c>
      <c r="H18" s="3" t="n">
        <v>29301</v>
      </c>
      <c r="I18" s="2" t="n">
        <v>1998</v>
      </c>
      <c r="J18" s="2" t="n">
        <v>2015</v>
      </c>
      <c r="K18" s="2" t="n">
        <v>2002</v>
      </c>
      <c r="L18" s="4" t="n">
        <f aca="false">ROUND((DATE(2026,9,1)-H18)/365.25,1)</f>
        <v>46.4</v>
      </c>
      <c r="M18" s="5" t="n">
        <f aca="false">IF(L18="","",RANK(L18,L$2:L$151,0))</f>
        <v>31</v>
      </c>
      <c r="N18" s="6" t="n">
        <v>181</v>
      </c>
      <c r="O18" s="5" t="n">
        <f aca="false">IF(N18="","",RANK(N18,N$2:N$151,0))</f>
        <v>79</v>
      </c>
      <c r="P18" s="6" t="n">
        <v>80</v>
      </c>
      <c r="Q18" s="5" t="n">
        <f aca="false">IF(P18="","",RANK(P18,P$2:P$151,0))</f>
        <v>65</v>
      </c>
      <c r="R18" s="6" t="n">
        <f aca="false">I18-YEAR(H18)</f>
        <v>18</v>
      </c>
      <c r="S18" s="5" t="n">
        <f aca="false">IF(R18="","",RANK(R18,R$2:R$151,0))</f>
        <v>56</v>
      </c>
      <c r="T18" s="6" t="n">
        <f aca="false">IF(J18="",2026,J18)-I18</f>
        <v>17</v>
      </c>
      <c r="U18" s="5" t="n">
        <f aca="false">IF(T18="","",RANK(T18,T$2:T$151,0))</f>
        <v>69</v>
      </c>
      <c r="V18" s="6" t="n">
        <v>1</v>
      </c>
      <c r="W18" s="5" t="n">
        <f aca="false">IF(V18="","",RANK(V18,V$2:V$151,0))</f>
        <v>54</v>
      </c>
      <c r="X18" s="6" t="n">
        <v>1</v>
      </c>
      <c r="Y18" s="5" t="n">
        <f aca="false">IF(X18="","",RANK(X18,X$2:X$151,0))</f>
        <v>45</v>
      </c>
      <c r="Z18" s="6" t="n">
        <v>0</v>
      </c>
      <c r="AA18" s="5" t="n">
        <f aca="false">IF(Z18="","",RANK(Z18,Z$2:Z$151,0))</f>
        <v>53</v>
      </c>
      <c r="AB18" s="6" t="n">
        <v>3</v>
      </c>
      <c r="AC18" s="5" t="n">
        <f aca="false">IF(AB18="","",RANK(AB18,AB$2:AB$151,0))</f>
        <v>69</v>
      </c>
      <c r="AD18" s="6" t="n">
        <f aca="false">IF(K18="","",K18-YEAR(H18))</f>
        <v>22</v>
      </c>
      <c r="AE18" s="5" t="n">
        <f aca="false">IF(AD18="","",RANK(AD18,AD$2:AD$151,0))</f>
        <v>71</v>
      </c>
      <c r="AF18" s="7" t="n">
        <v>150</v>
      </c>
      <c r="AG18" s="5" t="n">
        <f aca="false">IF(AF18="","",RANK(AF18,AF$2:AF$151,0))</f>
        <v>56</v>
      </c>
      <c r="AH18" s="7" t="n">
        <v>90</v>
      </c>
      <c r="AI18" s="5" t="n">
        <f aca="false">IF(AH18="","",RANK(AH18,AH$2:AH$151,0))</f>
        <v>75</v>
      </c>
      <c r="AJ18" s="4" t="n">
        <v>75</v>
      </c>
      <c r="AK18" s="5" t="n">
        <f aca="false">IF(AJ18="","",RANK(AJ18,AJ$2:AJ$151,0))</f>
        <v>9</v>
      </c>
      <c r="AL18" s="6" t="n">
        <v>1</v>
      </c>
      <c r="AM18" s="5" t="n">
        <f aca="false">IF(AL18="","",RANK(AL18,AL$2:AL$151,0))</f>
        <v>77</v>
      </c>
      <c r="AN18" s="6" t="n">
        <v>0</v>
      </c>
      <c r="AO18" s="5" t="n">
        <f aca="false">IF(AN18="","",RANK(AN18,AN$2:AN$151,0))</f>
        <v>22</v>
      </c>
    </row>
    <row r="19" customFormat="false" ht="15" hidden="false" customHeight="false" outlineLevel="0" collapsed="false">
      <c r="A19" s="2" t="n">
        <v>18</v>
      </c>
      <c r="B19" s="2" t="s">
        <v>72</v>
      </c>
      <c r="C19" s="2" t="s">
        <v>28</v>
      </c>
      <c r="D19" s="2" t="s">
        <v>37</v>
      </c>
      <c r="E19" s="2" t="s">
        <v>30</v>
      </c>
      <c r="F19" s="2" t="s">
        <v>67</v>
      </c>
      <c r="G19" s="2" t="s">
        <v>73</v>
      </c>
      <c r="H19" s="3" t="n">
        <v>28021</v>
      </c>
      <c r="I19" s="2" t="n">
        <v>1993</v>
      </c>
      <c r="J19" s="2" t="n">
        <v>2011</v>
      </c>
      <c r="K19" s="2" t="n">
        <v>1994</v>
      </c>
      <c r="L19" s="4" t="n">
        <f aca="false">ROUND((DATE(2026,9,1)-H19)/365.25,1)</f>
        <v>50</v>
      </c>
      <c r="M19" s="5" t="n">
        <f aca="false">IF(L19="","",RANK(L19,L$2:L$151,0))</f>
        <v>22</v>
      </c>
      <c r="N19" s="6" t="n">
        <v>183</v>
      </c>
      <c r="O19" s="5" t="n">
        <f aca="false">IF(N19="","",RANK(N19,N$2:N$151,0))</f>
        <v>66</v>
      </c>
      <c r="P19" s="6" t="n">
        <v>82</v>
      </c>
      <c r="Q19" s="5" t="n">
        <f aca="false">IF(P19="","",RANK(P19,P$2:P$151,0))</f>
        <v>60</v>
      </c>
      <c r="R19" s="6" t="n">
        <f aca="false">I19-YEAR(H19)</f>
        <v>17</v>
      </c>
      <c r="S19" s="5" t="n">
        <f aca="false">IF(R19="","",RANK(R19,R$2:R$151,0))</f>
        <v>82</v>
      </c>
      <c r="T19" s="6" t="n">
        <f aca="false">IF(J19="",2026,J19)-I19</f>
        <v>18</v>
      </c>
      <c r="U19" s="5" t="n">
        <f aca="false">IF(T19="","",RANK(T19,T$2:T$151,0))</f>
        <v>61</v>
      </c>
      <c r="V19" s="6" t="n">
        <v>1</v>
      </c>
      <c r="W19" s="5" t="n">
        <f aca="false">IF(V19="","",RANK(V19,V$2:V$151,0))</f>
        <v>54</v>
      </c>
      <c r="X19" s="6" t="n">
        <v>1</v>
      </c>
      <c r="Y19" s="5" t="n">
        <f aca="false">IF(X19="","",RANK(X19,X$2:X$151,0))</f>
        <v>45</v>
      </c>
      <c r="Z19" s="6" t="n">
        <v>0</v>
      </c>
      <c r="AA19" s="5" t="n">
        <f aca="false">IF(Z19="","",RANK(Z19,Z$2:Z$151,0))</f>
        <v>53</v>
      </c>
      <c r="AB19" s="6" t="n">
        <v>2</v>
      </c>
      <c r="AC19" s="5" t="n">
        <f aca="false">IF(AB19="","",RANK(AB19,AB$2:AB$151,0))</f>
        <v>85</v>
      </c>
      <c r="AD19" s="6" t="n">
        <f aca="false">IF(K19="","",K19-YEAR(H19))</f>
        <v>18</v>
      </c>
      <c r="AE19" s="5" t="n">
        <f aca="false">IF(AD19="","",RANK(AD19,AD$2:AD$151,0))</f>
        <v>119</v>
      </c>
      <c r="AF19" s="7" t="n">
        <v>200</v>
      </c>
      <c r="AG19" s="5" t="n">
        <f aca="false">IF(AF19="","",RANK(AF19,AF$2:AF$151,0))</f>
        <v>44</v>
      </c>
      <c r="AH19" s="7" t="n">
        <v>160</v>
      </c>
      <c r="AI19" s="5" t="n">
        <f aca="false">IF(AH19="","",RANK(AH19,AH$2:AH$151,0))</f>
        <v>43</v>
      </c>
      <c r="AJ19" s="4" t="n">
        <v>25</v>
      </c>
      <c r="AK19" s="5" t="n">
        <f aca="false">IF(AJ19="","",RANK(AJ19,AJ$2:AJ$151,0))</f>
        <v>34</v>
      </c>
      <c r="AL19" s="6" t="n">
        <v>4</v>
      </c>
      <c r="AM19" s="5" t="n">
        <f aca="false">IF(AL19="","",RANK(AL19,AL$2:AL$151,0))</f>
        <v>12</v>
      </c>
      <c r="AN19" s="6" t="n">
        <v>0</v>
      </c>
      <c r="AO19" s="5" t="n">
        <f aca="false">IF(AN19="","",RANK(AN19,AN$2:AN$151,0))</f>
        <v>22</v>
      </c>
    </row>
    <row r="20" customFormat="false" ht="15" hidden="false" customHeight="false" outlineLevel="0" collapsed="false">
      <c r="A20" s="2" t="n">
        <v>19</v>
      </c>
      <c r="B20" s="2" t="s">
        <v>74</v>
      </c>
      <c r="C20" s="2" t="s">
        <v>28</v>
      </c>
      <c r="D20" s="2" t="s">
        <v>37</v>
      </c>
      <c r="E20" s="2" t="s">
        <v>30</v>
      </c>
      <c r="F20" s="2" t="s">
        <v>67</v>
      </c>
      <c r="G20" s="2" t="s">
        <v>75</v>
      </c>
      <c r="H20" s="3" t="n">
        <v>30063</v>
      </c>
      <c r="I20" s="2" t="n">
        <v>2001</v>
      </c>
      <c r="J20" s="2" t="n">
        <v>2017</v>
      </c>
      <c r="K20" s="2" t="n">
        <v>2002</v>
      </c>
      <c r="L20" s="4" t="n">
        <f aca="false">ROUND((DATE(2026,9,1)-H20)/365.25,1)</f>
        <v>44.4</v>
      </c>
      <c r="M20" s="5" t="n">
        <f aca="false">IF(L20="","",RANK(L20,L$2:L$151,0))</f>
        <v>39</v>
      </c>
      <c r="N20" s="6" t="n">
        <v>186</v>
      </c>
      <c r="O20" s="5" t="n">
        <f aca="false">IF(N20="","",RANK(N20,N$2:N$151,0))</f>
        <v>51</v>
      </c>
      <c r="P20" s="6" t="n">
        <v>82</v>
      </c>
      <c r="Q20" s="5" t="n">
        <f aca="false">IF(P20="","",RANK(P20,P$2:P$151,0))</f>
        <v>60</v>
      </c>
      <c r="R20" s="6" t="n">
        <f aca="false">I20-YEAR(H20)</f>
        <v>19</v>
      </c>
      <c r="S20" s="5" t="n">
        <f aca="false">IF(R20="","",RANK(R20,R$2:R$151,0))</f>
        <v>43</v>
      </c>
      <c r="T20" s="6" t="n">
        <f aca="false">IF(J20="",2026,J20)-I20</f>
        <v>16</v>
      </c>
      <c r="U20" s="5" t="n">
        <f aca="false">IF(T20="","",RANK(T20,T$2:T$151,0))</f>
        <v>80</v>
      </c>
      <c r="V20" s="6" t="n">
        <v>0</v>
      </c>
      <c r="W20" s="5" t="n">
        <f aca="false">IF(V20="","",RANK(V20,V$2:V$151,0))</f>
        <v>82</v>
      </c>
      <c r="X20" s="6" t="n">
        <v>0</v>
      </c>
      <c r="Y20" s="5" t="n">
        <f aca="false">IF(X20="","",RANK(X20,X$2:X$151,0))</f>
        <v>65</v>
      </c>
      <c r="Z20" s="6" t="n">
        <v>0</v>
      </c>
      <c r="AA20" s="5" t="n">
        <f aca="false">IF(Z20="","",RANK(Z20,Z$2:Z$151,0))</f>
        <v>53</v>
      </c>
      <c r="AB20" s="6" t="n">
        <v>2</v>
      </c>
      <c r="AC20" s="5" t="n">
        <f aca="false">IF(AB20="","",RANK(AB20,AB$2:AB$151,0))</f>
        <v>85</v>
      </c>
      <c r="AD20" s="6" t="n">
        <f aca="false">IF(K20="","",K20-YEAR(H20))</f>
        <v>20</v>
      </c>
      <c r="AE20" s="5" t="n">
        <f aca="false">IF(AD20="","",RANK(AD20,AD$2:AD$151,0))</f>
        <v>99</v>
      </c>
      <c r="AF20" s="7" t="n">
        <v>150</v>
      </c>
      <c r="AG20" s="5" t="n">
        <f aca="false">IF(AF20="","",RANK(AF20,AF$2:AF$151,0))</f>
        <v>56</v>
      </c>
      <c r="AH20" s="7" t="n">
        <v>105</v>
      </c>
      <c r="AI20" s="5" t="n">
        <f aca="false">IF(AH20="","",RANK(AH20,AH$2:AH$151,0))</f>
        <v>60</v>
      </c>
      <c r="AJ20" s="4" t="n">
        <v>30</v>
      </c>
      <c r="AK20" s="5" t="n">
        <f aca="false">IF(AJ20="","",RANK(AJ20,AJ$2:AJ$151,0))</f>
        <v>30</v>
      </c>
      <c r="AL20" s="6" t="n">
        <v>3</v>
      </c>
      <c r="AM20" s="5" t="n">
        <f aca="false">IF(AL20="","",RANK(AL20,AL$2:AL$151,0))</f>
        <v>27</v>
      </c>
      <c r="AN20" s="6" t="n">
        <v>0</v>
      </c>
      <c r="AO20" s="5" t="n">
        <f aca="false">IF(AN20="","",RANK(AN20,AN$2:AN$151,0))</f>
        <v>22</v>
      </c>
    </row>
    <row r="21" customFormat="false" ht="15" hidden="false" customHeight="false" outlineLevel="0" collapsed="false">
      <c r="A21" s="2" t="n">
        <v>20</v>
      </c>
      <c r="B21" s="2" t="s">
        <v>76</v>
      </c>
      <c r="C21" s="2" t="s">
        <v>28</v>
      </c>
      <c r="D21" s="2" t="s">
        <v>46</v>
      </c>
      <c r="E21" s="2" t="s">
        <v>30</v>
      </c>
      <c r="F21" s="2" t="s">
        <v>67</v>
      </c>
      <c r="G21" s="2" t="s">
        <v>77</v>
      </c>
      <c r="H21" s="3" t="n">
        <v>30813</v>
      </c>
      <c r="I21" s="2" t="n">
        <v>2002</v>
      </c>
      <c r="J21" s="2" t="n">
        <v>2024</v>
      </c>
      <c r="K21" s="2" t="n">
        <v>2006</v>
      </c>
      <c r="L21" s="4" t="n">
        <f aca="false">ROUND((DATE(2026,9,1)-H21)/365.25,1)</f>
        <v>42.3</v>
      </c>
      <c r="M21" s="5" t="n">
        <f aca="false">IF(L21="","",RANK(L21,L$2:L$151,0))</f>
        <v>45</v>
      </c>
      <c r="N21" s="6" t="n">
        <v>171</v>
      </c>
      <c r="O21" s="5" t="n">
        <f aca="false">IF(N21="","",RANK(N21,N$2:N$151,0))</f>
        <v>125</v>
      </c>
      <c r="P21" s="6" t="n">
        <v>68</v>
      </c>
      <c r="Q21" s="5" t="n">
        <f aca="false">IF(P21="","",RANK(P21,P$2:P$151,0))</f>
        <v>109</v>
      </c>
      <c r="R21" s="6" t="n">
        <f aca="false">I21-YEAR(H21)</f>
        <v>18</v>
      </c>
      <c r="S21" s="5" t="n">
        <f aca="false">IF(R21="","",RANK(R21,R$2:R$151,0))</f>
        <v>56</v>
      </c>
      <c r="T21" s="6" t="n">
        <f aca="false">IF(J21="",2026,J21)-I21</f>
        <v>22</v>
      </c>
      <c r="U21" s="5" t="n">
        <f aca="false">IF(T21="","",RANK(T21,T$2:T$151,0))</f>
        <v>25</v>
      </c>
      <c r="V21" s="6" t="n">
        <v>0</v>
      </c>
      <c r="W21" s="5" t="n">
        <f aca="false">IF(V21="","",RANK(V21,V$2:V$151,0))</f>
        <v>82</v>
      </c>
      <c r="X21" s="6" t="n">
        <v>0</v>
      </c>
      <c r="Y21" s="5" t="n">
        <f aca="false">IF(X21="","",RANK(X21,X$2:X$151,0))</f>
        <v>65</v>
      </c>
      <c r="Z21" s="6" t="n">
        <v>0</v>
      </c>
      <c r="AA21" s="5" t="n">
        <f aca="false">IF(Z21="","",RANK(Z21,Z$2:Z$151,0))</f>
        <v>53</v>
      </c>
      <c r="AB21" s="6" t="n">
        <v>5</v>
      </c>
      <c r="AC21" s="5" t="n">
        <f aca="false">IF(AB21="","",RANK(AB21,AB$2:AB$151,0))</f>
        <v>39</v>
      </c>
      <c r="AD21" s="6" t="n">
        <f aca="false">IF(K21="","",K21-YEAR(H21))</f>
        <v>22</v>
      </c>
      <c r="AE21" s="5" t="n">
        <f aca="false">IF(AD21="","",RANK(AD21,AD$2:AD$151,0))</f>
        <v>71</v>
      </c>
      <c r="AF21" s="7" t="n">
        <v>200</v>
      </c>
      <c r="AG21" s="5" t="n">
        <f aca="false">IF(AF21="","",RANK(AF21,AF$2:AF$151,0))</f>
        <v>44</v>
      </c>
      <c r="AH21" s="7" t="n">
        <v>120</v>
      </c>
      <c r="AI21" s="5" t="n">
        <f aca="false">IF(AH21="","",RANK(AH21,AH$2:AH$151,0))</f>
        <v>54</v>
      </c>
      <c r="AJ21" s="4" t="n">
        <v>40</v>
      </c>
      <c r="AK21" s="5" t="n">
        <f aca="false">IF(AJ21="","",RANK(AJ21,AJ$2:AJ$151,0))</f>
        <v>23</v>
      </c>
      <c r="AL21" s="6" t="n">
        <v>5</v>
      </c>
      <c r="AM21" s="5" t="n">
        <f aca="false">IF(AL21="","",RANK(AL21,AL$2:AL$151,0))</f>
        <v>4</v>
      </c>
      <c r="AN21" s="6" t="n">
        <v>0</v>
      </c>
      <c r="AO21" s="5" t="n">
        <f aca="false">IF(AN21="","",RANK(AN21,AN$2:AN$151,0))</f>
        <v>22</v>
      </c>
    </row>
    <row r="22" customFormat="false" ht="15" hidden="false" customHeight="false" outlineLevel="0" collapsed="false">
      <c r="A22" s="2" t="n">
        <v>21</v>
      </c>
      <c r="B22" s="2" t="s">
        <v>78</v>
      </c>
      <c r="C22" s="2" t="s">
        <v>28</v>
      </c>
      <c r="D22" s="2" t="s">
        <v>46</v>
      </c>
      <c r="E22" s="2" t="s">
        <v>30</v>
      </c>
      <c r="F22" s="2" t="s">
        <v>31</v>
      </c>
      <c r="G22" s="2" t="s">
        <v>79</v>
      </c>
      <c r="H22" s="3" t="n">
        <v>31501</v>
      </c>
      <c r="I22" s="2" t="n">
        <v>2004</v>
      </c>
      <c r="J22" s="2"/>
      <c r="K22" s="2" t="n">
        <v>2010</v>
      </c>
      <c r="L22" s="4" t="n">
        <f aca="false">ROUND((DATE(2026,9,1)-H22)/365.25,1)</f>
        <v>40.4</v>
      </c>
      <c r="M22" s="5" t="n">
        <f aca="false">IF(L22="","",RANK(L22,L$2:L$151,0))</f>
        <v>57</v>
      </c>
      <c r="N22" s="6" t="n">
        <v>184</v>
      </c>
      <c r="O22" s="5" t="n">
        <f aca="false">IF(N22="","",RANK(N22,N$2:N$151,0))</f>
        <v>65</v>
      </c>
      <c r="P22" s="6" t="n">
        <v>82</v>
      </c>
      <c r="Q22" s="5" t="n">
        <f aca="false">IF(P22="","",RANK(P22,P$2:P$151,0))</f>
        <v>60</v>
      </c>
      <c r="R22" s="6" t="n">
        <f aca="false">I22-YEAR(H22)</f>
        <v>18</v>
      </c>
      <c r="S22" s="5" t="n">
        <f aca="false">IF(R22="","",RANK(R22,R$2:R$151,0))</f>
        <v>56</v>
      </c>
      <c r="T22" s="6" t="n">
        <f aca="false">IF(J22="",2026,J22)-I22</f>
        <v>22</v>
      </c>
      <c r="U22" s="5" t="n">
        <f aca="false">IF(T22="","",RANK(T22,T$2:T$151,0))</f>
        <v>25</v>
      </c>
      <c r="V22" s="6" t="n">
        <v>0</v>
      </c>
      <c r="W22" s="5" t="n">
        <f aca="false">IF(V22="","",RANK(V22,V$2:V$151,0))</f>
        <v>82</v>
      </c>
      <c r="X22" s="6" t="n">
        <v>0</v>
      </c>
      <c r="Y22" s="5" t="n">
        <f aca="false">IF(X22="","",RANK(X22,X$2:X$151,0))</f>
        <v>65</v>
      </c>
      <c r="Z22" s="6" t="n">
        <v>0</v>
      </c>
      <c r="AA22" s="5" t="n">
        <f aca="false">IF(Z22="","",RANK(Z22,Z$2:Z$151,0))</f>
        <v>53</v>
      </c>
      <c r="AB22" s="6" t="n">
        <v>5</v>
      </c>
      <c r="AC22" s="5" t="n">
        <f aca="false">IF(AB22="","",RANK(AB22,AB$2:AB$151,0))</f>
        <v>39</v>
      </c>
      <c r="AD22" s="6" t="n">
        <f aca="false">IF(K22="","",K22-YEAR(H22))</f>
        <v>24</v>
      </c>
      <c r="AE22" s="5" t="n">
        <f aca="false">IF(AD22="","",RANK(AD22,AD$2:AD$151,0))</f>
        <v>56</v>
      </c>
      <c r="AF22" s="7" t="n">
        <v>250</v>
      </c>
      <c r="AG22" s="5" t="n">
        <f aca="false">IF(AF22="","",RANK(AF22,AF$2:AF$151,0))</f>
        <v>34</v>
      </c>
      <c r="AH22" s="7" t="n">
        <v>100</v>
      </c>
      <c r="AI22" s="5" t="n">
        <f aca="false">IF(AH22="","",RANK(AH22,AH$2:AH$151,0))</f>
        <v>61</v>
      </c>
      <c r="AJ22" s="4" t="n">
        <v>65</v>
      </c>
      <c r="AK22" s="5" t="n">
        <f aca="false">IF(AJ22="","",RANK(AJ22,AJ$2:AJ$151,0))</f>
        <v>10</v>
      </c>
      <c r="AL22" s="6" t="n">
        <v>4</v>
      </c>
      <c r="AM22" s="5" t="n">
        <f aca="false">IF(AL22="","",RANK(AL22,AL$2:AL$151,0))</f>
        <v>12</v>
      </c>
      <c r="AN22" s="6" t="n">
        <v>0</v>
      </c>
      <c r="AO22" s="5" t="n">
        <f aca="false">IF(AN22="","",RANK(AN22,AN$2:AN$151,0))</f>
        <v>22</v>
      </c>
    </row>
    <row r="23" customFormat="false" ht="15" hidden="false" customHeight="false" outlineLevel="0" collapsed="false">
      <c r="A23" s="2" t="n">
        <v>22</v>
      </c>
      <c r="B23" s="2" t="s">
        <v>80</v>
      </c>
      <c r="C23" s="2" t="s">
        <v>28</v>
      </c>
      <c r="D23" s="2" t="s">
        <v>81</v>
      </c>
      <c r="E23" s="2" t="s">
        <v>30</v>
      </c>
      <c r="F23" s="2" t="s">
        <v>31</v>
      </c>
      <c r="G23" s="2" t="s">
        <v>82</v>
      </c>
      <c r="H23" s="3" t="n">
        <v>33427</v>
      </c>
      <c r="I23" s="2" t="n">
        <v>2011</v>
      </c>
      <c r="J23" s="2"/>
      <c r="K23" s="2" t="n">
        <v>2019</v>
      </c>
      <c r="L23" s="4" t="n">
        <f aca="false">ROUND((DATE(2026,9,1)-H23)/365.25,1)</f>
        <v>35.2</v>
      </c>
      <c r="M23" s="5" t="n">
        <f aca="false">IF(L23="","",RANK(L23,L$2:L$151,0))</f>
        <v>88</v>
      </c>
      <c r="N23" s="6" t="n">
        <v>195</v>
      </c>
      <c r="O23" s="5" t="n">
        <f aca="false">IF(N23="","",RANK(N23,N$2:N$151,0))</f>
        <v>19</v>
      </c>
      <c r="P23" s="6" t="n">
        <v>92</v>
      </c>
      <c r="Q23" s="5" t="n">
        <f aca="false">IF(P23="","",RANK(P23,P$2:P$151,0))</f>
        <v>35</v>
      </c>
      <c r="R23" s="6" t="n">
        <f aca="false">I23-YEAR(H23)</f>
        <v>20</v>
      </c>
      <c r="S23" s="5" t="n">
        <f aca="false">IF(R23="","",RANK(R23,R$2:R$151,0))</f>
        <v>33</v>
      </c>
      <c r="T23" s="6" t="n">
        <f aca="false">IF(J23="",2026,J23)-I23</f>
        <v>15</v>
      </c>
      <c r="U23" s="5" t="n">
        <f aca="false">IF(T23="","",RANK(T23,T$2:T$151,0))</f>
        <v>85</v>
      </c>
      <c r="V23" s="6" t="n">
        <v>0</v>
      </c>
      <c r="W23" s="5" t="n">
        <f aca="false">IF(V23="","",RANK(V23,V$2:V$151,0))</f>
        <v>82</v>
      </c>
      <c r="X23" s="6" t="n">
        <v>0</v>
      </c>
      <c r="Y23" s="5" t="n">
        <f aca="false">IF(X23="","",RANK(X23,X$2:X$151,0))</f>
        <v>65</v>
      </c>
      <c r="Z23" s="6" t="n">
        <v>0</v>
      </c>
      <c r="AA23" s="5" t="n">
        <f aca="false">IF(Z23="","",RANK(Z23,Z$2:Z$151,0))</f>
        <v>53</v>
      </c>
      <c r="AB23" s="6" t="n">
        <v>1</v>
      </c>
      <c r="AC23" s="5" t="n">
        <f aca="false">IF(AB23="","",RANK(AB23,AB$2:AB$151,0))</f>
        <v>106</v>
      </c>
      <c r="AD23" s="6" t="n">
        <f aca="false">IF(K23="","",K23-YEAR(H23))</f>
        <v>28</v>
      </c>
      <c r="AE23" s="5" t="n">
        <f aca="false">IF(AD23="","",RANK(AD23,AD$2:AD$151,0))</f>
        <v>16</v>
      </c>
      <c r="AF23" s="7" t="n">
        <v>150</v>
      </c>
      <c r="AG23" s="5" t="n">
        <f aca="false">IF(AF23="","",RANK(AF23,AF$2:AF$151,0))</f>
        <v>56</v>
      </c>
      <c r="AH23" s="7" t="n">
        <v>70</v>
      </c>
      <c r="AI23" s="5" t="n">
        <f aca="false">IF(AH23="","",RANK(AH23,AH$2:AH$151,0))</f>
        <v>84</v>
      </c>
      <c r="AJ23" s="4" t="n">
        <v>20</v>
      </c>
      <c r="AK23" s="5" t="n">
        <f aca="false">IF(AJ23="","",RANK(AJ23,AJ$2:AJ$151,0))</f>
        <v>36</v>
      </c>
      <c r="AL23" s="6" t="n">
        <v>2</v>
      </c>
      <c r="AM23" s="5" t="n">
        <f aca="false">IF(AL23="","",RANK(AL23,AL$2:AL$151,0))</f>
        <v>49</v>
      </c>
      <c r="AN23" s="6" t="n">
        <v>0</v>
      </c>
      <c r="AO23" s="5" t="n">
        <f aca="false">IF(AN23="","",RANK(AN23,AN$2:AN$151,0))</f>
        <v>22</v>
      </c>
    </row>
    <row r="24" customFormat="false" ht="15" hidden="false" customHeight="false" outlineLevel="0" collapsed="false">
      <c r="A24" s="2" t="n">
        <v>23</v>
      </c>
      <c r="B24" s="2" t="s">
        <v>83</v>
      </c>
      <c r="C24" s="2" t="s">
        <v>28</v>
      </c>
      <c r="D24" s="2" t="s">
        <v>40</v>
      </c>
      <c r="E24" s="2" t="s">
        <v>30</v>
      </c>
      <c r="F24" s="2" t="s">
        <v>67</v>
      </c>
      <c r="G24" s="2" t="s">
        <v>84</v>
      </c>
      <c r="H24" s="3" t="n">
        <v>28354</v>
      </c>
      <c r="I24" s="2" t="n">
        <v>1994</v>
      </c>
      <c r="J24" s="2" t="n">
        <v>2014</v>
      </c>
      <c r="K24" s="2" t="n">
        <v>1998</v>
      </c>
      <c r="L24" s="4" t="n">
        <f aca="false">ROUND((DATE(2026,9,1)-H24)/365.25,1)</f>
        <v>49</v>
      </c>
      <c r="M24" s="5" t="n">
        <f aca="false">IF(L24="","",RANK(L24,L$2:L$151,0))</f>
        <v>25</v>
      </c>
      <c r="N24" s="6" t="n">
        <v>188</v>
      </c>
      <c r="O24" s="5" t="n">
        <f aca="false">IF(N24="","",RANK(N24,N$2:N$151,0))</f>
        <v>40</v>
      </c>
      <c r="P24" s="6" t="n">
        <v>83</v>
      </c>
      <c r="Q24" s="5" t="n">
        <f aca="false">IF(P24="","",RANK(P24,P$2:P$151,0))</f>
        <v>58</v>
      </c>
      <c r="R24" s="6" t="n">
        <f aca="false">I24-YEAR(H24)</f>
        <v>17</v>
      </c>
      <c r="S24" s="5" t="n">
        <f aca="false">IF(R24="","",RANK(R24,R$2:R$151,0))</f>
        <v>82</v>
      </c>
      <c r="T24" s="6" t="n">
        <f aca="false">IF(J24="",2026,J24)-I24</f>
        <v>20</v>
      </c>
      <c r="U24" s="5" t="n">
        <f aca="false">IF(T24="","",RANK(T24,T$2:T$151,0))</f>
        <v>42</v>
      </c>
      <c r="V24" s="6" t="n">
        <v>0</v>
      </c>
      <c r="W24" s="5" t="n">
        <f aca="false">IF(V24="","",RANK(V24,V$2:V$151,0))</f>
        <v>82</v>
      </c>
      <c r="X24" s="6" t="n">
        <v>0</v>
      </c>
      <c r="Y24" s="5" t="n">
        <f aca="false">IF(X24="","",RANK(X24,X$2:X$151,0))</f>
        <v>65</v>
      </c>
      <c r="Z24" s="6" t="n">
        <v>0</v>
      </c>
      <c r="AA24" s="5" t="n">
        <f aca="false">IF(Z24="","",RANK(Z24,Z$2:Z$151,0))</f>
        <v>53</v>
      </c>
      <c r="AB24" s="6" t="n">
        <v>2</v>
      </c>
      <c r="AC24" s="5" t="n">
        <f aca="false">IF(AB24="","",RANK(AB24,AB$2:AB$151,0))</f>
        <v>85</v>
      </c>
      <c r="AD24" s="6" t="n">
        <f aca="false">IF(K24="","",K24-YEAR(H24))</f>
        <v>21</v>
      </c>
      <c r="AE24" s="5" t="n">
        <f aca="false">IF(AD24="","",RANK(AD24,AD$2:AD$151,0))</f>
        <v>91</v>
      </c>
      <c r="AF24" s="7" t="n">
        <v>150</v>
      </c>
      <c r="AG24" s="5" t="n">
        <f aca="false">IF(AF24="","",RANK(AF24,AF$2:AF$151,0))</f>
        <v>56</v>
      </c>
      <c r="AH24" s="7" t="n">
        <v>130</v>
      </c>
      <c r="AI24" s="5" t="n">
        <f aca="false">IF(AH24="","",RANK(AH24,AH$2:AH$151,0))</f>
        <v>51</v>
      </c>
      <c r="AJ24" s="4" t="n">
        <v>15</v>
      </c>
      <c r="AK24" s="5" t="n">
        <f aca="false">IF(AJ24="","",RANK(AJ24,AJ$2:AJ$151,0))</f>
        <v>48</v>
      </c>
      <c r="AL24" s="6" t="n">
        <v>3</v>
      </c>
      <c r="AM24" s="5" t="n">
        <f aca="false">IF(AL24="","",RANK(AL24,AL$2:AL$151,0))</f>
        <v>27</v>
      </c>
      <c r="AN24" s="6" t="n">
        <v>0</v>
      </c>
      <c r="AO24" s="5" t="n">
        <f aca="false">IF(AN24="","",RANK(AN24,AN$2:AN$151,0))</f>
        <v>22</v>
      </c>
    </row>
    <row r="25" customFormat="false" ht="15" hidden="false" customHeight="false" outlineLevel="0" collapsed="false">
      <c r="A25" s="2" t="n">
        <v>24</v>
      </c>
      <c r="B25" s="2" t="s">
        <v>85</v>
      </c>
      <c r="C25" s="2" t="s">
        <v>28</v>
      </c>
      <c r="D25" s="2" t="s">
        <v>86</v>
      </c>
      <c r="E25" s="2" t="s">
        <v>30</v>
      </c>
      <c r="F25" s="2" t="s">
        <v>67</v>
      </c>
      <c r="G25" s="2" t="s">
        <v>87</v>
      </c>
      <c r="H25" s="3" t="n">
        <v>28518</v>
      </c>
      <c r="I25" s="2" t="n">
        <v>1995</v>
      </c>
      <c r="J25" s="2" t="n">
        <v>2023</v>
      </c>
      <c r="K25" s="2" t="n">
        <v>2006</v>
      </c>
      <c r="L25" s="4" t="n">
        <f aca="false">ROUND((DATE(2026,9,1)-H25)/365.25,1)</f>
        <v>48.6</v>
      </c>
      <c r="M25" s="5" t="n">
        <f aca="false">IF(L25="","",RANK(L25,L$2:L$151,0))</f>
        <v>26</v>
      </c>
      <c r="N25" s="6" t="n">
        <v>192</v>
      </c>
      <c r="O25" s="5" t="n">
        <f aca="false">IF(N25="","",RANK(N25,N$2:N$151,0))</f>
        <v>29</v>
      </c>
      <c r="P25" s="6" t="n">
        <v>92</v>
      </c>
      <c r="Q25" s="5" t="n">
        <f aca="false">IF(P25="","",RANK(P25,P$2:P$151,0))</f>
        <v>35</v>
      </c>
      <c r="R25" s="6" t="n">
        <f aca="false">I25-YEAR(H25)</f>
        <v>17</v>
      </c>
      <c r="S25" s="5" t="n">
        <f aca="false">IF(R25="","",RANK(R25,R$2:R$151,0))</f>
        <v>82</v>
      </c>
      <c r="T25" s="6" t="n">
        <f aca="false">IF(J25="",2026,J25)-I25</f>
        <v>28</v>
      </c>
      <c r="U25" s="5" t="n">
        <f aca="false">IF(T25="","",RANK(T25,T$2:T$151,0))</f>
        <v>7</v>
      </c>
      <c r="V25" s="6" t="n">
        <v>1</v>
      </c>
      <c r="W25" s="5" t="n">
        <f aca="false">IF(V25="","",RANK(V25,V$2:V$151,0))</f>
        <v>54</v>
      </c>
      <c r="X25" s="6" t="n">
        <v>0</v>
      </c>
      <c r="Y25" s="5" t="n">
        <f aca="false">IF(X25="","",RANK(X25,X$2:X$151,0))</f>
        <v>65</v>
      </c>
      <c r="Z25" s="6" t="n">
        <v>0</v>
      </c>
      <c r="AA25" s="5" t="n">
        <f aca="false">IF(Z25="","",RANK(Z25,Z$2:Z$151,0))</f>
        <v>53</v>
      </c>
      <c r="AB25" s="6" t="n">
        <v>1</v>
      </c>
      <c r="AC25" s="5" t="n">
        <f aca="false">IF(AB25="","",RANK(AB25,AB$2:AB$151,0))</f>
        <v>106</v>
      </c>
      <c r="AD25" s="6" t="n">
        <f aca="false">IF(K25="","",K25-YEAR(H25))</f>
        <v>28</v>
      </c>
      <c r="AE25" s="5" t="n">
        <f aca="false">IF(AD25="","",RANK(AD25,AD$2:AD$151,0))</f>
        <v>16</v>
      </c>
      <c r="AF25" s="7" t="n">
        <v>200</v>
      </c>
      <c r="AG25" s="5" t="n">
        <f aca="false">IF(AF25="","",RANK(AF25,AF$2:AF$151,0))</f>
        <v>44</v>
      </c>
      <c r="AH25" s="7" t="n">
        <v>60</v>
      </c>
      <c r="AI25" s="5" t="n">
        <f aca="false">IF(AH25="","",RANK(AH25,AH$2:AH$151,0))</f>
        <v>85</v>
      </c>
      <c r="AJ25" s="4" t="n">
        <v>13</v>
      </c>
      <c r="AK25" s="5" t="n">
        <f aca="false">IF(AJ25="","",RANK(AJ25,AJ$2:AJ$151,0))</f>
        <v>53</v>
      </c>
      <c r="AL25" s="6" t="n">
        <v>3</v>
      </c>
      <c r="AM25" s="5" t="n">
        <f aca="false">IF(AL25="","",RANK(AL25,AL$2:AL$151,0))</f>
        <v>27</v>
      </c>
      <c r="AN25" s="6" t="n">
        <v>0</v>
      </c>
      <c r="AO25" s="5" t="n">
        <f aca="false">IF(AN25="","",RANK(AN25,AN$2:AN$151,0))</f>
        <v>22</v>
      </c>
    </row>
    <row r="26" customFormat="false" ht="15" hidden="false" customHeight="false" outlineLevel="0" collapsed="false">
      <c r="A26" s="2" t="n">
        <v>25</v>
      </c>
      <c r="B26" s="2" t="s">
        <v>88</v>
      </c>
      <c r="C26" s="2" t="s">
        <v>28</v>
      </c>
      <c r="D26" s="2" t="s">
        <v>89</v>
      </c>
      <c r="E26" s="2" t="s">
        <v>30</v>
      </c>
      <c r="F26" s="2" t="s">
        <v>31</v>
      </c>
      <c r="G26" s="2" t="s">
        <v>41</v>
      </c>
      <c r="H26" s="3" t="n">
        <v>33793</v>
      </c>
      <c r="I26" s="2" t="n">
        <v>2010</v>
      </c>
      <c r="J26" s="2"/>
      <c r="K26" s="2"/>
      <c r="L26" s="4" t="n">
        <f aca="false">ROUND((DATE(2026,9,1)-H26)/365.25,1)</f>
        <v>34.1</v>
      </c>
      <c r="M26" s="5" t="n">
        <f aca="false">IF(L26="","",RANK(L26,L$2:L$151,0))</f>
        <v>94</v>
      </c>
      <c r="N26" s="6" t="n">
        <v>183</v>
      </c>
      <c r="O26" s="5" t="n">
        <f aca="false">IF(N26="","",RANK(N26,N$2:N$151,0))</f>
        <v>66</v>
      </c>
      <c r="P26" s="6" t="n">
        <v>78</v>
      </c>
      <c r="Q26" s="5" t="n">
        <f aca="false">IF(P26="","",RANK(P26,P$2:P$151,0))</f>
        <v>70</v>
      </c>
      <c r="R26" s="6" t="n">
        <f aca="false">I26-YEAR(H26)</f>
        <v>18</v>
      </c>
      <c r="S26" s="5" t="n">
        <f aca="false">IF(R26="","",RANK(R26,R$2:R$151,0))</f>
        <v>56</v>
      </c>
      <c r="T26" s="6" t="n">
        <f aca="false">IF(J26="",2026,J26)-I26</f>
        <v>16</v>
      </c>
      <c r="U26" s="5" t="n">
        <f aca="false">IF(T26="","",RANK(T26,T$2:T$151,0))</f>
        <v>80</v>
      </c>
      <c r="V26" s="6" t="n">
        <v>1</v>
      </c>
      <c r="W26" s="5" t="n">
        <f aca="false">IF(V26="","",RANK(V26,V$2:V$151,0))</f>
        <v>54</v>
      </c>
      <c r="X26" s="6" t="n">
        <v>0</v>
      </c>
      <c r="Y26" s="5" t="n">
        <f aca="false">IF(X26="","",RANK(X26,X$2:X$151,0))</f>
        <v>65</v>
      </c>
      <c r="Z26" s="6" t="n">
        <v>0</v>
      </c>
      <c r="AA26" s="5" t="n">
        <f aca="false">IF(Z26="","",RANK(Z26,Z$2:Z$151,0))</f>
        <v>53</v>
      </c>
      <c r="AB26" s="6" t="n">
        <v>0</v>
      </c>
      <c r="AC26" s="5" t="n">
        <f aca="false">IF(AB26="","",RANK(AB26,AB$2:AB$151,0))</f>
        <v>135</v>
      </c>
      <c r="AD26" s="6" t="str">
        <f aca="false">IF(K26="","",K26-YEAR(H26))</f>
        <v/>
      </c>
      <c r="AE26" s="5" t="str">
        <f aca="false">IF(AD26="","",RANK(AD26,AD$2:AD$151,0))</f>
        <v/>
      </c>
      <c r="AF26" s="7" t="n">
        <v>150</v>
      </c>
      <c r="AG26" s="5" t="n">
        <f aca="false">IF(AF26="","",RANK(AF26,AF$2:AF$151,0))</f>
        <v>56</v>
      </c>
      <c r="AH26" s="7" t="n">
        <v>60</v>
      </c>
      <c r="AI26" s="5" t="n">
        <f aca="false">IF(AH26="","",RANK(AH26,AH$2:AH$151,0))</f>
        <v>85</v>
      </c>
      <c r="AJ26" s="4" t="n">
        <v>16</v>
      </c>
      <c r="AK26" s="5" t="n">
        <f aca="false">IF(AJ26="","",RANK(AJ26,AJ$2:AJ$151,0))</f>
        <v>42</v>
      </c>
      <c r="AL26" s="6" t="n">
        <v>0</v>
      </c>
      <c r="AM26" s="5" t="n">
        <f aca="false">IF(AL26="","",RANK(AL26,AL$2:AL$151,0))</f>
        <v>95</v>
      </c>
      <c r="AN26" s="6" t="n">
        <v>0</v>
      </c>
      <c r="AO26" s="5" t="n">
        <f aca="false">IF(AN26="","",RANK(AN26,AN$2:AN$151,0))</f>
        <v>22</v>
      </c>
    </row>
    <row r="27" customFormat="false" ht="15" hidden="false" customHeight="false" outlineLevel="0" collapsed="false">
      <c r="A27" s="2" t="n">
        <v>26</v>
      </c>
      <c r="B27" s="2" t="s">
        <v>90</v>
      </c>
      <c r="C27" s="2" t="s">
        <v>28</v>
      </c>
      <c r="D27" s="2" t="s">
        <v>40</v>
      </c>
      <c r="E27" s="2" t="s">
        <v>30</v>
      </c>
      <c r="F27" s="2" t="s">
        <v>31</v>
      </c>
      <c r="G27" s="2" t="s">
        <v>91</v>
      </c>
      <c r="H27" s="3" t="n">
        <v>33318</v>
      </c>
      <c r="I27" s="2" t="n">
        <v>2009</v>
      </c>
      <c r="J27" s="2"/>
      <c r="K27" s="2" t="n">
        <v>2018</v>
      </c>
      <c r="L27" s="4" t="n">
        <f aca="false">ROUND((DATE(2026,9,1)-H27)/365.25,1)</f>
        <v>35.4</v>
      </c>
      <c r="M27" s="5" t="n">
        <f aca="false">IF(L27="","",RANK(L27,L$2:L$151,0))</f>
        <v>87</v>
      </c>
      <c r="N27" s="6" t="n">
        <v>176</v>
      </c>
      <c r="O27" s="5" t="n">
        <f aca="false">IF(N27="","",RANK(N27,N$2:N$151,0))</f>
        <v>97</v>
      </c>
      <c r="P27" s="6" t="n">
        <v>73</v>
      </c>
      <c r="Q27" s="5" t="n">
        <f aca="false">IF(P27="","",RANK(P27,P$2:P$151,0))</f>
        <v>82</v>
      </c>
      <c r="R27" s="6" t="n">
        <f aca="false">I27-YEAR(H27)</f>
        <v>18</v>
      </c>
      <c r="S27" s="5" t="n">
        <f aca="false">IF(R27="","",RANK(R27,R$2:R$151,0))</f>
        <v>56</v>
      </c>
      <c r="T27" s="6" t="n">
        <f aca="false">IF(J27="",2026,J27)-I27</f>
        <v>17</v>
      </c>
      <c r="U27" s="5" t="n">
        <f aca="false">IF(T27="","",RANK(T27,T$2:T$151,0))</f>
        <v>69</v>
      </c>
      <c r="V27" s="6" t="n">
        <v>0</v>
      </c>
      <c r="W27" s="5" t="n">
        <f aca="false">IF(V27="","",RANK(V27,V$2:V$151,0))</f>
        <v>82</v>
      </c>
      <c r="X27" s="6" t="n">
        <v>0</v>
      </c>
      <c r="Y27" s="5" t="n">
        <f aca="false">IF(X27="","",RANK(X27,X$2:X$151,0))</f>
        <v>65</v>
      </c>
      <c r="Z27" s="6" t="n">
        <v>0</v>
      </c>
      <c r="AA27" s="5" t="n">
        <f aca="false">IF(Z27="","",RANK(Z27,Z$2:Z$151,0))</f>
        <v>53</v>
      </c>
      <c r="AB27" s="6" t="n">
        <v>1</v>
      </c>
      <c r="AC27" s="5" t="n">
        <f aca="false">IF(AB27="","",RANK(AB27,AB$2:AB$151,0))</f>
        <v>106</v>
      </c>
      <c r="AD27" s="6" t="n">
        <f aca="false">IF(K27="","",K27-YEAR(H27))</f>
        <v>27</v>
      </c>
      <c r="AE27" s="5" t="n">
        <f aca="false">IF(AD27="","",RANK(AD27,AD$2:AD$151,0))</f>
        <v>27</v>
      </c>
      <c r="AF27" s="7" t="n">
        <v>250</v>
      </c>
      <c r="AG27" s="5" t="n">
        <f aca="false">IF(AF27="","",RANK(AF27,AF$2:AF$151,0))</f>
        <v>34</v>
      </c>
      <c r="AH27" s="7" t="n">
        <v>100</v>
      </c>
      <c r="AI27" s="5" t="n">
        <f aca="false">IF(AH27="","",RANK(AH27,AH$2:AH$151,0))</f>
        <v>61</v>
      </c>
      <c r="AJ27" s="4" t="n">
        <v>38</v>
      </c>
      <c r="AK27" s="5" t="n">
        <f aca="false">IF(AJ27="","",RANK(AJ27,AJ$2:AJ$151,0))</f>
        <v>28</v>
      </c>
      <c r="AL27" s="6" t="n">
        <v>3</v>
      </c>
      <c r="AM27" s="5" t="n">
        <f aca="false">IF(AL27="","",RANK(AL27,AL$2:AL$151,0))</f>
        <v>27</v>
      </c>
      <c r="AN27" s="6" t="n">
        <v>0</v>
      </c>
      <c r="AO27" s="5" t="n">
        <f aca="false">IF(AN27="","",RANK(AN27,AN$2:AN$151,0))</f>
        <v>22</v>
      </c>
    </row>
    <row r="28" customFormat="false" ht="15" hidden="false" customHeight="false" outlineLevel="0" collapsed="false">
      <c r="A28" s="2" t="n">
        <v>27</v>
      </c>
      <c r="B28" s="2" t="s">
        <v>92</v>
      </c>
      <c r="C28" s="2" t="s">
        <v>28</v>
      </c>
      <c r="D28" s="2" t="s">
        <v>93</v>
      </c>
      <c r="E28" s="2" t="s">
        <v>30</v>
      </c>
      <c r="F28" s="2" t="s">
        <v>31</v>
      </c>
      <c r="G28" s="2" t="s">
        <v>94</v>
      </c>
      <c r="H28" s="3" t="n">
        <v>31498</v>
      </c>
      <c r="I28" s="2" t="n">
        <v>2006</v>
      </c>
      <c r="J28" s="2"/>
      <c r="K28" s="2" t="n">
        <v>2013</v>
      </c>
      <c r="L28" s="4" t="n">
        <f aca="false">ROUND((DATE(2026,9,1)-H28)/365.25,1)</f>
        <v>40.4</v>
      </c>
      <c r="M28" s="5" t="n">
        <f aca="false">IF(L28="","",RANK(L28,L$2:L$151,0))</f>
        <v>57</v>
      </c>
      <c r="N28" s="6" t="n">
        <v>193</v>
      </c>
      <c r="O28" s="5" t="n">
        <f aca="false">IF(N28="","",RANK(N28,N$2:N$151,0))</f>
        <v>23</v>
      </c>
      <c r="P28" s="6" t="n">
        <v>93</v>
      </c>
      <c r="Q28" s="5" t="n">
        <f aca="false">IF(P28="","",RANK(P28,P$2:P$151,0))</f>
        <v>33</v>
      </c>
      <c r="R28" s="6" t="n">
        <f aca="false">I28-YEAR(H28)</f>
        <v>20</v>
      </c>
      <c r="S28" s="5" t="n">
        <f aca="false">IF(R28="","",RANK(R28,R$2:R$151,0))</f>
        <v>33</v>
      </c>
      <c r="T28" s="6" t="n">
        <f aca="false">IF(J28="",2026,J28)-I28</f>
        <v>20</v>
      </c>
      <c r="U28" s="5" t="n">
        <f aca="false">IF(T28="","",RANK(T28,T$2:T$151,0))</f>
        <v>42</v>
      </c>
      <c r="V28" s="6" t="n">
        <v>0</v>
      </c>
      <c r="W28" s="5" t="n">
        <f aca="false">IF(V28="","",RANK(V28,V$2:V$151,0))</f>
        <v>82</v>
      </c>
      <c r="X28" s="6" t="n">
        <v>0</v>
      </c>
      <c r="Y28" s="5" t="n">
        <f aca="false">IF(X28="","",RANK(X28,X$2:X$151,0))</f>
        <v>65</v>
      </c>
      <c r="Z28" s="6" t="n">
        <v>0</v>
      </c>
      <c r="AA28" s="5" t="n">
        <f aca="false">IF(Z28="","",RANK(Z28,Z$2:Z$151,0))</f>
        <v>53</v>
      </c>
      <c r="AB28" s="6" t="n">
        <v>3</v>
      </c>
      <c r="AC28" s="5" t="n">
        <f aca="false">IF(AB28="","",RANK(AB28,AB$2:AB$151,0))</f>
        <v>69</v>
      </c>
      <c r="AD28" s="6" t="n">
        <f aca="false">IF(K28="","",K28-YEAR(H28))</f>
        <v>27</v>
      </c>
      <c r="AE28" s="5" t="n">
        <f aca="false">IF(AD28="","",RANK(AD28,AD$2:AD$151,0))</f>
        <v>27</v>
      </c>
      <c r="AF28" s="7" t="n">
        <v>200</v>
      </c>
      <c r="AG28" s="5" t="n">
        <f aca="false">IF(AF28="","",RANK(AF28,AF$2:AF$151,0))</f>
        <v>44</v>
      </c>
      <c r="AH28" s="7" t="n">
        <v>80</v>
      </c>
      <c r="AI28" s="5" t="n">
        <f aca="false">IF(AH28="","",RANK(AH28,AH$2:AH$151,0))</f>
        <v>78</v>
      </c>
      <c r="AJ28" s="4" t="n">
        <v>13</v>
      </c>
      <c r="AK28" s="5" t="n">
        <f aca="false">IF(AJ28="","",RANK(AJ28,AJ$2:AJ$151,0))</f>
        <v>53</v>
      </c>
      <c r="AL28" s="6" t="n">
        <v>0</v>
      </c>
      <c r="AM28" s="5" t="n">
        <f aca="false">IF(AL28="","",RANK(AL28,AL$2:AL$151,0))</f>
        <v>95</v>
      </c>
      <c r="AN28" s="6" t="n">
        <v>0</v>
      </c>
      <c r="AO28" s="5" t="n">
        <f aca="false">IF(AN28="","",RANK(AN28,AN$2:AN$151,0))</f>
        <v>22</v>
      </c>
    </row>
    <row r="29" customFormat="false" ht="15" hidden="false" customHeight="false" outlineLevel="0" collapsed="false">
      <c r="A29" s="2" t="n">
        <v>28</v>
      </c>
      <c r="B29" s="2" t="s">
        <v>95</v>
      </c>
      <c r="C29" s="2" t="s">
        <v>28</v>
      </c>
      <c r="D29" s="2" t="s">
        <v>93</v>
      </c>
      <c r="E29" s="2" t="s">
        <v>30</v>
      </c>
      <c r="F29" s="2" t="s">
        <v>67</v>
      </c>
      <c r="G29" s="2" t="s">
        <v>96</v>
      </c>
      <c r="H29" s="3" t="n">
        <v>32877</v>
      </c>
      <c r="I29" s="2" t="n">
        <v>2007</v>
      </c>
      <c r="J29" s="2" t="n">
        <v>2024</v>
      </c>
      <c r="K29" s="2" t="n">
        <v>2013</v>
      </c>
      <c r="L29" s="4" t="n">
        <f aca="false">ROUND((DATE(2026,9,1)-H29)/365.25,1)</f>
        <v>36.7</v>
      </c>
      <c r="M29" s="5" t="n">
        <f aca="false">IF(L29="","",RANK(L29,L$2:L$151,0))</f>
        <v>85</v>
      </c>
      <c r="N29" s="6" t="n">
        <v>183</v>
      </c>
      <c r="O29" s="5" t="n">
        <f aca="false">IF(N29="","",RANK(N29,N$2:N$151,0))</f>
        <v>66</v>
      </c>
      <c r="P29" s="6" t="n">
        <v>76</v>
      </c>
      <c r="Q29" s="5" t="n">
        <f aca="false">IF(P29="","",RANK(P29,P$2:P$151,0))</f>
        <v>75</v>
      </c>
      <c r="R29" s="6" t="n">
        <f aca="false">I29-YEAR(H29)</f>
        <v>17</v>
      </c>
      <c r="S29" s="5" t="n">
        <f aca="false">IF(R29="","",RANK(R29,R$2:R$151,0))</f>
        <v>82</v>
      </c>
      <c r="T29" s="6" t="n">
        <f aca="false">IF(J29="",2026,J29)-I29</f>
        <v>17</v>
      </c>
      <c r="U29" s="5" t="n">
        <f aca="false">IF(T29="","",RANK(T29,T$2:T$151,0))</f>
        <v>69</v>
      </c>
      <c r="V29" s="6" t="n">
        <v>0</v>
      </c>
      <c r="W29" s="5" t="n">
        <f aca="false">IF(V29="","",RANK(V29,V$2:V$151,0))</f>
        <v>82</v>
      </c>
      <c r="X29" s="6" t="n">
        <v>0</v>
      </c>
      <c r="Y29" s="5" t="n">
        <f aca="false">IF(X29="","",RANK(X29,X$2:X$151,0))</f>
        <v>65</v>
      </c>
      <c r="Z29" s="6" t="n">
        <v>0</v>
      </c>
      <c r="AA29" s="5" t="n">
        <f aca="false">IF(Z29="","",RANK(Z29,Z$2:Z$151,0))</f>
        <v>53</v>
      </c>
      <c r="AB29" s="6" t="n">
        <v>7</v>
      </c>
      <c r="AC29" s="5" t="n">
        <f aca="false">IF(AB29="","",RANK(AB29,AB$2:AB$151,0))</f>
        <v>24</v>
      </c>
      <c r="AD29" s="6" t="n">
        <f aca="false">IF(K29="","",K29-YEAR(H29))</f>
        <v>23</v>
      </c>
      <c r="AE29" s="5" t="n">
        <f aca="false">IF(AD29="","",RANK(AD29,AD$2:AD$151,0))</f>
        <v>61</v>
      </c>
      <c r="AF29" s="7" t="n">
        <v>200</v>
      </c>
      <c r="AG29" s="5" t="n">
        <f aca="false">IF(AF29="","",RANK(AF29,AF$2:AF$151,0))</f>
        <v>44</v>
      </c>
      <c r="AH29" s="7" t="n">
        <v>80</v>
      </c>
      <c r="AI29" s="5" t="n">
        <f aca="false">IF(AH29="","",RANK(AH29,AH$2:AH$151,0))</f>
        <v>78</v>
      </c>
      <c r="AJ29" s="4" t="n">
        <v>45</v>
      </c>
      <c r="AK29" s="5" t="n">
        <f aca="false">IF(AJ29="","",RANK(AJ29,AJ$2:AJ$151,0))</f>
        <v>20</v>
      </c>
      <c r="AL29" s="6" t="n">
        <v>3</v>
      </c>
      <c r="AM29" s="5" t="n">
        <f aca="false">IF(AL29="","",RANK(AL29,AL$2:AL$151,0))</f>
        <v>27</v>
      </c>
      <c r="AN29" s="6" t="n">
        <v>0</v>
      </c>
      <c r="AO29" s="5" t="n">
        <f aca="false">IF(AN29="","",RANK(AN29,AN$2:AN$151,0))</f>
        <v>22</v>
      </c>
    </row>
    <row r="30" customFormat="false" ht="15" hidden="false" customHeight="false" outlineLevel="0" collapsed="false">
      <c r="A30" s="2" t="n">
        <v>29</v>
      </c>
      <c r="B30" s="2" t="s">
        <v>97</v>
      </c>
      <c r="C30" s="2" t="s">
        <v>28</v>
      </c>
      <c r="D30" s="2" t="s">
        <v>40</v>
      </c>
      <c r="E30" s="2" t="s">
        <v>30</v>
      </c>
      <c r="F30" s="2" t="s">
        <v>31</v>
      </c>
      <c r="G30" s="2" t="s">
        <v>98</v>
      </c>
      <c r="H30" s="3" t="n">
        <v>34043</v>
      </c>
      <c r="I30" s="2" t="n">
        <v>2011</v>
      </c>
      <c r="J30" s="2"/>
      <c r="K30" s="2" t="n">
        <v>2018</v>
      </c>
      <c r="L30" s="4" t="n">
        <f aca="false">ROUND((DATE(2026,9,1)-H30)/365.25,1)</f>
        <v>33.5</v>
      </c>
      <c r="M30" s="5" t="n">
        <f aca="false">IF(L30="","",RANK(L30,L$2:L$151,0))</f>
        <v>95</v>
      </c>
      <c r="N30" s="6" t="n">
        <v>191</v>
      </c>
      <c r="O30" s="5" t="n">
        <f aca="false">IF(N30="","",RANK(N30,N$2:N$151,0))</f>
        <v>30</v>
      </c>
      <c r="P30" s="6" t="n">
        <v>84</v>
      </c>
      <c r="Q30" s="5" t="n">
        <f aca="false">IF(P30="","",RANK(P30,P$2:P$151,0))</f>
        <v>52</v>
      </c>
      <c r="R30" s="6" t="n">
        <f aca="false">I30-YEAR(H30)</f>
        <v>18</v>
      </c>
      <c r="S30" s="5" t="n">
        <f aca="false">IF(R30="","",RANK(R30,R$2:R$151,0))</f>
        <v>56</v>
      </c>
      <c r="T30" s="6" t="n">
        <f aca="false">IF(J30="",2026,J30)-I30</f>
        <v>15</v>
      </c>
      <c r="U30" s="5" t="n">
        <f aca="false">IF(T30="","",RANK(T30,T$2:T$151,0))</f>
        <v>85</v>
      </c>
      <c r="V30" s="6" t="n">
        <v>0</v>
      </c>
      <c r="W30" s="5" t="n">
        <f aca="false">IF(V30="","",RANK(V30,V$2:V$151,0))</f>
        <v>82</v>
      </c>
      <c r="X30" s="6" t="n">
        <v>0</v>
      </c>
      <c r="Y30" s="5" t="n">
        <f aca="false">IF(X30="","",RANK(X30,X$2:X$151,0))</f>
        <v>65</v>
      </c>
      <c r="Z30" s="6" t="n">
        <v>0</v>
      </c>
      <c r="AA30" s="5" t="n">
        <f aca="false">IF(Z30="","",RANK(Z30,Z$2:Z$151,0))</f>
        <v>53</v>
      </c>
      <c r="AB30" s="6" t="n">
        <v>1</v>
      </c>
      <c r="AC30" s="5" t="n">
        <f aca="false">IF(AB30="","",RANK(AB30,AB$2:AB$151,0))</f>
        <v>106</v>
      </c>
      <c r="AD30" s="6" t="n">
        <f aca="false">IF(K30="","",K30-YEAR(H30))</f>
        <v>25</v>
      </c>
      <c r="AE30" s="5" t="n">
        <f aca="false">IF(AD30="","",RANK(AD30,AD$2:AD$151,0))</f>
        <v>47</v>
      </c>
      <c r="AF30" s="7" t="n">
        <v>250</v>
      </c>
      <c r="AG30" s="5" t="n">
        <f aca="false">IF(AF30="","",RANK(AF30,AF$2:AF$151,0))</f>
        <v>34</v>
      </c>
      <c r="AH30" s="7" t="n">
        <v>100</v>
      </c>
      <c r="AI30" s="5" t="n">
        <f aca="false">IF(AH30="","",RANK(AH30,AH$2:AH$151,0))</f>
        <v>61</v>
      </c>
      <c r="AJ30" s="4" t="n">
        <v>60</v>
      </c>
      <c r="AK30" s="5" t="n">
        <f aca="false">IF(AJ30="","",RANK(AJ30,AJ$2:AJ$151,0))</f>
        <v>12</v>
      </c>
      <c r="AL30" s="6" t="n">
        <v>2</v>
      </c>
      <c r="AM30" s="5" t="n">
        <f aca="false">IF(AL30="","",RANK(AL30,AL$2:AL$151,0))</f>
        <v>49</v>
      </c>
      <c r="AN30" s="6" t="n">
        <v>0</v>
      </c>
      <c r="AO30" s="5" t="n">
        <f aca="false">IF(AN30="","",RANK(AN30,AN$2:AN$151,0))</f>
        <v>22</v>
      </c>
    </row>
    <row r="31" customFormat="false" ht="15" hidden="false" customHeight="false" outlineLevel="0" collapsed="false">
      <c r="A31" s="2" t="n">
        <v>30</v>
      </c>
      <c r="B31" s="2" t="s">
        <v>99</v>
      </c>
      <c r="C31" s="2" t="s">
        <v>28</v>
      </c>
      <c r="D31" s="2" t="s">
        <v>100</v>
      </c>
      <c r="E31" s="2" t="s">
        <v>30</v>
      </c>
      <c r="F31" s="2" t="s">
        <v>31</v>
      </c>
      <c r="G31" s="2" t="s">
        <v>101</v>
      </c>
      <c r="H31" s="3" t="n">
        <v>31801</v>
      </c>
      <c r="I31" s="2" t="n">
        <v>2005</v>
      </c>
      <c r="J31" s="2"/>
      <c r="K31" s="2" t="n">
        <v>2015</v>
      </c>
      <c r="L31" s="4" t="n">
        <f aca="false">ROUND((DATE(2026,9,1)-H31)/365.25,1)</f>
        <v>39.6</v>
      </c>
      <c r="M31" s="5" t="n">
        <f aca="false">IF(L31="","",RANK(L31,L$2:L$151,0))</f>
        <v>63</v>
      </c>
      <c r="N31" s="6" t="n">
        <v>182</v>
      </c>
      <c r="O31" s="5" t="n">
        <f aca="false">IF(N31="","",RANK(N31,N$2:N$151,0))</f>
        <v>76</v>
      </c>
      <c r="P31" s="6" t="n">
        <v>86</v>
      </c>
      <c r="Q31" s="5" t="n">
        <f aca="false">IF(P31="","",RANK(P31,P$2:P$151,0))</f>
        <v>48</v>
      </c>
      <c r="R31" s="6" t="n">
        <f aca="false">I31-YEAR(H31)</f>
        <v>18</v>
      </c>
      <c r="S31" s="5" t="n">
        <f aca="false">IF(R31="","",RANK(R31,R$2:R$151,0))</f>
        <v>56</v>
      </c>
      <c r="T31" s="6" t="n">
        <f aca="false">IF(J31="",2026,J31)-I31</f>
        <v>21</v>
      </c>
      <c r="U31" s="5" t="n">
        <f aca="false">IF(T31="","",RANK(T31,T$2:T$151,0))</f>
        <v>33</v>
      </c>
      <c r="V31" s="6" t="n">
        <v>1</v>
      </c>
      <c r="W31" s="5" t="n">
        <f aca="false">IF(V31="","",RANK(V31,V$2:V$151,0))</f>
        <v>54</v>
      </c>
      <c r="X31" s="6" t="n">
        <v>0</v>
      </c>
      <c r="Y31" s="5" t="n">
        <f aca="false">IF(X31="","",RANK(X31,X$2:X$151,0))</f>
        <v>65</v>
      </c>
      <c r="Z31" s="6" t="n">
        <v>0</v>
      </c>
      <c r="AA31" s="5" t="n">
        <f aca="false">IF(Z31="","",RANK(Z31,Z$2:Z$151,0))</f>
        <v>53</v>
      </c>
      <c r="AB31" s="6" t="n">
        <v>1</v>
      </c>
      <c r="AC31" s="5" t="n">
        <f aca="false">IF(AB31="","",RANK(AB31,AB$2:AB$151,0))</f>
        <v>106</v>
      </c>
      <c r="AD31" s="6" t="n">
        <f aca="false">IF(K31="","",K31-YEAR(H31))</f>
        <v>28</v>
      </c>
      <c r="AE31" s="5" t="n">
        <f aca="false">IF(AD31="","",RANK(AD31,AD$2:AD$151,0))</f>
        <v>16</v>
      </c>
      <c r="AF31" s="7" t="n">
        <v>250</v>
      </c>
      <c r="AG31" s="5" t="n">
        <f aca="false">IF(AF31="","",RANK(AF31,AF$2:AF$151,0))</f>
        <v>34</v>
      </c>
      <c r="AH31" s="7" t="n">
        <v>60</v>
      </c>
      <c r="AI31" s="5" t="n">
        <f aca="false">IF(AH31="","",RANK(AH31,AH$2:AH$151,0))</f>
        <v>85</v>
      </c>
      <c r="AJ31" s="4" t="n">
        <v>50</v>
      </c>
      <c r="AK31" s="5" t="n">
        <f aca="false">IF(AJ31="","",RANK(AJ31,AJ$2:AJ$151,0))</f>
        <v>16</v>
      </c>
      <c r="AL31" s="6" t="n">
        <v>3</v>
      </c>
      <c r="AM31" s="5" t="n">
        <f aca="false">IF(AL31="","",RANK(AL31,AL$2:AL$151,0))</f>
        <v>27</v>
      </c>
      <c r="AN31" s="6" t="n">
        <v>0</v>
      </c>
      <c r="AO31" s="5" t="n">
        <f aca="false">IF(AN31="","",RANK(AN31,AN$2:AN$151,0))</f>
        <v>22</v>
      </c>
    </row>
    <row r="32" customFormat="false" ht="15" hidden="false" customHeight="false" outlineLevel="0" collapsed="false">
      <c r="A32" s="2" t="n">
        <v>31</v>
      </c>
      <c r="B32" s="2" t="s">
        <v>102</v>
      </c>
      <c r="C32" s="2" t="s">
        <v>28</v>
      </c>
      <c r="D32" s="2" t="s">
        <v>40</v>
      </c>
      <c r="E32" s="2" t="s">
        <v>30</v>
      </c>
      <c r="F32" s="2" t="s">
        <v>67</v>
      </c>
      <c r="G32" s="2" t="s">
        <v>103</v>
      </c>
      <c r="H32" s="3" t="n">
        <v>26473</v>
      </c>
      <c r="I32" s="2" t="n">
        <v>1989</v>
      </c>
      <c r="J32" s="2" t="n">
        <v>2006</v>
      </c>
      <c r="K32" s="2" t="n">
        <v>1998</v>
      </c>
      <c r="L32" s="4" t="n">
        <f aca="false">ROUND((DATE(2026,9,1)-H32)/365.25,1)</f>
        <v>54.2</v>
      </c>
      <c r="M32" s="5" t="n">
        <f aca="false">IF(L32="","",RANK(L32,L$2:L$151,0))</f>
        <v>15</v>
      </c>
      <c r="N32" s="6" t="n">
        <v>185</v>
      </c>
      <c r="O32" s="5" t="n">
        <f aca="false">IF(N32="","",RANK(N32,N$2:N$151,0))</f>
        <v>54</v>
      </c>
      <c r="P32" s="6" t="n">
        <v>80</v>
      </c>
      <c r="Q32" s="5" t="n">
        <f aca="false">IF(P32="","",RANK(P32,P$2:P$151,0))</f>
        <v>65</v>
      </c>
      <c r="R32" s="6" t="n">
        <f aca="false">I32-YEAR(H32)</f>
        <v>17</v>
      </c>
      <c r="S32" s="5" t="n">
        <f aca="false">IF(R32="","",RANK(R32,R$2:R$151,0))</f>
        <v>82</v>
      </c>
      <c r="T32" s="6" t="n">
        <f aca="false">IF(J32="",2026,J32)-I32</f>
        <v>17</v>
      </c>
      <c r="U32" s="5" t="n">
        <f aca="false">IF(T32="","",RANK(T32,T$2:T$151,0))</f>
        <v>69</v>
      </c>
      <c r="V32" s="6" t="n">
        <v>0</v>
      </c>
      <c r="W32" s="5" t="n">
        <f aca="false">IF(V32="","",RANK(V32,V$2:V$151,0))</f>
        <v>82</v>
      </c>
      <c r="X32" s="6" t="n">
        <v>0</v>
      </c>
      <c r="Y32" s="5" t="n">
        <f aca="false">IF(X32="","",RANK(X32,X$2:X$151,0))</f>
        <v>65</v>
      </c>
      <c r="Z32" s="6" t="n">
        <v>0</v>
      </c>
      <c r="AA32" s="5" t="n">
        <f aca="false">IF(Z32="","",RANK(Z32,Z$2:Z$151,0))</f>
        <v>53</v>
      </c>
      <c r="AB32" s="6" t="n">
        <v>2</v>
      </c>
      <c r="AC32" s="5" t="n">
        <f aca="false">IF(AB32="","",RANK(AB32,AB$2:AB$151,0))</f>
        <v>85</v>
      </c>
      <c r="AD32" s="6" t="n">
        <f aca="false">IF(K32="","",K32-YEAR(H32))</f>
        <v>26</v>
      </c>
      <c r="AE32" s="5" t="n">
        <f aca="false">IF(AD32="","",RANK(AD32,AD$2:AD$151,0))</f>
        <v>40</v>
      </c>
      <c r="AF32" s="7" t="n">
        <v>90</v>
      </c>
      <c r="AG32" s="5" t="n">
        <f aca="false">IF(AF32="","",RANK(AF32,AF$2:AF$151,0))</f>
        <v>80</v>
      </c>
      <c r="AH32" s="7" t="n">
        <v>120</v>
      </c>
      <c r="AI32" s="5" t="n">
        <f aca="false">IF(AH32="","",RANK(AH32,AH$2:AH$151,0))</f>
        <v>54</v>
      </c>
      <c r="AJ32" s="4"/>
      <c r="AK32" s="5" t="str">
        <f aca="false">IF(AJ32="","",RANK(AJ32,AJ$2:AJ$151,0))</f>
        <v/>
      </c>
      <c r="AL32" s="6" t="n">
        <v>4</v>
      </c>
      <c r="AM32" s="5" t="n">
        <f aca="false">IF(AL32="","",RANK(AL32,AL$2:AL$151,0))</f>
        <v>12</v>
      </c>
      <c r="AN32" s="6" t="n">
        <v>0</v>
      </c>
      <c r="AO32" s="5" t="n">
        <f aca="false">IF(AN32="","",RANK(AN32,AN$2:AN$151,0))</f>
        <v>22</v>
      </c>
    </row>
    <row r="33" customFormat="false" ht="15" hidden="false" customHeight="false" outlineLevel="0" collapsed="false">
      <c r="A33" s="2" t="n">
        <v>32</v>
      </c>
      <c r="B33" s="2" t="s">
        <v>104</v>
      </c>
      <c r="C33" s="2" t="s">
        <v>28</v>
      </c>
      <c r="D33" s="2" t="s">
        <v>46</v>
      </c>
      <c r="E33" s="2" t="s">
        <v>105</v>
      </c>
      <c r="F33" s="2" t="s">
        <v>31</v>
      </c>
      <c r="G33" s="2" t="s">
        <v>41</v>
      </c>
      <c r="H33" s="3" t="n">
        <v>34369</v>
      </c>
      <c r="I33" s="2" t="n">
        <v>2011</v>
      </c>
      <c r="J33" s="2"/>
      <c r="K33" s="2" t="n">
        <v>2021</v>
      </c>
      <c r="L33" s="4" t="n">
        <f aca="false">ROUND((DATE(2026,9,1)-H33)/365.25,1)</f>
        <v>32.6</v>
      </c>
      <c r="M33" s="5" t="n">
        <f aca="false">IF(L33="","",RANK(L33,L$2:L$151,0))</f>
        <v>100</v>
      </c>
      <c r="N33" s="6" t="n">
        <v>171</v>
      </c>
      <c r="O33" s="5" t="n">
        <f aca="false">IF(N33="","",RANK(N33,N$2:N$151,0))</f>
        <v>125</v>
      </c>
      <c r="P33" s="6" t="n">
        <v>60</v>
      </c>
      <c r="Q33" s="5" t="n">
        <f aca="false">IF(P33="","",RANK(P33,P$2:P$151,0))</f>
        <v>131</v>
      </c>
      <c r="R33" s="6" t="n">
        <f aca="false">I33-YEAR(H33)</f>
        <v>17</v>
      </c>
      <c r="S33" s="5" t="n">
        <f aca="false">IF(R33="","",RANK(R33,R$2:R$151,0))</f>
        <v>82</v>
      </c>
      <c r="T33" s="6" t="n">
        <f aca="false">IF(J33="",2026,J33)-I33</f>
        <v>15</v>
      </c>
      <c r="U33" s="5" t="n">
        <f aca="false">IF(T33="","",RANK(T33,T$2:T$151,0))</f>
        <v>85</v>
      </c>
      <c r="V33" s="6" t="n">
        <v>0</v>
      </c>
      <c r="W33" s="5" t="n">
        <f aca="false">IF(V33="","",RANK(V33,V$2:V$151,0))</f>
        <v>82</v>
      </c>
      <c r="X33" s="6" t="n">
        <v>0</v>
      </c>
      <c r="Y33" s="5" t="n">
        <f aca="false">IF(X33="","",RANK(X33,X$2:X$151,0))</f>
        <v>65</v>
      </c>
      <c r="Z33" s="6" t="n">
        <v>0</v>
      </c>
      <c r="AA33" s="5" t="n">
        <f aca="false">IF(Z33="","",RANK(Z33,Z$2:Z$151,0))</f>
        <v>53</v>
      </c>
      <c r="AB33" s="6" t="n">
        <v>3</v>
      </c>
      <c r="AC33" s="5" t="n">
        <f aca="false">IF(AB33="","",RANK(AB33,AB$2:AB$151,0))</f>
        <v>69</v>
      </c>
      <c r="AD33" s="6" t="n">
        <f aca="false">IF(K33="","",K33-YEAR(H33))</f>
        <v>27</v>
      </c>
      <c r="AE33" s="5" t="n">
        <f aca="false">IF(AD33="","",RANK(AD33,AD$2:AD$151,0))</f>
        <v>27</v>
      </c>
      <c r="AF33" s="7" t="n">
        <v>3</v>
      </c>
      <c r="AG33" s="5" t="n">
        <f aca="false">IF(AF33="","",RANK(AF33,AF$2:AF$151,0))</f>
        <v>138</v>
      </c>
      <c r="AH33" s="7" t="n">
        <v>5</v>
      </c>
      <c r="AI33" s="5" t="n">
        <f aca="false">IF(AH33="","",RANK(AH33,AH$2:AH$151,0))</f>
        <v>137</v>
      </c>
      <c r="AJ33" s="4" t="n">
        <v>3.5</v>
      </c>
      <c r="AK33" s="5" t="n">
        <f aca="false">IF(AJ33="","",RANK(AJ33,AJ$2:AJ$151,0))</f>
        <v>82</v>
      </c>
      <c r="AL33" s="6" t="n">
        <v>0</v>
      </c>
      <c r="AM33" s="5" t="n">
        <f aca="false">IF(AL33="","",RANK(AL33,AL$2:AL$151,0))</f>
        <v>95</v>
      </c>
      <c r="AN33" s="6" t="n">
        <v>0</v>
      </c>
      <c r="AO33" s="5" t="n">
        <f aca="false">IF(AN33="","",RANK(AN33,AN$2:AN$151,0))</f>
        <v>22</v>
      </c>
    </row>
    <row r="34" customFormat="false" ht="15" hidden="false" customHeight="false" outlineLevel="0" collapsed="false">
      <c r="A34" s="2" t="n">
        <v>33</v>
      </c>
      <c r="B34" s="2" t="s">
        <v>106</v>
      </c>
      <c r="C34" s="2" t="s">
        <v>28</v>
      </c>
      <c r="D34" s="2" t="s">
        <v>46</v>
      </c>
      <c r="E34" s="2" t="s">
        <v>105</v>
      </c>
      <c r="F34" s="2" t="s">
        <v>31</v>
      </c>
      <c r="G34" s="2" t="s">
        <v>41</v>
      </c>
      <c r="H34" s="3" t="n">
        <v>35813</v>
      </c>
      <c r="I34" s="2" t="n">
        <v>2016</v>
      </c>
      <c r="J34" s="2"/>
      <c r="K34" s="2" t="n">
        <v>2021</v>
      </c>
      <c r="L34" s="4" t="n">
        <f aca="false">ROUND((DATE(2026,9,1)-H34)/365.25,1)</f>
        <v>28.6</v>
      </c>
      <c r="M34" s="5" t="n">
        <f aca="false">IF(L34="","",RANK(L34,L$2:L$151,0))</f>
        <v>125</v>
      </c>
      <c r="N34" s="6" t="n">
        <v>162</v>
      </c>
      <c r="O34" s="5" t="n">
        <f aca="false">IF(N34="","",RANK(N34,N$2:N$151,0))</f>
        <v>143</v>
      </c>
      <c r="P34" s="6" t="n">
        <v>58</v>
      </c>
      <c r="Q34" s="5" t="n">
        <f aca="false">IF(P34="","",RANK(P34,P$2:P$151,0))</f>
        <v>140</v>
      </c>
      <c r="R34" s="6" t="n">
        <f aca="false">I34-YEAR(H34)</f>
        <v>18</v>
      </c>
      <c r="S34" s="5" t="n">
        <f aca="false">IF(R34="","",RANK(R34,R$2:R$151,0))</f>
        <v>56</v>
      </c>
      <c r="T34" s="6" t="n">
        <f aca="false">IF(J34="",2026,J34)-I34</f>
        <v>10</v>
      </c>
      <c r="U34" s="5" t="n">
        <f aca="false">IF(T34="","",RANK(T34,T$2:T$151,0))</f>
        <v>117</v>
      </c>
      <c r="V34" s="6" t="n">
        <v>0</v>
      </c>
      <c r="W34" s="5" t="n">
        <f aca="false">IF(V34="","",RANK(V34,V$2:V$151,0))</f>
        <v>82</v>
      </c>
      <c r="X34" s="6" t="n">
        <v>0</v>
      </c>
      <c r="Y34" s="5" t="n">
        <f aca="false">IF(X34="","",RANK(X34,X$2:X$151,0))</f>
        <v>65</v>
      </c>
      <c r="Z34" s="6" t="n">
        <v>0</v>
      </c>
      <c r="AA34" s="5" t="n">
        <f aca="false">IF(Z34="","",RANK(Z34,Z$2:Z$151,0))</f>
        <v>53</v>
      </c>
      <c r="AB34" s="6" t="n">
        <v>4</v>
      </c>
      <c r="AC34" s="5" t="n">
        <f aca="false">IF(AB34="","",RANK(AB34,AB$2:AB$151,0))</f>
        <v>52</v>
      </c>
      <c r="AD34" s="6" t="n">
        <f aca="false">IF(K34="","",K34-YEAR(H34))</f>
        <v>23</v>
      </c>
      <c r="AE34" s="5" t="n">
        <f aca="false">IF(AD34="","",RANK(AD34,AD$2:AD$151,0))</f>
        <v>61</v>
      </c>
      <c r="AF34" s="7" t="n">
        <v>2</v>
      </c>
      <c r="AG34" s="5" t="n">
        <f aca="false">IF(AF34="","",RANK(AF34,AF$2:AF$151,0))</f>
        <v>142</v>
      </c>
      <c r="AH34" s="7" t="n">
        <v>3</v>
      </c>
      <c r="AI34" s="5" t="n">
        <f aca="false">IF(AH34="","",RANK(AH34,AH$2:AH$151,0))</f>
        <v>145</v>
      </c>
      <c r="AJ34" s="4" t="n">
        <v>3</v>
      </c>
      <c r="AK34" s="5" t="n">
        <f aca="false">IF(AJ34="","",RANK(AJ34,AJ$2:AJ$151,0))</f>
        <v>85</v>
      </c>
      <c r="AL34" s="6" t="n">
        <v>0</v>
      </c>
      <c r="AM34" s="5" t="n">
        <f aca="false">IF(AL34="","",RANK(AL34,AL$2:AL$151,0))</f>
        <v>95</v>
      </c>
      <c r="AN34" s="6" t="n">
        <v>1</v>
      </c>
      <c r="AO34" s="5" t="n">
        <f aca="false">IF(AN34="","",RANK(AN34,AN$2:AN$151,0))</f>
        <v>11</v>
      </c>
    </row>
    <row r="35" customFormat="false" ht="15" hidden="false" customHeight="false" outlineLevel="0" collapsed="false">
      <c r="A35" s="2" t="n">
        <v>34</v>
      </c>
      <c r="B35" s="2" t="s">
        <v>107</v>
      </c>
      <c r="C35" s="2" t="s">
        <v>28</v>
      </c>
      <c r="D35" s="2" t="s">
        <v>108</v>
      </c>
      <c r="E35" s="2" t="s">
        <v>105</v>
      </c>
      <c r="F35" s="2" t="s">
        <v>67</v>
      </c>
      <c r="G35" s="2" t="s">
        <v>109</v>
      </c>
      <c r="H35" s="3" t="n">
        <v>31233</v>
      </c>
      <c r="I35" s="2" t="n">
        <v>2006</v>
      </c>
      <c r="J35" s="2" t="n">
        <v>2023</v>
      </c>
      <c r="K35" s="2" t="n">
        <v>2015</v>
      </c>
      <c r="L35" s="4" t="n">
        <f aca="false">ROUND((DATE(2026,9,1)-H35)/365.25,1)</f>
        <v>41.2</v>
      </c>
      <c r="M35" s="5" t="n">
        <f aca="false">IF(L35="","",RANK(L35,L$2:L$151,0))</f>
        <v>51</v>
      </c>
      <c r="N35" s="6" t="n">
        <v>170</v>
      </c>
      <c r="O35" s="5" t="n">
        <f aca="false">IF(N35="","",RANK(N35,N$2:N$151,0))</f>
        <v>128</v>
      </c>
      <c r="P35" s="6" t="n">
        <v>61</v>
      </c>
      <c r="Q35" s="5" t="n">
        <f aca="false">IF(P35="","",RANK(P35,P$2:P$151,0))</f>
        <v>128</v>
      </c>
      <c r="R35" s="6" t="n">
        <f aca="false">I35-YEAR(H35)</f>
        <v>21</v>
      </c>
      <c r="S35" s="5" t="n">
        <f aca="false">IF(R35="","",RANK(R35,R$2:R$151,0))</f>
        <v>23</v>
      </c>
      <c r="T35" s="6" t="n">
        <f aca="false">IF(J35="",2026,J35)-I35</f>
        <v>17</v>
      </c>
      <c r="U35" s="5" t="n">
        <f aca="false">IF(T35="","",RANK(T35,T$2:T$151,0))</f>
        <v>69</v>
      </c>
      <c r="V35" s="6" t="n">
        <v>3</v>
      </c>
      <c r="W35" s="5" t="n">
        <f aca="false">IF(V35="","",RANK(V35,V$2:V$151,0))</f>
        <v>22</v>
      </c>
      <c r="X35" s="6" t="n">
        <v>2</v>
      </c>
      <c r="Y35" s="5" t="n">
        <f aca="false">IF(X35="","",RANK(X35,X$2:X$151,0))</f>
        <v>31</v>
      </c>
      <c r="Z35" s="6" t="n">
        <v>1</v>
      </c>
      <c r="AA35" s="5" t="n">
        <f aca="false">IF(Z35="","",RANK(Z35,Z$2:Z$151,0))</f>
        <v>32</v>
      </c>
      <c r="AB35" s="6" t="n">
        <v>2</v>
      </c>
      <c r="AC35" s="5" t="n">
        <f aca="false">IF(AB35="","",RANK(AB35,AB$2:AB$151,0))</f>
        <v>85</v>
      </c>
      <c r="AD35" s="6" t="n">
        <f aca="false">IF(K35="","",K35-YEAR(H35))</f>
        <v>30</v>
      </c>
      <c r="AE35" s="5" t="n">
        <f aca="false">IF(AD35="","",RANK(AD35,AD$2:AD$151,0))</f>
        <v>10</v>
      </c>
      <c r="AF35" s="7" t="n">
        <v>3</v>
      </c>
      <c r="AG35" s="5" t="n">
        <f aca="false">IF(AF35="","",RANK(AF35,AF$2:AF$151,0))</f>
        <v>138</v>
      </c>
      <c r="AH35" s="7" t="n">
        <v>6</v>
      </c>
      <c r="AI35" s="5" t="n">
        <f aca="false">IF(AH35="","",RANK(AH35,AH$2:AH$151,0))</f>
        <v>136</v>
      </c>
      <c r="AJ35" s="4" t="n">
        <v>2</v>
      </c>
      <c r="AK35" s="5" t="n">
        <f aca="false">IF(AJ35="","",RANK(AJ35,AJ$2:AJ$151,0))</f>
        <v>94</v>
      </c>
      <c r="AL35" s="6" t="n">
        <v>0</v>
      </c>
      <c r="AM35" s="5" t="n">
        <f aca="false">IF(AL35="","",RANK(AL35,AL$2:AL$151,0))</f>
        <v>95</v>
      </c>
      <c r="AN35" s="6" t="n">
        <v>0</v>
      </c>
      <c r="AO35" s="5" t="n">
        <f aca="false">IF(AN35="","",RANK(AN35,AN$2:AN$151,0))</f>
        <v>22</v>
      </c>
    </row>
    <row r="36" customFormat="false" ht="15" hidden="false" customHeight="false" outlineLevel="0" collapsed="false">
      <c r="A36" s="2" t="n">
        <v>35</v>
      </c>
      <c r="B36" s="2" t="s">
        <v>110</v>
      </c>
      <c r="C36" s="2" t="s">
        <v>28</v>
      </c>
      <c r="D36" s="2" t="s">
        <v>108</v>
      </c>
      <c r="E36" s="2" t="s">
        <v>105</v>
      </c>
      <c r="F36" s="2" t="s">
        <v>67</v>
      </c>
      <c r="G36" s="2" t="s">
        <v>111</v>
      </c>
      <c r="H36" s="3" t="n">
        <v>32691</v>
      </c>
      <c r="I36" s="2" t="n">
        <v>2011</v>
      </c>
      <c r="J36" s="2" t="n">
        <v>2024</v>
      </c>
      <c r="K36" s="2" t="n">
        <v>2015</v>
      </c>
      <c r="L36" s="4" t="n">
        <f aca="false">ROUND((DATE(2026,9,1)-H36)/365.25,1)</f>
        <v>37.2</v>
      </c>
      <c r="M36" s="5" t="n">
        <f aca="false">IF(L36="","",RANK(L36,L$2:L$151,0))</f>
        <v>82</v>
      </c>
      <c r="N36" s="6" t="n">
        <v>170</v>
      </c>
      <c r="O36" s="5" t="n">
        <f aca="false">IF(N36="","",RANK(N36,N$2:N$151,0))</f>
        <v>128</v>
      </c>
      <c r="P36" s="6" t="n">
        <v>62</v>
      </c>
      <c r="Q36" s="5" t="n">
        <f aca="false">IF(P36="","",RANK(P36,P$2:P$151,0))</f>
        <v>126</v>
      </c>
      <c r="R36" s="6" t="n">
        <f aca="false">I36-YEAR(H36)</f>
        <v>22</v>
      </c>
      <c r="S36" s="5" t="n">
        <f aca="false">IF(R36="","",RANK(R36,R$2:R$151,0))</f>
        <v>9</v>
      </c>
      <c r="T36" s="6" t="n">
        <f aca="false">IF(J36="",2026,J36)-I36</f>
        <v>13</v>
      </c>
      <c r="U36" s="5" t="n">
        <f aca="false">IF(T36="","",RANK(T36,T$2:T$151,0))</f>
        <v>99</v>
      </c>
      <c r="V36" s="6" t="n">
        <v>3</v>
      </c>
      <c r="W36" s="5" t="n">
        <f aca="false">IF(V36="","",RANK(V36,V$2:V$151,0))</f>
        <v>22</v>
      </c>
      <c r="X36" s="6" t="n">
        <v>2</v>
      </c>
      <c r="Y36" s="5" t="n">
        <f aca="false">IF(X36="","",RANK(X36,X$2:X$151,0))</f>
        <v>31</v>
      </c>
      <c r="Z36" s="6" t="n">
        <v>1</v>
      </c>
      <c r="AA36" s="5" t="n">
        <f aca="false">IF(Z36="","",RANK(Z36,Z$2:Z$151,0))</f>
        <v>32</v>
      </c>
      <c r="AB36" s="6" t="n">
        <v>2</v>
      </c>
      <c r="AC36" s="5" t="n">
        <f aca="false">IF(AB36="","",RANK(AB36,AB$2:AB$151,0))</f>
        <v>85</v>
      </c>
      <c r="AD36" s="6" t="n">
        <f aca="false">IF(K36="","",K36-YEAR(H36))</f>
        <v>26</v>
      </c>
      <c r="AE36" s="5" t="n">
        <f aca="false">IF(AD36="","",RANK(AD36,AD$2:AD$151,0))</f>
        <v>40</v>
      </c>
      <c r="AF36" s="7" t="n">
        <v>4</v>
      </c>
      <c r="AG36" s="5" t="n">
        <f aca="false">IF(AF36="","",RANK(AF36,AF$2:AF$151,0))</f>
        <v>136</v>
      </c>
      <c r="AH36" s="7" t="n">
        <v>12</v>
      </c>
      <c r="AI36" s="5" t="n">
        <f aca="false">IF(AH36="","",RANK(AH36,AH$2:AH$151,0))</f>
        <v>120</v>
      </c>
      <c r="AJ36" s="4" t="n">
        <v>10</v>
      </c>
      <c r="AK36" s="5" t="n">
        <f aca="false">IF(AJ36="","",RANK(AJ36,AJ$2:AJ$151,0))</f>
        <v>61</v>
      </c>
      <c r="AL36" s="6" t="n">
        <v>2</v>
      </c>
      <c r="AM36" s="5" t="n">
        <f aca="false">IF(AL36="","",RANK(AL36,AL$2:AL$151,0))</f>
        <v>49</v>
      </c>
      <c r="AN36" s="6" t="n">
        <v>0</v>
      </c>
      <c r="AO36" s="5" t="n">
        <f aca="false">IF(AN36="","",RANK(AN36,AN$2:AN$151,0))</f>
        <v>22</v>
      </c>
    </row>
    <row r="37" customFormat="false" ht="15" hidden="false" customHeight="false" outlineLevel="0" collapsed="false">
      <c r="A37" s="2" t="n">
        <v>36</v>
      </c>
      <c r="B37" s="2" t="s">
        <v>112</v>
      </c>
      <c r="C37" s="2" t="s">
        <v>28</v>
      </c>
      <c r="D37" s="2" t="s">
        <v>37</v>
      </c>
      <c r="E37" s="2" t="s">
        <v>105</v>
      </c>
      <c r="F37" s="2" t="s">
        <v>31</v>
      </c>
      <c r="G37" s="2" t="s">
        <v>113</v>
      </c>
      <c r="H37" s="3" t="n">
        <v>31462</v>
      </c>
      <c r="I37" s="2" t="n">
        <v>2002</v>
      </c>
      <c r="J37" s="2"/>
      <c r="K37" s="2" t="n">
        <v>2004</v>
      </c>
      <c r="L37" s="4" t="n">
        <f aca="false">ROUND((DATE(2026,9,1)-H37)/365.25,1)</f>
        <v>40.5</v>
      </c>
      <c r="M37" s="5" t="n">
        <f aca="false">IF(L37="","",RANK(L37,L$2:L$151,0))</f>
        <v>56</v>
      </c>
      <c r="N37" s="6" t="n">
        <v>162</v>
      </c>
      <c r="O37" s="5" t="n">
        <f aca="false">IF(N37="","",RANK(N37,N$2:N$151,0))</f>
        <v>143</v>
      </c>
      <c r="P37" s="6" t="n">
        <v>57</v>
      </c>
      <c r="Q37" s="5" t="n">
        <f aca="false">IF(P37="","",RANK(P37,P$2:P$151,0))</f>
        <v>142</v>
      </c>
      <c r="R37" s="6" t="n">
        <f aca="false">I37-YEAR(H37)</f>
        <v>16</v>
      </c>
      <c r="S37" s="5" t="n">
        <f aca="false">IF(R37="","",RANK(R37,R$2:R$151,0))</f>
        <v>109</v>
      </c>
      <c r="T37" s="6" t="n">
        <f aca="false">IF(J37="",2026,J37)-I37</f>
        <v>24</v>
      </c>
      <c r="U37" s="5" t="n">
        <f aca="false">IF(T37="","",RANK(T37,T$2:T$151,0))</f>
        <v>16</v>
      </c>
      <c r="V37" s="6" t="n">
        <v>6</v>
      </c>
      <c r="W37" s="5" t="n">
        <f aca="false">IF(V37="","",RANK(V37,V$2:V$151,0))</f>
        <v>1</v>
      </c>
      <c r="X37" s="6" t="n">
        <v>3</v>
      </c>
      <c r="Y37" s="5" t="n">
        <f aca="false">IF(X37="","",RANK(X37,X$2:X$151,0))</f>
        <v>23</v>
      </c>
      <c r="Z37" s="6" t="n">
        <v>0</v>
      </c>
      <c r="AA37" s="5" t="n">
        <f aca="false">IF(Z37="","",RANK(Z37,Z$2:Z$151,0))</f>
        <v>53</v>
      </c>
      <c r="AB37" s="6" t="n">
        <v>1</v>
      </c>
      <c r="AC37" s="5" t="n">
        <f aca="false">IF(AB37="","",RANK(AB37,AB$2:AB$151,0))</f>
        <v>106</v>
      </c>
      <c r="AD37" s="6" t="n">
        <f aca="false">IF(K37="","",K37-YEAR(H37))</f>
        <v>18</v>
      </c>
      <c r="AE37" s="5" t="n">
        <f aca="false">IF(AD37="","",RANK(AD37,AD$2:AD$151,0))</f>
        <v>119</v>
      </c>
      <c r="AF37" s="7" t="n">
        <v>4</v>
      </c>
      <c r="AG37" s="5" t="n">
        <f aca="false">IF(AF37="","",RANK(AF37,AF$2:AF$151,0))</f>
        <v>136</v>
      </c>
      <c r="AH37" s="7" t="n">
        <v>3</v>
      </c>
      <c r="AI37" s="5" t="n">
        <f aca="false">IF(AH37="","",RANK(AH37,AH$2:AH$151,0))</f>
        <v>145</v>
      </c>
      <c r="AJ37" s="4" t="n">
        <v>4</v>
      </c>
      <c r="AK37" s="5" t="n">
        <f aca="false">IF(AJ37="","",RANK(AJ37,AJ$2:AJ$151,0))</f>
        <v>76</v>
      </c>
      <c r="AL37" s="6" t="n">
        <v>0</v>
      </c>
      <c r="AM37" s="5" t="n">
        <f aca="false">IF(AL37="","",RANK(AL37,AL$2:AL$151,0))</f>
        <v>95</v>
      </c>
      <c r="AN37" s="6" t="n">
        <v>0</v>
      </c>
      <c r="AO37" s="5" t="n">
        <f aca="false">IF(AN37="","",RANK(AN37,AN$2:AN$151,0))</f>
        <v>22</v>
      </c>
    </row>
    <row r="38" customFormat="false" ht="15" hidden="false" customHeight="false" outlineLevel="0" collapsed="false">
      <c r="A38" s="2" t="n">
        <v>37</v>
      </c>
      <c r="B38" s="2" t="s">
        <v>114</v>
      </c>
      <c r="C38" s="2" t="s">
        <v>28</v>
      </c>
      <c r="D38" s="2" t="s">
        <v>115</v>
      </c>
      <c r="E38" s="2" t="s">
        <v>105</v>
      </c>
      <c r="F38" s="2" t="s">
        <v>31</v>
      </c>
      <c r="G38" s="2" t="s">
        <v>116</v>
      </c>
      <c r="H38" s="3" t="n">
        <v>34222</v>
      </c>
      <c r="I38" s="2" t="n">
        <v>2008</v>
      </c>
      <c r="J38" s="2"/>
      <c r="K38" s="2"/>
      <c r="L38" s="4" t="n">
        <f aca="false">ROUND((DATE(2026,9,1)-H38)/365.25,1)</f>
        <v>33</v>
      </c>
      <c r="M38" s="5" t="n">
        <f aca="false">IF(L38="","",RANK(L38,L$2:L$151,0))</f>
        <v>98</v>
      </c>
      <c r="N38" s="6" t="n">
        <v>167</v>
      </c>
      <c r="O38" s="5" t="n">
        <f aca="false">IF(N38="","",RANK(N38,N$2:N$151,0))</f>
        <v>138</v>
      </c>
      <c r="P38" s="6" t="n">
        <v>64</v>
      </c>
      <c r="Q38" s="5" t="n">
        <f aca="false">IF(P38="","",RANK(P38,P$2:P$151,0))</f>
        <v>122</v>
      </c>
      <c r="R38" s="6" t="n">
        <f aca="false">I38-YEAR(H38)</f>
        <v>15</v>
      </c>
      <c r="S38" s="5" t="n">
        <f aca="false">IF(R38="","",RANK(R38,R$2:R$151,0))</f>
        <v>130</v>
      </c>
      <c r="T38" s="6" t="n">
        <f aca="false">IF(J38="",2026,J38)-I38</f>
        <v>18</v>
      </c>
      <c r="U38" s="5" t="n">
        <f aca="false">IF(T38="","",RANK(T38,T$2:T$151,0))</f>
        <v>61</v>
      </c>
      <c r="V38" s="6" t="n">
        <v>2</v>
      </c>
      <c r="W38" s="5" t="n">
        <f aca="false">IF(V38="","",RANK(V38,V$2:V$151,0))</f>
        <v>33</v>
      </c>
      <c r="X38" s="6" t="n">
        <v>0</v>
      </c>
      <c r="Y38" s="5" t="n">
        <f aca="false">IF(X38="","",RANK(X38,X$2:X$151,0))</f>
        <v>65</v>
      </c>
      <c r="Z38" s="6" t="n">
        <v>0</v>
      </c>
      <c r="AA38" s="5" t="n">
        <f aca="false">IF(Z38="","",RANK(Z38,Z$2:Z$151,0))</f>
        <v>53</v>
      </c>
      <c r="AB38" s="6" t="n">
        <v>0</v>
      </c>
      <c r="AC38" s="5" t="n">
        <f aca="false">IF(AB38="","",RANK(AB38,AB$2:AB$151,0))</f>
        <v>135</v>
      </c>
      <c r="AD38" s="6" t="str">
        <f aca="false">IF(K38="","",K38-YEAR(H38))</f>
        <v/>
      </c>
      <c r="AE38" s="5" t="str">
        <f aca="false">IF(AD38="","",RANK(AD38,AD$2:AD$151,0))</f>
        <v/>
      </c>
      <c r="AF38" s="7" t="n">
        <v>3</v>
      </c>
      <c r="AG38" s="5" t="n">
        <f aca="false">IF(AF38="","",RANK(AF38,AF$2:AF$151,0))</f>
        <v>138</v>
      </c>
      <c r="AH38" s="7" t="n">
        <v>5</v>
      </c>
      <c r="AI38" s="5" t="n">
        <f aca="false">IF(AH38="","",RANK(AH38,AH$2:AH$151,0))</f>
        <v>137</v>
      </c>
      <c r="AJ38" s="4" t="n">
        <v>2</v>
      </c>
      <c r="AK38" s="5" t="n">
        <f aca="false">IF(AJ38="","",RANK(AJ38,AJ$2:AJ$151,0))</f>
        <v>94</v>
      </c>
      <c r="AL38" s="6" t="n">
        <v>1</v>
      </c>
      <c r="AM38" s="5" t="n">
        <f aca="false">IF(AL38="","",RANK(AL38,AL$2:AL$151,0))</f>
        <v>77</v>
      </c>
      <c r="AN38" s="6" t="n">
        <v>0</v>
      </c>
      <c r="AO38" s="5" t="n">
        <f aca="false">IF(AN38="","",RANK(AN38,AN$2:AN$151,0))</f>
        <v>22</v>
      </c>
    </row>
    <row r="39" customFormat="false" ht="15" hidden="false" customHeight="false" outlineLevel="0" collapsed="false">
      <c r="A39" s="2" t="n">
        <v>38</v>
      </c>
      <c r="B39" s="2" t="s">
        <v>117</v>
      </c>
      <c r="C39" s="2" t="s">
        <v>118</v>
      </c>
      <c r="D39" s="2" t="s">
        <v>108</v>
      </c>
      <c r="E39" s="2" t="s">
        <v>30</v>
      </c>
      <c r="F39" s="2" t="s">
        <v>31</v>
      </c>
      <c r="G39" s="2" t="s">
        <v>119</v>
      </c>
      <c r="H39" s="3" t="n">
        <v>31046</v>
      </c>
      <c r="I39" s="2" t="n">
        <v>2003</v>
      </c>
      <c r="J39" s="2"/>
      <c r="K39" s="2" t="n">
        <v>2012</v>
      </c>
      <c r="L39" s="4" t="n">
        <f aca="false">ROUND((DATE(2026,9,1)-H39)/365.25,1)</f>
        <v>41.7</v>
      </c>
      <c r="M39" s="5" t="n">
        <f aca="false">IF(L39="","",RANK(L39,L$2:L$151,0))</f>
        <v>48</v>
      </c>
      <c r="N39" s="6" t="n">
        <v>206</v>
      </c>
      <c r="O39" s="5" t="n">
        <f aca="false">IF(N39="","",RANK(N39,N$2:N$151,0))</f>
        <v>8</v>
      </c>
      <c r="P39" s="6" t="n">
        <v>113</v>
      </c>
      <c r="Q39" s="5" t="n">
        <f aca="false">IF(P39="","",RANK(P39,P$2:P$151,0))</f>
        <v>6</v>
      </c>
      <c r="R39" s="6" t="n">
        <f aca="false">I39-YEAR(H39)</f>
        <v>19</v>
      </c>
      <c r="S39" s="5" t="n">
        <f aca="false">IF(R39="","",RANK(R39,R$2:R$151,0))</f>
        <v>43</v>
      </c>
      <c r="T39" s="6" t="n">
        <f aca="false">IF(J39="",2026,J39)-I39</f>
        <v>23</v>
      </c>
      <c r="U39" s="5" t="n">
        <f aca="false">IF(T39="","",RANK(T39,T$2:T$151,0))</f>
        <v>20</v>
      </c>
      <c r="V39" s="6" t="n">
        <v>4</v>
      </c>
      <c r="W39" s="5" t="n">
        <f aca="false">IF(V39="","",RANK(V39,V$2:V$151,0))</f>
        <v>14</v>
      </c>
      <c r="X39" s="6" t="n">
        <v>4</v>
      </c>
      <c r="Y39" s="5" t="n">
        <f aca="false">IF(X39="","",RANK(X39,X$2:X$151,0))</f>
        <v>14</v>
      </c>
      <c r="Z39" s="6" t="n">
        <v>3</v>
      </c>
      <c r="AA39" s="5" t="n">
        <f aca="false">IF(Z39="","",RANK(Z39,Z$2:Z$151,0))</f>
        <v>15</v>
      </c>
      <c r="AB39" s="6" t="n">
        <v>4</v>
      </c>
      <c r="AC39" s="5" t="n">
        <f aca="false">IF(AB39="","",RANK(AB39,AB$2:AB$151,0))</f>
        <v>52</v>
      </c>
      <c r="AD39" s="6" t="n">
        <f aca="false">IF(K39="","",K39-YEAR(H39))</f>
        <v>28</v>
      </c>
      <c r="AE39" s="5" t="n">
        <f aca="false">IF(AD39="","",RANK(AD39,AD$2:AD$151,0))</f>
        <v>16</v>
      </c>
      <c r="AF39" s="7" t="n">
        <v>530</v>
      </c>
      <c r="AG39" s="5" t="n">
        <f aca="false">IF(AF39="","",RANK(AF39,AF$2:AF$151,0))</f>
        <v>6</v>
      </c>
      <c r="AH39" s="7" t="n">
        <v>1300</v>
      </c>
      <c r="AI39" s="5" t="n">
        <f aca="false">IF(AH39="","",RANK(AH39,AH$2:AH$151,0))</f>
        <v>4</v>
      </c>
      <c r="AJ39" s="4" t="n">
        <v>160</v>
      </c>
      <c r="AK39" s="5" t="n">
        <f aca="false">IF(AJ39="","",RANK(AJ39,AJ$2:AJ$151,0))</f>
        <v>5</v>
      </c>
      <c r="AL39" s="6" t="n">
        <v>3</v>
      </c>
      <c r="AM39" s="5" t="n">
        <f aca="false">IF(AL39="","",RANK(AL39,AL$2:AL$151,0))</f>
        <v>27</v>
      </c>
      <c r="AN39" s="6" t="n">
        <v>0</v>
      </c>
      <c r="AO39" s="5" t="n">
        <f aca="false">IF(AN39="","",RANK(AN39,AN$2:AN$151,0))</f>
        <v>22</v>
      </c>
    </row>
    <row r="40" customFormat="false" ht="15" hidden="false" customHeight="false" outlineLevel="0" collapsed="false">
      <c r="A40" s="2" t="n">
        <v>39</v>
      </c>
      <c r="B40" s="2" t="s">
        <v>120</v>
      </c>
      <c r="C40" s="2" t="s">
        <v>118</v>
      </c>
      <c r="D40" s="2" t="s">
        <v>108</v>
      </c>
      <c r="E40" s="2" t="s">
        <v>30</v>
      </c>
      <c r="F40" s="2" t="s">
        <v>31</v>
      </c>
      <c r="G40" s="2" t="s">
        <v>121</v>
      </c>
      <c r="H40" s="3" t="n">
        <v>32216</v>
      </c>
      <c r="I40" s="2" t="n">
        <v>2009</v>
      </c>
      <c r="J40" s="2"/>
      <c r="K40" s="2" t="n">
        <v>2015</v>
      </c>
      <c r="L40" s="4" t="n">
        <f aca="false">ROUND((DATE(2026,9,1)-H40)/365.25,1)</f>
        <v>38.5</v>
      </c>
      <c r="M40" s="5" t="n">
        <f aca="false">IF(L40="","",RANK(L40,L$2:L$151,0))</f>
        <v>74</v>
      </c>
      <c r="N40" s="6" t="n">
        <v>188</v>
      </c>
      <c r="O40" s="5" t="n">
        <f aca="false">IF(N40="","",RANK(N40,N$2:N$151,0))</f>
        <v>40</v>
      </c>
      <c r="P40" s="6" t="n">
        <v>84</v>
      </c>
      <c r="Q40" s="5" t="n">
        <f aca="false">IF(P40="","",RANK(P40,P$2:P$151,0))</f>
        <v>52</v>
      </c>
      <c r="R40" s="6" t="n">
        <f aca="false">I40-YEAR(H40)</f>
        <v>21</v>
      </c>
      <c r="S40" s="5" t="n">
        <f aca="false">IF(R40="","",RANK(R40,R$2:R$151,0))</f>
        <v>23</v>
      </c>
      <c r="T40" s="6" t="n">
        <f aca="false">IF(J40="",2026,J40)-I40</f>
        <v>17</v>
      </c>
      <c r="U40" s="5" t="n">
        <f aca="false">IF(T40="","",RANK(T40,T$2:T$151,0))</f>
        <v>69</v>
      </c>
      <c r="V40" s="6" t="n">
        <v>1</v>
      </c>
      <c r="W40" s="5" t="n">
        <f aca="false">IF(V40="","",RANK(V40,V$2:V$151,0))</f>
        <v>54</v>
      </c>
      <c r="X40" s="6" t="n">
        <v>1</v>
      </c>
      <c r="Y40" s="5" t="n">
        <f aca="false">IF(X40="","",RANK(X40,X$2:X$151,0))</f>
        <v>45</v>
      </c>
      <c r="Z40" s="6" t="n">
        <v>1</v>
      </c>
      <c r="AA40" s="5" t="n">
        <f aca="false">IF(Z40="","",RANK(Z40,Z$2:Z$151,0))</f>
        <v>32</v>
      </c>
      <c r="AB40" s="6" t="n">
        <v>4</v>
      </c>
      <c r="AC40" s="5" t="n">
        <f aca="false">IF(AB40="","",RANK(AB40,AB$2:AB$151,0))</f>
        <v>52</v>
      </c>
      <c r="AD40" s="6" t="n">
        <f aca="false">IF(K40="","",K40-YEAR(H40))</f>
        <v>27</v>
      </c>
      <c r="AE40" s="5" t="n">
        <f aca="false">IF(AD40="","",RANK(AD40,AD$2:AD$151,0))</f>
        <v>27</v>
      </c>
      <c r="AF40" s="7" t="n">
        <v>480</v>
      </c>
      <c r="AG40" s="5" t="n">
        <f aca="false">IF(AF40="","",RANK(AF40,AF$2:AF$151,0))</f>
        <v>11</v>
      </c>
      <c r="AH40" s="7" t="n">
        <v>250</v>
      </c>
      <c r="AI40" s="5" t="n">
        <f aca="false">IF(AH40="","",RANK(AH40,AH$2:AH$151,0))</f>
        <v>22</v>
      </c>
      <c r="AJ40" s="4" t="n">
        <v>55</v>
      </c>
      <c r="AK40" s="5" t="n">
        <f aca="false">IF(AJ40="","",RANK(AJ40,AJ$2:AJ$151,0))</f>
        <v>14</v>
      </c>
      <c r="AL40" s="6" t="n">
        <v>4</v>
      </c>
      <c r="AM40" s="5" t="n">
        <f aca="false">IF(AL40="","",RANK(AL40,AL$2:AL$151,0))</f>
        <v>12</v>
      </c>
      <c r="AN40" s="6" t="n">
        <v>0</v>
      </c>
      <c r="AO40" s="5" t="n">
        <f aca="false">IF(AN40="","",RANK(AN40,AN$2:AN$151,0))</f>
        <v>22</v>
      </c>
    </row>
    <row r="41" customFormat="false" ht="15" hidden="false" customHeight="false" outlineLevel="0" collapsed="false">
      <c r="A41" s="2" t="n">
        <v>40</v>
      </c>
      <c r="B41" s="2" t="s">
        <v>122</v>
      </c>
      <c r="C41" s="2" t="s">
        <v>118</v>
      </c>
      <c r="D41" s="2" t="s">
        <v>108</v>
      </c>
      <c r="E41" s="2" t="s">
        <v>30</v>
      </c>
      <c r="F41" s="2" t="s">
        <v>67</v>
      </c>
      <c r="G41" s="2" t="s">
        <v>123</v>
      </c>
      <c r="H41" s="3" t="n">
        <v>23059</v>
      </c>
      <c r="I41" s="2" t="n">
        <v>1984</v>
      </c>
      <c r="J41" s="2" t="n">
        <v>2003</v>
      </c>
      <c r="K41" s="2" t="n">
        <v>1991</v>
      </c>
      <c r="L41" s="4" t="n">
        <f aca="false">ROUND((DATE(2026,9,1)-H41)/365.25,1)</f>
        <v>63.5</v>
      </c>
      <c r="M41" s="5" t="n">
        <f aca="false">IF(L41="","",RANK(L41,L$2:L$151,0))</f>
        <v>6</v>
      </c>
      <c r="N41" s="6" t="n">
        <v>198</v>
      </c>
      <c r="O41" s="5" t="n">
        <f aca="false">IF(N41="","",RANK(N41,N$2:N$151,0))</f>
        <v>13</v>
      </c>
      <c r="P41" s="6" t="n">
        <v>98</v>
      </c>
      <c r="Q41" s="5" t="n">
        <f aca="false">IF(P41="","",RANK(P41,P$2:P$151,0))</f>
        <v>27</v>
      </c>
      <c r="R41" s="6" t="n">
        <f aca="false">I41-YEAR(H41)</f>
        <v>21</v>
      </c>
      <c r="S41" s="5" t="n">
        <f aca="false">IF(R41="","",RANK(R41,R$2:R$151,0))</f>
        <v>23</v>
      </c>
      <c r="T41" s="6" t="n">
        <f aca="false">IF(J41="",2026,J41)-I41</f>
        <v>19</v>
      </c>
      <c r="U41" s="5" t="n">
        <f aca="false">IF(T41="","",RANK(T41,T$2:T$151,0))</f>
        <v>51</v>
      </c>
      <c r="V41" s="6" t="n">
        <v>2</v>
      </c>
      <c r="W41" s="5" t="n">
        <f aca="false">IF(V41="","",RANK(V41,V$2:V$151,0))</f>
        <v>33</v>
      </c>
      <c r="X41" s="6" t="n">
        <v>2</v>
      </c>
      <c r="Y41" s="5" t="n">
        <f aca="false">IF(X41="","",RANK(X41,X$2:X$151,0))</f>
        <v>31</v>
      </c>
      <c r="Z41" s="6" t="n">
        <v>2</v>
      </c>
      <c r="AA41" s="5" t="n">
        <f aca="false">IF(Z41="","",RANK(Z41,Z$2:Z$151,0))</f>
        <v>21</v>
      </c>
      <c r="AB41" s="6" t="n">
        <v>6</v>
      </c>
      <c r="AC41" s="5" t="n">
        <f aca="false">IF(AB41="","",RANK(AB41,AB$2:AB$151,0))</f>
        <v>35</v>
      </c>
      <c r="AD41" s="6" t="n">
        <f aca="false">IF(K41="","",K41-YEAR(H41))</f>
        <v>28</v>
      </c>
      <c r="AE41" s="5" t="n">
        <f aca="false">IF(AD41="","",RANK(AD41,AD$2:AD$151,0))</f>
        <v>16</v>
      </c>
      <c r="AF41" s="7" t="n">
        <v>94</v>
      </c>
      <c r="AG41" s="5" t="n">
        <f aca="false">IF(AF41="","",RANK(AF41,AF$2:AF$151,0))</f>
        <v>78</v>
      </c>
      <c r="AH41" s="7" t="n">
        <v>3500</v>
      </c>
      <c r="AI41" s="5" t="n">
        <f aca="false">IF(AH41="","",RANK(AH41,AH$2:AH$151,0))</f>
        <v>1</v>
      </c>
      <c r="AJ41" s="4"/>
      <c r="AK41" s="5" t="str">
        <f aca="false">IF(AJ41="","",RANK(AJ41,AJ$2:AJ$151,0))</f>
        <v/>
      </c>
      <c r="AL41" s="6" t="n">
        <v>5</v>
      </c>
      <c r="AM41" s="5" t="n">
        <f aca="false">IF(AL41="","",RANK(AL41,AL$2:AL$151,0))</f>
        <v>4</v>
      </c>
      <c r="AN41" s="6" t="n">
        <v>0</v>
      </c>
      <c r="AO41" s="5" t="n">
        <f aca="false">IF(AN41="","",RANK(AN41,AN$2:AN$151,0))</f>
        <v>22</v>
      </c>
    </row>
    <row r="42" customFormat="false" ht="15" hidden="false" customHeight="false" outlineLevel="0" collapsed="false">
      <c r="A42" s="2" t="n">
        <v>41</v>
      </c>
      <c r="B42" s="2" t="s">
        <v>124</v>
      </c>
      <c r="C42" s="2" t="s">
        <v>118</v>
      </c>
      <c r="D42" s="2" t="s">
        <v>108</v>
      </c>
      <c r="E42" s="2" t="s">
        <v>30</v>
      </c>
      <c r="F42" s="2" t="s">
        <v>31</v>
      </c>
      <c r="G42" s="2" t="s">
        <v>41</v>
      </c>
      <c r="H42" s="3" t="n">
        <v>32415</v>
      </c>
      <c r="I42" s="2" t="n">
        <v>2007</v>
      </c>
      <c r="J42" s="2"/>
      <c r="K42" s="2" t="n">
        <v>2017</v>
      </c>
      <c r="L42" s="4" t="n">
        <f aca="false">ROUND((DATE(2026,9,1)-H42)/365.25,1)</f>
        <v>37.9</v>
      </c>
      <c r="M42" s="5" t="n">
        <f aca="false">IF(L42="","",RANK(L42,L$2:L$151,0))</f>
        <v>78</v>
      </c>
      <c r="N42" s="6" t="n">
        <v>211</v>
      </c>
      <c r="O42" s="5" t="n">
        <f aca="false">IF(N42="","",RANK(N42,N$2:N$151,0))</f>
        <v>5</v>
      </c>
      <c r="P42" s="6" t="n">
        <v>109</v>
      </c>
      <c r="Q42" s="5" t="n">
        <f aca="false">IF(P42="","",RANK(P42,P$2:P$151,0))</f>
        <v>11</v>
      </c>
      <c r="R42" s="6" t="n">
        <f aca="false">I42-YEAR(H42)</f>
        <v>19</v>
      </c>
      <c r="S42" s="5" t="n">
        <f aca="false">IF(R42="","",RANK(R42,R$2:R$151,0))</f>
        <v>43</v>
      </c>
      <c r="T42" s="6" t="n">
        <f aca="false">IF(J42="",2026,J42)-I42</f>
        <v>19</v>
      </c>
      <c r="U42" s="5" t="n">
        <f aca="false">IF(T42="","",RANK(T42,T$2:T$151,0))</f>
        <v>51</v>
      </c>
      <c r="V42" s="6" t="n">
        <v>4</v>
      </c>
      <c r="W42" s="5" t="n">
        <f aca="false">IF(V42="","",RANK(V42,V$2:V$151,0))</f>
        <v>14</v>
      </c>
      <c r="X42" s="6" t="n">
        <v>4</v>
      </c>
      <c r="Y42" s="5" t="n">
        <f aca="false">IF(X42="","",RANK(X42,X$2:X$151,0))</f>
        <v>14</v>
      </c>
      <c r="Z42" s="6" t="n">
        <v>4</v>
      </c>
      <c r="AA42" s="5" t="n">
        <f aca="false">IF(Z42="","",RANK(Z42,Z$2:Z$151,0))</f>
        <v>9</v>
      </c>
      <c r="AB42" s="6" t="n">
        <v>2</v>
      </c>
      <c r="AC42" s="5" t="n">
        <f aca="false">IF(AB42="","",RANK(AB42,AB$2:AB$151,0))</f>
        <v>85</v>
      </c>
      <c r="AD42" s="6" t="n">
        <f aca="false">IF(K42="","",K42-YEAR(H42))</f>
        <v>29</v>
      </c>
      <c r="AE42" s="5" t="n">
        <f aca="false">IF(AD42="","",RANK(AD42,AD$2:AD$151,0))</f>
        <v>13</v>
      </c>
      <c r="AF42" s="7" t="n">
        <v>500</v>
      </c>
      <c r="AG42" s="5" t="n">
        <f aca="false">IF(AF42="","",RANK(AF42,AF$2:AF$151,0))</f>
        <v>7</v>
      </c>
      <c r="AH42" s="7" t="n">
        <v>300</v>
      </c>
      <c r="AI42" s="5" t="n">
        <f aca="false">IF(AH42="","",RANK(AH42,AH$2:AH$151,0))</f>
        <v>17</v>
      </c>
      <c r="AJ42" s="4" t="n">
        <v>13</v>
      </c>
      <c r="AK42" s="5" t="n">
        <f aca="false">IF(AJ42="","",RANK(AJ42,AJ$2:AJ$151,0))</f>
        <v>53</v>
      </c>
      <c r="AL42" s="6" t="n">
        <v>0</v>
      </c>
      <c r="AM42" s="5" t="n">
        <f aca="false">IF(AL42="","",RANK(AL42,AL$2:AL$151,0))</f>
        <v>95</v>
      </c>
      <c r="AN42" s="6" t="n">
        <v>0</v>
      </c>
      <c r="AO42" s="5" t="n">
        <f aca="false">IF(AN42="","",RANK(AN42,AN$2:AN$151,0))</f>
        <v>22</v>
      </c>
    </row>
    <row r="43" customFormat="false" ht="15" hidden="false" customHeight="false" outlineLevel="0" collapsed="false">
      <c r="A43" s="2" t="n">
        <v>42</v>
      </c>
      <c r="B43" s="2" t="s">
        <v>125</v>
      </c>
      <c r="C43" s="2" t="s">
        <v>118</v>
      </c>
      <c r="D43" s="2" t="s">
        <v>126</v>
      </c>
      <c r="E43" s="2" t="s">
        <v>30</v>
      </c>
      <c r="F43" s="2" t="s">
        <v>31</v>
      </c>
      <c r="G43" s="2" t="s">
        <v>127</v>
      </c>
      <c r="H43" s="3" t="n">
        <v>34674</v>
      </c>
      <c r="I43" s="2" t="n">
        <v>2013</v>
      </c>
      <c r="J43" s="2"/>
      <c r="K43" s="2" t="n">
        <v>2021</v>
      </c>
      <c r="L43" s="4" t="n">
        <f aca="false">ROUND((DATE(2026,9,1)-H43)/365.25,1)</f>
        <v>31.7</v>
      </c>
      <c r="M43" s="5" t="n">
        <f aca="false">IF(L43="","",RANK(L43,L$2:L$151,0))</f>
        <v>106</v>
      </c>
      <c r="N43" s="6" t="n">
        <v>211</v>
      </c>
      <c r="O43" s="5" t="n">
        <f aca="false">IF(N43="","",RANK(N43,N$2:N$151,0))</f>
        <v>5</v>
      </c>
      <c r="P43" s="6" t="n">
        <v>110</v>
      </c>
      <c r="Q43" s="5" t="n">
        <f aca="false">IF(P43="","",RANK(P43,P$2:P$151,0))</f>
        <v>10</v>
      </c>
      <c r="R43" s="6" t="n">
        <f aca="false">I43-YEAR(H43)</f>
        <v>19</v>
      </c>
      <c r="S43" s="5" t="n">
        <f aca="false">IF(R43="","",RANK(R43,R$2:R$151,0))</f>
        <v>43</v>
      </c>
      <c r="T43" s="6" t="n">
        <f aca="false">IF(J43="",2026,J43)-I43</f>
        <v>13</v>
      </c>
      <c r="U43" s="5" t="n">
        <f aca="false">IF(T43="","",RANK(T43,T$2:T$151,0))</f>
        <v>99</v>
      </c>
      <c r="V43" s="6" t="n">
        <v>1</v>
      </c>
      <c r="W43" s="5" t="n">
        <f aca="false">IF(V43="","",RANK(V43,V$2:V$151,0))</f>
        <v>54</v>
      </c>
      <c r="X43" s="6" t="n">
        <v>0</v>
      </c>
      <c r="Y43" s="5" t="n">
        <f aca="false">IF(X43="","",RANK(X43,X$2:X$151,0))</f>
        <v>65</v>
      </c>
      <c r="Z43" s="6" t="n">
        <v>0</v>
      </c>
      <c r="AA43" s="5" t="n">
        <f aca="false">IF(Z43="","",RANK(Z43,Z$2:Z$151,0))</f>
        <v>53</v>
      </c>
      <c r="AB43" s="6" t="n">
        <v>1</v>
      </c>
      <c r="AC43" s="5" t="n">
        <f aca="false">IF(AB43="","",RANK(AB43,AB$2:AB$151,0))</f>
        <v>106</v>
      </c>
      <c r="AD43" s="6" t="n">
        <f aca="false">IF(K43="","",K43-YEAR(H43))</f>
        <v>27</v>
      </c>
      <c r="AE43" s="5" t="n">
        <f aca="false">IF(AD43="","",RANK(AD43,AD$2:AD$151,0))</f>
        <v>27</v>
      </c>
      <c r="AF43" s="7" t="n">
        <v>320</v>
      </c>
      <c r="AG43" s="5" t="n">
        <f aca="false">IF(AF43="","",RANK(AF43,AF$2:AF$151,0))</f>
        <v>24</v>
      </c>
      <c r="AH43" s="7" t="n">
        <v>120</v>
      </c>
      <c r="AI43" s="5" t="n">
        <f aca="false">IF(AH43="","",RANK(AH43,AH$2:AH$151,0))</f>
        <v>54</v>
      </c>
      <c r="AJ43" s="4" t="n">
        <v>15</v>
      </c>
      <c r="AK43" s="5" t="n">
        <f aca="false">IF(AJ43="","",RANK(AJ43,AJ$2:AJ$151,0))</f>
        <v>48</v>
      </c>
      <c r="AL43" s="6" t="n">
        <v>4</v>
      </c>
      <c r="AM43" s="5" t="n">
        <f aca="false">IF(AL43="","",RANK(AL43,AL$2:AL$151,0))</f>
        <v>12</v>
      </c>
      <c r="AN43" s="6" t="n">
        <v>0</v>
      </c>
      <c r="AO43" s="5" t="n">
        <f aca="false">IF(AN43="","",RANK(AN43,AN$2:AN$151,0))</f>
        <v>22</v>
      </c>
    </row>
    <row r="44" customFormat="false" ht="15" hidden="false" customHeight="false" outlineLevel="0" collapsed="false">
      <c r="A44" s="2" t="n">
        <v>43</v>
      </c>
      <c r="B44" s="2" t="s">
        <v>128</v>
      </c>
      <c r="C44" s="2" t="s">
        <v>118</v>
      </c>
      <c r="D44" s="2" t="s">
        <v>129</v>
      </c>
      <c r="E44" s="2" t="s">
        <v>30</v>
      </c>
      <c r="F44" s="2" t="s">
        <v>31</v>
      </c>
      <c r="G44" s="2" t="s">
        <v>130</v>
      </c>
      <c r="H44" s="3" t="n">
        <v>34749</v>
      </c>
      <c r="I44" s="2" t="n">
        <v>2012</v>
      </c>
      <c r="J44" s="2"/>
      <c r="K44" s="2" t="n">
        <v>2023</v>
      </c>
      <c r="L44" s="4" t="n">
        <f aca="false">ROUND((DATE(2026,9,1)-H44)/365.25,1)</f>
        <v>31.5</v>
      </c>
      <c r="M44" s="5" t="n">
        <f aca="false">IF(L44="","",RANK(L44,L$2:L$151,0))</f>
        <v>107</v>
      </c>
      <c r="N44" s="6" t="n">
        <v>211</v>
      </c>
      <c r="O44" s="5" t="n">
        <f aca="false">IF(N44="","",RANK(N44,N$2:N$151,0))</f>
        <v>5</v>
      </c>
      <c r="P44" s="6" t="n">
        <v>129</v>
      </c>
      <c r="Q44" s="5" t="n">
        <f aca="false">IF(P44="","",RANK(P44,P$2:P$151,0))</f>
        <v>3</v>
      </c>
      <c r="R44" s="6" t="n">
        <f aca="false">I44-YEAR(H44)</f>
        <v>17</v>
      </c>
      <c r="S44" s="5" t="n">
        <f aca="false">IF(R44="","",RANK(R44,R$2:R$151,0))</f>
        <v>82</v>
      </c>
      <c r="T44" s="6" t="n">
        <f aca="false">IF(J44="",2026,J44)-I44</f>
        <v>14</v>
      </c>
      <c r="U44" s="5" t="n">
        <f aca="false">IF(T44="","",RANK(T44,T$2:T$151,0))</f>
        <v>94</v>
      </c>
      <c r="V44" s="6" t="n">
        <v>2</v>
      </c>
      <c r="W44" s="5" t="n">
        <f aca="false">IF(V44="","",RANK(V44,V$2:V$151,0))</f>
        <v>33</v>
      </c>
      <c r="X44" s="6" t="n">
        <v>2</v>
      </c>
      <c r="Y44" s="5" t="n">
        <f aca="false">IF(X44="","",RANK(X44,X$2:X$151,0))</f>
        <v>31</v>
      </c>
      <c r="Z44" s="6" t="n">
        <v>0</v>
      </c>
      <c r="AA44" s="5" t="n">
        <f aca="false">IF(Z44="","",RANK(Z44,Z$2:Z$151,0))</f>
        <v>53</v>
      </c>
      <c r="AB44" s="6" t="n">
        <v>1</v>
      </c>
      <c r="AC44" s="5" t="n">
        <f aca="false">IF(AB44="","",RANK(AB44,AB$2:AB$151,0))</f>
        <v>106</v>
      </c>
      <c r="AD44" s="6" t="n">
        <f aca="false">IF(K44="","",K44-YEAR(H44))</f>
        <v>28</v>
      </c>
      <c r="AE44" s="5" t="n">
        <f aca="false">IF(AD44="","",RANK(AD44,AD$2:AD$151,0))</f>
        <v>16</v>
      </c>
      <c r="AF44" s="7" t="n">
        <v>250</v>
      </c>
      <c r="AG44" s="5" t="n">
        <f aca="false">IF(AF44="","",RANK(AF44,AF$2:AF$151,0))</f>
        <v>34</v>
      </c>
      <c r="AH44" s="7" t="n">
        <v>100</v>
      </c>
      <c r="AI44" s="5" t="n">
        <f aca="false">IF(AH44="","",RANK(AH44,AH$2:AH$151,0))</f>
        <v>61</v>
      </c>
      <c r="AJ44" s="4" t="n">
        <v>2</v>
      </c>
      <c r="AK44" s="5" t="n">
        <f aca="false">IF(AJ44="","",RANK(AJ44,AJ$2:AJ$151,0))</f>
        <v>94</v>
      </c>
      <c r="AL44" s="6" t="n">
        <v>2</v>
      </c>
      <c r="AM44" s="5" t="n">
        <f aca="false">IF(AL44="","",RANK(AL44,AL$2:AL$151,0))</f>
        <v>49</v>
      </c>
      <c r="AN44" s="6" t="n">
        <v>0</v>
      </c>
      <c r="AO44" s="5" t="n">
        <f aca="false">IF(AN44="","",RANK(AN44,AN$2:AN$151,0))</f>
        <v>22</v>
      </c>
    </row>
    <row r="45" customFormat="false" ht="15" hidden="false" customHeight="false" outlineLevel="0" collapsed="false">
      <c r="A45" s="2" t="n">
        <v>44</v>
      </c>
      <c r="B45" s="2" t="s">
        <v>131</v>
      </c>
      <c r="C45" s="2" t="s">
        <v>118</v>
      </c>
      <c r="D45" s="2" t="s">
        <v>132</v>
      </c>
      <c r="E45" s="2" t="s">
        <v>30</v>
      </c>
      <c r="F45" s="2" t="s">
        <v>31</v>
      </c>
      <c r="G45" s="2" t="s">
        <v>41</v>
      </c>
      <c r="H45" s="3" t="n">
        <v>36219</v>
      </c>
      <c r="I45" s="2" t="n">
        <v>2015</v>
      </c>
      <c r="J45" s="2"/>
      <c r="K45" s="2"/>
      <c r="L45" s="4" t="n">
        <f aca="false">ROUND((DATE(2026,9,1)-H45)/365.25,1)</f>
        <v>27.5</v>
      </c>
      <c r="M45" s="5" t="n">
        <f aca="false">IF(L45="","",RANK(L45,L$2:L$151,0))</f>
        <v>130</v>
      </c>
      <c r="N45" s="6" t="n">
        <v>201</v>
      </c>
      <c r="O45" s="5" t="n">
        <f aca="false">IF(N45="","",RANK(N45,N$2:N$151,0))</f>
        <v>11</v>
      </c>
      <c r="P45" s="6" t="n">
        <v>104</v>
      </c>
      <c r="Q45" s="5" t="n">
        <f aca="false">IF(P45="","",RANK(P45,P$2:P$151,0))</f>
        <v>16</v>
      </c>
      <c r="R45" s="6" t="n">
        <f aca="false">I45-YEAR(H45)</f>
        <v>16</v>
      </c>
      <c r="S45" s="5" t="n">
        <f aca="false">IF(R45="","",RANK(R45,R$2:R$151,0))</f>
        <v>109</v>
      </c>
      <c r="T45" s="6" t="n">
        <f aca="false">IF(J45="",2026,J45)-I45</f>
        <v>11</v>
      </c>
      <c r="U45" s="5" t="n">
        <f aca="false">IF(T45="","",RANK(T45,T$2:T$151,0))</f>
        <v>110</v>
      </c>
      <c r="V45" s="6" t="n">
        <v>1</v>
      </c>
      <c r="W45" s="5" t="n">
        <f aca="false">IF(V45="","",RANK(V45,V$2:V$151,0))</f>
        <v>54</v>
      </c>
      <c r="X45" s="6" t="n">
        <v>0</v>
      </c>
      <c r="Y45" s="5" t="n">
        <f aca="false">IF(X45="","",RANK(X45,X$2:X$151,0))</f>
        <v>65</v>
      </c>
      <c r="Z45" s="6" t="n">
        <v>0</v>
      </c>
      <c r="AA45" s="5" t="n">
        <f aca="false">IF(Z45="","",RANK(Z45,Z$2:Z$151,0))</f>
        <v>53</v>
      </c>
      <c r="AB45" s="6" t="n">
        <v>0</v>
      </c>
      <c r="AC45" s="5" t="n">
        <f aca="false">IF(AB45="","",RANK(AB45,AB$2:AB$151,0))</f>
        <v>135</v>
      </c>
      <c r="AD45" s="6" t="str">
        <f aca="false">IF(K45="","",K45-YEAR(H45))</f>
        <v/>
      </c>
      <c r="AE45" s="5" t="str">
        <f aca="false">IF(AD45="","",RANK(AD45,AD$2:AD$151,0))</f>
        <v/>
      </c>
      <c r="AF45" s="7" t="n">
        <v>150</v>
      </c>
      <c r="AG45" s="5" t="n">
        <f aca="false">IF(AF45="","",RANK(AF45,AF$2:AF$151,0))</f>
        <v>56</v>
      </c>
      <c r="AH45" s="7" t="n">
        <v>80</v>
      </c>
      <c r="AI45" s="5" t="n">
        <f aca="false">IF(AH45="","",RANK(AH45,AH$2:AH$151,0))</f>
        <v>78</v>
      </c>
      <c r="AJ45" s="4" t="n">
        <v>12</v>
      </c>
      <c r="AK45" s="5" t="n">
        <f aca="false">IF(AJ45="","",RANK(AJ45,AJ$2:AJ$151,0))</f>
        <v>56</v>
      </c>
      <c r="AL45" s="6" t="n">
        <v>1</v>
      </c>
      <c r="AM45" s="5" t="n">
        <f aca="false">IF(AL45="","",RANK(AL45,AL$2:AL$151,0))</f>
        <v>77</v>
      </c>
      <c r="AN45" s="6" t="n">
        <v>0</v>
      </c>
      <c r="AO45" s="5" t="n">
        <f aca="false">IF(AN45="","",RANK(AN45,AN$2:AN$151,0))</f>
        <v>22</v>
      </c>
    </row>
    <row r="46" customFormat="false" ht="15" hidden="false" customHeight="false" outlineLevel="0" collapsed="false">
      <c r="A46" s="2" t="n">
        <v>45</v>
      </c>
      <c r="B46" s="2" t="s">
        <v>133</v>
      </c>
      <c r="C46" s="2" t="s">
        <v>118</v>
      </c>
      <c r="D46" s="2" t="s">
        <v>40</v>
      </c>
      <c r="E46" s="2" t="s">
        <v>30</v>
      </c>
      <c r="F46" s="2" t="s">
        <v>31</v>
      </c>
      <c r="G46" s="2" t="s">
        <v>41</v>
      </c>
      <c r="H46" s="3" t="n">
        <v>37990</v>
      </c>
      <c r="I46" s="2" t="n">
        <v>2019</v>
      </c>
      <c r="J46" s="2"/>
      <c r="K46" s="2"/>
      <c r="L46" s="4" t="n">
        <f aca="false">ROUND((DATE(2026,9,1)-H46)/365.25,1)</f>
        <v>22.7</v>
      </c>
      <c r="M46" s="5" t="n">
        <f aca="false">IF(L46="","",RANK(L46,L$2:L$151,0))</f>
        <v>146</v>
      </c>
      <c r="N46" s="6" t="n">
        <v>224</v>
      </c>
      <c r="O46" s="5" t="n">
        <f aca="false">IF(N46="","",RANK(N46,N$2:N$151,0))</f>
        <v>2</v>
      </c>
      <c r="P46" s="6" t="n">
        <v>107</v>
      </c>
      <c r="Q46" s="5" t="n">
        <f aca="false">IF(P46="","",RANK(P46,P$2:P$151,0))</f>
        <v>13</v>
      </c>
      <c r="R46" s="6" t="n">
        <f aca="false">I46-YEAR(H46)</f>
        <v>15</v>
      </c>
      <c r="S46" s="5" t="n">
        <f aca="false">IF(R46="","",RANK(R46,R$2:R$151,0))</f>
        <v>130</v>
      </c>
      <c r="T46" s="6" t="n">
        <f aca="false">IF(J46="",2026,J46)-I46</f>
        <v>7</v>
      </c>
      <c r="U46" s="5" t="n">
        <f aca="false">IF(T46="","",RANK(T46,T$2:T$151,0))</f>
        <v>140</v>
      </c>
      <c r="V46" s="6" t="n">
        <v>1</v>
      </c>
      <c r="W46" s="5" t="n">
        <f aca="false">IF(V46="","",RANK(V46,V$2:V$151,0))</f>
        <v>54</v>
      </c>
      <c r="X46" s="6" t="n">
        <v>1</v>
      </c>
      <c r="Y46" s="5" t="n">
        <f aca="false">IF(X46="","",RANK(X46,X$2:X$151,0))</f>
        <v>45</v>
      </c>
      <c r="Z46" s="6" t="n">
        <v>0</v>
      </c>
      <c r="AA46" s="5" t="n">
        <f aca="false">IF(Z46="","",RANK(Z46,Z$2:Z$151,0))</f>
        <v>53</v>
      </c>
      <c r="AB46" s="6" t="n">
        <v>0</v>
      </c>
      <c r="AC46" s="5" t="n">
        <f aca="false">IF(AB46="","",RANK(AB46,AB$2:AB$151,0))</f>
        <v>135</v>
      </c>
      <c r="AD46" s="6" t="str">
        <f aca="false">IF(K46="","",K46-YEAR(H46))</f>
        <v/>
      </c>
      <c r="AE46" s="5" t="str">
        <f aca="false">IF(AD46="","",RANK(AD46,AD$2:AD$151,0))</f>
        <v/>
      </c>
      <c r="AF46" s="7" t="n">
        <v>45</v>
      </c>
      <c r="AG46" s="5" t="n">
        <f aca="false">IF(AF46="","",RANK(AF46,AF$2:AF$151,0))</f>
        <v>91</v>
      </c>
      <c r="AH46" s="7" t="n">
        <v>30</v>
      </c>
      <c r="AI46" s="5" t="n">
        <f aca="false">IF(AH46="","",RANK(AH46,AH$2:AH$151,0))</f>
        <v>104</v>
      </c>
      <c r="AJ46" s="4" t="n">
        <v>5</v>
      </c>
      <c r="AK46" s="5" t="n">
        <f aca="false">IF(AJ46="","",RANK(AJ46,AJ$2:AJ$151,0))</f>
        <v>71</v>
      </c>
      <c r="AL46" s="6" t="n">
        <v>0</v>
      </c>
      <c r="AM46" s="5" t="n">
        <f aca="false">IF(AL46="","",RANK(AL46,AL$2:AL$151,0))</f>
        <v>95</v>
      </c>
      <c r="AN46" s="6" t="n">
        <v>0</v>
      </c>
      <c r="AO46" s="5" t="n">
        <f aca="false">IF(AN46="","",RANK(AN46,AN$2:AN$151,0))</f>
        <v>22</v>
      </c>
    </row>
    <row r="47" customFormat="false" ht="15" hidden="false" customHeight="false" outlineLevel="0" collapsed="false">
      <c r="A47" s="2" t="n">
        <v>46</v>
      </c>
      <c r="B47" s="2" t="s">
        <v>134</v>
      </c>
      <c r="C47" s="2" t="s">
        <v>118</v>
      </c>
      <c r="D47" s="2" t="s">
        <v>108</v>
      </c>
      <c r="E47" s="2" t="s">
        <v>30</v>
      </c>
      <c r="F47" s="2" t="s">
        <v>67</v>
      </c>
      <c r="G47" s="2" t="s">
        <v>41</v>
      </c>
      <c r="H47" s="3" t="n">
        <v>26364</v>
      </c>
      <c r="I47" s="2" t="n">
        <v>1992</v>
      </c>
      <c r="J47" s="2" t="n">
        <v>2011</v>
      </c>
      <c r="K47" s="2" t="n">
        <v>2000</v>
      </c>
      <c r="L47" s="4" t="n">
        <f aca="false">ROUND((DATE(2026,9,1)-H47)/365.25,1)</f>
        <v>54.5</v>
      </c>
      <c r="M47" s="5" t="n">
        <f aca="false">IF(L47="","",RANK(L47,L$2:L$151,0))</f>
        <v>13</v>
      </c>
      <c r="N47" s="6" t="n">
        <v>216</v>
      </c>
      <c r="O47" s="5" t="n">
        <f aca="false">IF(N47="","",RANK(N47,N$2:N$151,0))</f>
        <v>3</v>
      </c>
      <c r="P47" s="6" t="n">
        <v>147</v>
      </c>
      <c r="Q47" s="5" t="n">
        <f aca="false">IF(P47="","",RANK(P47,P$2:P$151,0))</f>
        <v>1</v>
      </c>
      <c r="R47" s="6" t="n">
        <f aca="false">I47-YEAR(H47)</f>
        <v>20</v>
      </c>
      <c r="S47" s="5" t="n">
        <f aca="false">IF(R47="","",RANK(R47,R$2:R$151,0))</f>
        <v>33</v>
      </c>
      <c r="T47" s="6" t="n">
        <f aca="false">IF(J47="",2026,J47)-I47</f>
        <v>19</v>
      </c>
      <c r="U47" s="5" t="n">
        <f aca="false">IF(T47="","",RANK(T47,T$2:T$151,0))</f>
        <v>51</v>
      </c>
      <c r="V47" s="6" t="n">
        <v>1</v>
      </c>
      <c r="W47" s="5" t="n">
        <f aca="false">IF(V47="","",RANK(V47,V$2:V$151,0))</f>
        <v>54</v>
      </c>
      <c r="X47" s="6" t="n">
        <v>1</v>
      </c>
      <c r="Y47" s="5" t="n">
        <f aca="false">IF(X47="","",RANK(X47,X$2:X$151,0))</f>
        <v>45</v>
      </c>
      <c r="Z47" s="6" t="n">
        <v>1</v>
      </c>
      <c r="AA47" s="5" t="n">
        <f aca="false">IF(Z47="","",RANK(Z47,Z$2:Z$151,0))</f>
        <v>32</v>
      </c>
      <c r="AB47" s="6" t="n">
        <v>4</v>
      </c>
      <c r="AC47" s="5" t="n">
        <f aca="false">IF(AB47="","",RANK(AB47,AB$2:AB$151,0))</f>
        <v>52</v>
      </c>
      <c r="AD47" s="6" t="n">
        <f aca="false">IF(K47="","",K47-YEAR(H47))</f>
        <v>28</v>
      </c>
      <c r="AE47" s="5" t="n">
        <f aca="false">IF(AD47="","",RANK(AD47,AD$2:AD$151,0))</f>
        <v>16</v>
      </c>
      <c r="AF47" s="7" t="n">
        <v>292</v>
      </c>
      <c r="AG47" s="5" t="n">
        <f aca="false">IF(AF47="","",RANK(AF47,AF$2:AF$151,0))</f>
        <v>31</v>
      </c>
      <c r="AH47" s="7" t="n">
        <v>500</v>
      </c>
      <c r="AI47" s="5" t="n">
        <f aca="false">IF(AH47="","",RANK(AH47,AH$2:AH$151,0))</f>
        <v>9</v>
      </c>
      <c r="AJ47" s="4" t="n">
        <v>30</v>
      </c>
      <c r="AK47" s="5" t="n">
        <f aca="false">IF(AJ47="","",RANK(AJ47,AJ$2:AJ$151,0))</f>
        <v>30</v>
      </c>
      <c r="AL47" s="6" t="n">
        <v>6</v>
      </c>
      <c r="AM47" s="5" t="n">
        <f aca="false">IF(AL47="","",RANK(AL47,AL$2:AL$151,0))</f>
        <v>3</v>
      </c>
      <c r="AN47" s="6" t="n">
        <v>0</v>
      </c>
      <c r="AO47" s="5" t="n">
        <f aca="false">IF(AN47="","",RANK(AN47,AN$2:AN$151,0))</f>
        <v>22</v>
      </c>
    </row>
    <row r="48" customFormat="false" ht="15" hidden="false" customHeight="false" outlineLevel="0" collapsed="false">
      <c r="A48" s="2" t="n">
        <v>47</v>
      </c>
      <c r="B48" s="2" t="s">
        <v>135</v>
      </c>
      <c r="C48" s="2" t="s">
        <v>118</v>
      </c>
      <c r="D48" s="2" t="s">
        <v>108</v>
      </c>
      <c r="E48" s="2" t="s">
        <v>30</v>
      </c>
      <c r="F48" s="2" t="s">
        <v>67</v>
      </c>
      <c r="G48" s="2" t="s">
        <v>136</v>
      </c>
      <c r="H48" s="3" t="n">
        <v>21776</v>
      </c>
      <c r="I48" s="2" t="n">
        <v>1979</v>
      </c>
      <c r="J48" s="2" t="n">
        <v>1996</v>
      </c>
      <c r="K48" s="2" t="n">
        <v>1980</v>
      </c>
      <c r="L48" s="4" t="n">
        <f aca="false">ROUND((DATE(2026,9,1)-H48)/365.25,1)</f>
        <v>67</v>
      </c>
      <c r="M48" s="5" t="n">
        <f aca="false">IF(L48="","",RANK(L48,L$2:L$151,0))</f>
        <v>2</v>
      </c>
      <c r="N48" s="6" t="n">
        <v>206</v>
      </c>
      <c r="O48" s="5" t="n">
        <f aca="false">IF(N48="","",RANK(N48,N$2:N$151,0))</f>
        <v>8</v>
      </c>
      <c r="P48" s="6" t="n">
        <v>100</v>
      </c>
      <c r="Q48" s="5" t="n">
        <f aca="false">IF(P48="","",RANK(P48,P$2:P$151,0))</f>
        <v>24</v>
      </c>
      <c r="R48" s="6" t="n">
        <f aca="false">I48-YEAR(H48)</f>
        <v>20</v>
      </c>
      <c r="S48" s="5" t="n">
        <f aca="false">IF(R48="","",RANK(R48,R$2:R$151,0))</f>
        <v>33</v>
      </c>
      <c r="T48" s="6" t="n">
        <f aca="false">IF(J48="",2026,J48)-I48</f>
        <v>17</v>
      </c>
      <c r="U48" s="5" t="n">
        <f aca="false">IF(T48="","",RANK(T48,T$2:T$151,0))</f>
        <v>69</v>
      </c>
      <c r="V48" s="6" t="n">
        <v>1</v>
      </c>
      <c r="W48" s="5" t="n">
        <f aca="false">IF(V48="","",RANK(V48,V$2:V$151,0))</f>
        <v>54</v>
      </c>
      <c r="X48" s="6" t="n">
        <v>1</v>
      </c>
      <c r="Y48" s="5" t="n">
        <f aca="false">IF(X48="","",RANK(X48,X$2:X$151,0))</f>
        <v>45</v>
      </c>
      <c r="Z48" s="6" t="n">
        <v>1</v>
      </c>
      <c r="AA48" s="5" t="n">
        <f aca="false">IF(Z48="","",RANK(Z48,Z$2:Z$151,0))</f>
        <v>32</v>
      </c>
      <c r="AB48" s="6" t="n">
        <v>5</v>
      </c>
      <c r="AC48" s="5" t="n">
        <f aca="false">IF(AB48="","",RANK(AB48,AB$2:AB$151,0))</f>
        <v>39</v>
      </c>
      <c r="AD48" s="6" t="n">
        <f aca="false">IF(K48="","",K48-YEAR(H48))</f>
        <v>21</v>
      </c>
      <c r="AE48" s="5" t="n">
        <f aca="false">IF(AD48="","",RANK(AD48,AD$2:AD$151,0))</f>
        <v>91</v>
      </c>
      <c r="AF48" s="7" t="n">
        <v>40</v>
      </c>
      <c r="AG48" s="5" t="n">
        <f aca="false">IF(AF48="","",RANK(AF48,AF$2:AF$151,0))</f>
        <v>95</v>
      </c>
      <c r="AH48" s="7" t="n">
        <v>1500</v>
      </c>
      <c r="AI48" s="5" t="n">
        <f aca="false">IF(AH48="","",RANK(AH48,AH$2:AH$151,0))</f>
        <v>2</v>
      </c>
      <c r="AJ48" s="4" t="n">
        <v>4</v>
      </c>
      <c r="AK48" s="5" t="n">
        <f aca="false">IF(AJ48="","",RANK(AJ48,AJ$2:AJ$151,0))</f>
        <v>76</v>
      </c>
      <c r="AL48" s="6" t="n">
        <v>3</v>
      </c>
      <c r="AM48" s="5" t="n">
        <f aca="false">IF(AL48="","",RANK(AL48,AL$2:AL$151,0))</f>
        <v>27</v>
      </c>
      <c r="AN48" s="6" t="n">
        <v>0</v>
      </c>
      <c r="AO48" s="5" t="n">
        <f aca="false">IF(AN48="","",RANK(AN48,AN$2:AN$151,0))</f>
        <v>22</v>
      </c>
    </row>
    <row r="49" customFormat="false" ht="15" hidden="false" customHeight="false" outlineLevel="0" collapsed="false">
      <c r="A49" s="2" t="n">
        <v>48</v>
      </c>
      <c r="B49" s="2" t="s">
        <v>137</v>
      </c>
      <c r="C49" s="2" t="s">
        <v>118</v>
      </c>
      <c r="D49" s="2" t="s">
        <v>93</v>
      </c>
      <c r="E49" s="2" t="s">
        <v>30</v>
      </c>
      <c r="F49" s="2" t="s">
        <v>67</v>
      </c>
      <c r="G49" s="2" t="s">
        <v>138</v>
      </c>
      <c r="H49" s="3" t="n">
        <v>28660</v>
      </c>
      <c r="I49" s="2" t="n">
        <v>1994</v>
      </c>
      <c r="J49" s="2" t="n">
        <v>2019</v>
      </c>
      <c r="K49" s="2" t="n">
        <v>2011</v>
      </c>
      <c r="L49" s="4" t="n">
        <f aca="false">ROUND((DATE(2026,9,1)-H49)/365.25,1)</f>
        <v>48.2</v>
      </c>
      <c r="M49" s="5" t="n">
        <f aca="false">IF(L49="","",RANK(L49,L$2:L$151,0))</f>
        <v>27</v>
      </c>
      <c r="N49" s="6" t="n">
        <v>213</v>
      </c>
      <c r="O49" s="5" t="n">
        <f aca="false">IF(N49="","",RANK(N49,N$2:N$151,0))</f>
        <v>4</v>
      </c>
      <c r="P49" s="6" t="n">
        <v>111</v>
      </c>
      <c r="Q49" s="5" t="n">
        <f aca="false">IF(P49="","",RANK(P49,P$2:P$151,0))</f>
        <v>9</v>
      </c>
      <c r="R49" s="6" t="n">
        <f aca="false">I49-YEAR(H49)</f>
        <v>16</v>
      </c>
      <c r="S49" s="5" t="n">
        <f aca="false">IF(R49="","",RANK(R49,R$2:R$151,0))</f>
        <v>109</v>
      </c>
      <c r="T49" s="6" t="n">
        <f aca="false">IF(J49="",2026,J49)-I49</f>
        <v>25</v>
      </c>
      <c r="U49" s="5" t="n">
        <f aca="false">IF(T49="","",RANK(T49,T$2:T$151,0))</f>
        <v>11</v>
      </c>
      <c r="V49" s="6" t="n">
        <v>1</v>
      </c>
      <c r="W49" s="5" t="n">
        <f aca="false">IF(V49="","",RANK(V49,V$2:V$151,0))</f>
        <v>54</v>
      </c>
      <c r="X49" s="6" t="n">
        <v>0</v>
      </c>
      <c r="Y49" s="5" t="n">
        <f aca="false">IF(X49="","",RANK(X49,X$2:X$151,0))</f>
        <v>65</v>
      </c>
      <c r="Z49" s="6" t="n">
        <v>0</v>
      </c>
      <c r="AA49" s="5" t="n">
        <f aca="false">IF(Z49="","",RANK(Z49,Z$2:Z$151,0))</f>
        <v>53</v>
      </c>
      <c r="AB49" s="6" t="n">
        <v>1</v>
      </c>
      <c r="AC49" s="5" t="n">
        <f aca="false">IF(AB49="","",RANK(AB49,AB$2:AB$151,0))</f>
        <v>106</v>
      </c>
      <c r="AD49" s="6" t="n">
        <f aca="false">IF(K49="","",K49-YEAR(H49))</f>
        <v>33</v>
      </c>
      <c r="AE49" s="5" t="n">
        <f aca="false">IF(AD49="","",RANK(AD49,AD$2:AD$151,0))</f>
        <v>4</v>
      </c>
      <c r="AF49" s="7" t="n">
        <v>252</v>
      </c>
      <c r="AG49" s="5" t="n">
        <f aca="false">IF(AF49="","",RANK(AF49,AF$2:AF$151,0))</f>
        <v>33</v>
      </c>
      <c r="AH49" s="7" t="n">
        <v>150</v>
      </c>
      <c r="AI49" s="5" t="n">
        <f aca="false">IF(AH49="","",RANK(AH49,AH$2:AH$151,0))</f>
        <v>44</v>
      </c>
      <c r="AJ49" s="4" t="n">
        <v>1.5</v>
      </c>
      <c r="AK49" s="5" t="n">
        <f aca="false">IF(AJ49="","",RANK(AJ49,AJ$2:AJ$151,0))</f>
        <v>105</v>
      </c>
      <c r="AL49" s="6" t="n">
        <v>3</v>
      </c>
      <c r="AM49" s="5" t="n">
        <f aca="false">IF(AL49="","",RANK(AL49,AL$2:AL$151,0))</f>
        <v>27</v>
      </c>
      <c r="AN49" s="6" t="n">
        <v>0</v>
      </c>
      <c r="AO49" s="5" t="n">
        <f aca="false">IF(AN49="","",RANK(AN49,AN$2:AN$151,0))</f>
        <v>22</v>
      </c>
    </row>
    <row r="50" customFormat="false" ht="15" hidden="false" customHeight="false" outlineLevel="0" collapsed="false">
      <c r="A50" s="2" t="n">
        <v>49</v>
      </c>
      <c r="B50" s="2" t="s">
        <v>139</v>
      </c>
      <c r="C50" s="2" t="s">
        <v>118</v>
      </c>
      <c r="D50" s="2" t="s">
        <v>140</v>
      </c>
      <c r="E50" s="2" t="s">
        <v>30</v>
      </c>
      <c r="F50" s="2" t="s">
        <v>67</v>
      </c>
      <c r="G50" s="2" t="s">
        <v>141</v>
      </c>
      <c r="H50" s="3" t="n">
        <v>29476</v>
      </c>
      <c r="I50" s="2" t="n">
        <v>1997</v>
      </c>
      <c r="J50" s="2" t="n">
        <v>2011</v>
      </c>
      <c r="K50" s="2"/>
      <c r="L50" s="4" t="n">
        <f aca="false">ROUND((DATE(2026,9,1)-H50)/365.25,1)</f>
        <v>46</v>
      </c>
      <c r="M50" s="5" t="n">
        <f aca="false">IF(L50="","",RANK(L50,L$2:L$151,0))</f>
        <v>33</v>
      </c>
      <c r="N50" s="6" t="n">
        <v>229</v>
      </c>
      <c r="O50" s="5" t="n">
        <f aca="false">IF(N50="","",RANK(N50,N$2:N$151,0))</f>
        <v>1</v>
      </c>
      <c r="P50" s="6" t="n">
        <v>141</v>
      </c>
      <c r="Q50" s="5" t="n">
        <f aca="false">IF(P50="","",RANK(P50,P$2:P$151,0))</f>
        <v>2</v>
      </c>
      <c r="R50" s="6" t="n">
        <f aca="false">I50-YEAR(H50)</f>
        <v>17</v>
      </c>
      <c r="S50" s="5" t="n">
        <f aca="false">IF(R50="","",RANK(R50,R$2:R$151,0))</f>
        <v>82</v>
      </c>
      <c r="T50" s="6" t="n">
        <f aca="false">IF(J50="",2026,J50)-I50</f>
        <v>14</v>
      </c>
      <c r="U50" s="5" t="n">
        <f aca="false">IF(T50="","",RANK(T50,T$2:T$151,0))</f>
        <v>94</v>
      </c>
      <c r="V50" s="6" t="n">
        <v>3</v>
      </c>
      <c r="W50" s="5" t="n">
        <f aca="false">IF(V50="","",RANK(V50,V$2:V$151,0))</f>
        <v>22</v>
      </c>
      <c r="X50" s="6" t="n">
        <v>0</v>
      </c>
      <c r="Y50" s="5" t="n">
        <f aca="false">IF(X50="","",RANK(X50,X$2:X$151,0))</f>
        <v>65</v>
      </c>
      <c r="Z50" s="6" t="n">
        <v>0</v>
      </c>
      <c r="AA50" s="5" t="n">
        <f aca="false">IF(Z50="","",RANK(Z50,Z$2:Z$151,0))</f>
        <v>53</v>
      </c>
      <c r="AB50" s="6" t="n">
        <v>0</v>
      </c>
      <c r="AC50" s="5" t="n">
        <f aca="false">IF(AB50="","",RANK(AB50,AB$2:AB$151,0))</f>
        <v>135</v>
      </c>
      <c r="AD50" s="6" t="str">
        <f aca="false">IF(K50="","",K50-YEAR(H50))</f>
        <v/>
      </c>
      <c r="AE50" s="5" t="str">
        <f aca="false">IF(AD50="","",RANK(AD50,AD$2:AD$151,0))</f>
        <v/>
      </c>
      <c r="AF50" s="7" t="n">
        <v>93</v>
      </c>
      <c r="AG50" s="5" t="n">
        <f aca="false">IF(AF50="","",RANK(AF50,AF$2:AF$151,0))</f>
        <v>79</v>
      </c>
      <c r="AH50" s="7" t="n">
        <v>140</v>
      </c>
      <c r="AI50" s="5" t="n">
        <f aca="false">IF(AH50="","",RANK(AH50,AH$2:AH$151,0))</f>
        <v>50</v>
      </c>
      <c r="AJ50" s="4"/>
      <c r="AK50" s="5" t="str">
        <f aca="false">IF(AJ50="","",RANK(AJ50,AJ$2:AJ$151,0))</f>
        <v/>
      </c>
      <c r="AL50" s="6" t="n">
        <v>1</v>
      </c>
      <c r="AM50" s="5" t="n">
        <f aca="false">IF(AL50="","",RANK(AL50,AL$2:AL$151,0))</f>
        <v>77</v>
      </c>
      <c r="AN50" s="6" t="n">
        <v>0</v>
      </c>
      <c r="AO50" s="5" t="n">
        <f aca="false">IF(AN50="","",RANK(AN50,AN$2:AN$151,0))</f>
        <v>22</v>
      </c>
    </row>
    <row r="51" customFormat="false" ht="15" hidden="false" customHeight="false" outlineLevel="0" collapsed="false">
      <c r="A51" s="2" t="n">
        <v>50</v>
      </c>
      <c r="B51" s="2" t="s">
        <v>142</v>
      </c>
      <c r="C51" s="2" t="s">
        <v>118</v>
      </c>
      <c r="D51" s="2" t="s">
        <v>108</v>
      </c>
      <c r="E51" s="2" t="s">
        <v>105</v>
      </c>
      <c r="F51" s="2" t="s">
        <v>31</v>
      </c>
      <c r="G51" s="2" t="s">
        <v>143</v>
      </c>
      <c r="H51" s="3" t="n">
        <v>37278</v>
      </c>
      <c r="I51" s="2" t="n">
        <v>2024</v>
      </c>
      <c r="J51" s="2"/>
      <c r="K51" s="2"/>
      <c r="L51" s="4" t="n">
        <f aca="false">ROUND((DATE(2026,9,1)-H51)/365.25,1)</f>
        <v>24.6</v>
      </c>
      <c r="M51" s="5" t="n">
        <f aca="false">IF(L51="","",RANK(L51,L$2:L$151,0))</f>
        <v>140</v>
      </c>
      <c r="N51" s="6" t="n">
        <v>183</v>
      </c>
      <c r="O51" s="5" t="n">
        <f aca="false">IF(N51="","",RANK(N51,N$2:N$151,0))</f>
        <v>66</v>
      </c>
      <c r="P51" s="6" t="n">
        <v>70</v>
      </c>
      <c r="Q51" s="5" t="n">
        <f aca="false">IF(P51="","",RANK(P51,P$2:P$151,0))</f>
        <v>98</v>
      </c>
      <c r="R51" s="6" t="n">
        <f aca="false">I51-YEAR(H51)</f>
        <v>22</v>
      </c>
      <c r="S51" s="5" t="n">
        <f aca="false">IF(R51="","",RANK(R51,R$2:R$151,0))</f>
        <v>9</v>
      </c>
      <c r="T51" s="6" t="n">
        <f aca="false">IF(J51="",2026,J51)-I51</f>
        <v>2</v>
      </c>
      <c r="U51" s="5" t="n">
        <f aca="false">IF(T51="","",RANK(T51,T$2:T$151,0))</f>
        <v>150</v>
      </c>
      <c r="V51" s="6" t="n">
        <v>0</v>
      </c>
      <c r="W51" s="5" t="n">
        <f aca="false">IF(V51="","",RANK(V51,V$2:V$151,0))</f>
        <v>82</v>
      </c>
      <c r="X51" s="6" t="n">
        <v>0</v>
      </c>
      <c r="Y51" s="5" t="n">
        <f aca="false">IF(X51="","",RANK(X51,X$2:X$151,0))</f>
        <v>65</v>
      </c>
      <c r="Z51" s="6" t="n">
        <v>0</v>
      </c>
      <c r="AA51" s="5" t="n">
        <f aca="false">IF(Z51="","",RANK(Z51,Z$2:Z$151,0))</f>
        <v>53</v>
      </c>
      <c r="AB51" s="6" t="n">
        <v>0</v>
      </c>
      <c r="AC51" s="5" t="n">
        <f aca="false">IF(AB51="","",RANK(AB51,AB$2:AB$151,0))</f>
        <v>135</v>
      </c>
      <c r="AD51" s="6" t="str">
        <f aca="false">IF(K51="","",K51-YEAR(H51))</f>
        <v/>
      </c>
      <c r="AE51" s="5" t="str">
        <f aca="false">IF(AD51="","",RANK(AD51,AD$2:AD$151,0))</f>
        <v/>
      </c>
      <c r="AF51" s="7" t="n">
        <v>0.3</v>
      </c>
      <c r="AG51" s="5" t="n">
        <f aca="false">IF(AF51="","",RANK(AF51,AF$2:AF$151,0))</f>
        <v>149</v>
      </c>
      <c r="AH51" s="7" t="n">
        <v>10</v>
      </c>
      <c r="AI51" s="5" t="n">
        <f aca="false">IF(AH51="","",RANK(AH51,AH$2:AH$151,0))</f>
        <v>121</v>
      </c>
      <c r="AJ51" s="4" t="n">
        <v>4</v>
      </c>
      <c r="AK51" s="5" t="n">
        <f aca="false">IF(AJ51="","",RANK(AJ51,AJ$2:AJ$151,0))</f>
        <v>76</v>
      </c>
      <c r="AL51" s="6" t="n">
        <v>0</v>
      </c>
      <c r="AM51" s="5" t="n">
        <f aca="false">IF(AL51="","",RANK(AL51,AL$2:AL$151,0))</f>
        <v>95</v>
      </c>
      <c r="AN51" s="6" t="n">
        <v>0</v>
      </c>
      <c r="AO51" s="5" t="n">
        <f aca="false">IF(AN51="","",RANK(AN51,AN$2:AN$151,0))</f>
        <v>22</v>
      </c>
    </row>
    <row r="52" customFormat="false" ht="15" hidden="false" customHeight="false" outlineLevel="0" collapsed="false">
      <c r="A52" s="2" t="n">
        <v>51</v>
      </c>
      <c r="B52" s="2" t="s">
        <v>144</v>
      </c>
      <c r="C52" s="2" t="s">
        <v>118</v>
      </c>
      <c r="D52" s="2" t="s">
        <v>108</v>
      </c>
      <c r="E52" s="2" t="s">
        <v>105</v>
      </c>
      <c r="F52" s="2" t="s">
        <v>31</v>
      </c>
      <c r="G52" s="2" t="s">
        <v>41</v>
      </c>
      <c r="H52" s="3" t="n">
        <v>35285</v>
      </c>
      <c r="I52" s="2" t="n">
        <v>2018</v>
      </c>
      <c r="J52" s="2"/>
      <c r="K52" s="2" t="n">
        <v>2022</v>
      </c>
      <c r="L52" s="4" t="n">
        <f aca="false">ROUND((DATE(2026,9,1)-H52)/365.25,1)</f>
        <v>30.1</v>
      </c>
      <c r="M52" s="5" t="n">
        <f aca="false">IF(L52="","",RANK(L52,L$2:L$151,0))</f>
        <v>113</v>
      </c>
      <c r="N52" s="6" t="n">
        <v>193</v>
      </c>
      <c r="O52" s="5" t="n">
        <f aca="false">IF(N52="","",RANK(N52,N$2:N$151,0))</f>
        <v>23</v>
      </c>
      <c r="P52" s="6" t="n">
        <v>88</v>
      </c>
      <c r="Q52" s="5" t="n">
        <f aca="false">IF(P52="","",RANK(P52,P$2:P$151,0))</f>
        <v>42</v>
      </c>
      <c r="R52" s="6" t="n">
        <f aca="false">I52-YEAR(H52)</f>
        <v>22</v>
      </c>
      <c r="S52" s="5" t="n">
        <f aca="false">IF(R52="","",RANK(R52,R$2:R$151,0))</f>
        <v>9</v>
      </c>
      <c r="T52" s="6" t="n">
        <f aca="false">IF(J52="",2026,J52)-I52</f>
        <v>8</v>
      </c>
      <c r="U52" s="5" t="n">
        <f aca="false">IF(T52="","",RANK(T52,T$2:T$151,0))</f>
        <v>132</v>
      </c>
      <c r="V52" s="6" t="n">
        <v>2</v>
      </c>
      <c r="W52" s="5" t="n">
        <f aca="false">IF(V52="","",RANK(V52,V$2:V$151,0))</f>
        <v>33</v>
      </c>
      <c r="X52" s="6" t="n">
        <v>2</v>
      </c>
      <c r="Y52" s="5" t="n">
        <f aca="false">IF(X52="","",RANK(X52,X$2:X$151,0))</f>
        <v>31</v>
      </c>
      <c r="Z52" s="6" t="n">
        <v>2</v>
      </c>
      <c r="AA52" s="5" t="n">
        <f aca="false">IF(Z52="","",RANK(Z52,Z$2:Z$151,0))</f>
        <v>21</v>
      </c>
      <c r="AB52" s="6" t="n">
        <v>3</v>
      </c>
      <c r="AC52" s="5" t="n">
        <f aca="false">IF(AB52="","",RANK(AB52,AB$2:AB$151,0))</f>
        <v>69</v>
      </c>
      <c r="AD52" s="6" t="n">
        <f aca="false">IF(K52="","",K52-YEAR(H52))</f>
        <v>26</v>
      </c>
      <c r="AE52" s="5" t="n">
        <f aca="false">IF(AD52="","",RANK(AD52,AD$2:AD$151,0))</f>
        <v>40</v>
      </c>
      <c r="AF52" s="7" t="n">
        <v>1.5</v>
      </c>
      <c r="AG52" s="5" t="n">
        <f aca="false">IF(AF52="","",RANK(AF52,AF$2:AF$151,0))</f>
        <v>145</v>
      </c>
      <c r="AH52" s="7" t="n">
        <v>3</v>
      </c>
      <c r="AI52" s="5" t="n">
        <f aca="false">IF(AH52="","",RANK(AH52,AH$2:AH$151,0))</f>
        <v>145</v>
      </c>
      <c r="AJ52" s="4" t="n">
        <v>1.4</v>
      </c>
      <c r="AK52" s="5" t="n">
        <f aca="false">IF(AJ52="","",RANK(AJ52,AJ$2:AJ$151,0))</f>
        <v>110</v>
      </c>
      <c r="AL52" s="6" t="n">
        <v>0</v>
      </c>
      <c r="AM52" s="5" t="n">
        <f aca="false">IF(AL52="","",RANK(AL52,AL$2:AL$151,0))</f>
        <v>95</v>
      </c>
      <c r="AN52" s="6" t="n">
        <v>0</v>
      </c>
      <c r="AO52" s="5" t="n">
        <f aca="false">IF(AN52="","",RANK(AN52,AN$2:AN$151,0))</f>
        <v>22</v>
      </c>
    </row>
    <row r="53" customFormat="false" ht="15" hidden="false" customHeight="false" outlineLevel="0" collapsed="false">
      <c r="A53" s="2" t="n">
        <v>52</v>
      </c>
      <c r="B53" s="2" t="s">
        <v>145</v>
      </c>
      <c r="C53" s="2" t="s">
        <v>118</v>
      </c>
      <c r="D53" s="2" t="s">
        <v>108</v>
      </c>
      <c r="E53" s="2" t="s">
        <v>105</v>
      </c>
      <c r="F53" s="2" t="s">
        <v>67</v>
      </c>
      <c r="G53" s="2" t="s">
        <v>146</v>
      </c>
      <c r="H53" s="3" t="n">
        <v>30113</v>
      </c>
      <c r="I53" s="2" t="n">
        <v>2004</v>
      </c>
      <c r="J53" s="2" t="n">
        <v>2025</v>
      </c>
      <c r="K53" s="2" t="n">
        <v>2007</v>
      </c>
      <c r="L53" s="4" t="n">
        <f aca="false">ROUND((DATE(2026,9,1)-H53)/365.25,1)</f>
        <v>44.2</v>
      </c>
      <c r="M53" s="5" t="n">
        <f aca="false">IF(L53="","",RANK(L53,L$2:L$151,0))</f>
        <v>41</v>
      </c>
      <c r="N53" s="6" t="n">
        <v>183</v>
      </c>
      <c r="O53" s="5" t="n">
        <f aca="false">IF(N53="","",RANK(N53,N$2:N$151,0))</f>
        <v>66</v>
      </c>
      <c r="P53" s="6" t="n">
        <v>74</v>
      </c>
      <c r="Q53" s="5" t="n">
        <f aca="false">IF(P53="","",RANK(P53,P$2:P$151,0))</f>
        <v>79</v>
      </c>
      <c r="R53" s="6" t="n">
        <f aca="false">I53-YEAR(H53)</f>
        <v>22</v>
      </c>
      <c r="S53" s="5" t="n">
        <f aca="false">IF(R53="","",RANK(R53,R$2:R$151,0))</f>
        <v>9</v>
      </c>
      <c r="T53" s="6" t="n">
        <f aca="false">IF(J53="",2026,J53)-I53</f>
        <v>21</v>
      </c>
      <c r="U53" s="5" t="n">
        <f aca="false">IF(T53="","",RANK(T53,T$2:T$151,0))</f>
        <v>33</v>
      </c>
      <c r="V53" s="6" t="n">
        <v>6</v>
      </c>
      <c r="W53" s="5" t="n">
        <f aca="false">IF(V53="","",RANK(V53,V$2:V$151,0))</f>
        <v>1</v>
      </c>
      <c r="X53" s="6" t="n">
        <v>6</v>
      </c>
      <c r="Y53" s="5" t="n">
        <f aca="false">IF(X53="","",RANK(X53,X$2:X$151,0))</f>
        <v>9</v>
      </c>
      <c r="Z53" s="6" t="n">
        <v>6</v>
      </c>
      <c r="AA53" s="5" t="n">
        <f aca="false">IF(Z53="","",RANK(Z53,Z$2:Z$151,0))</f>
        <v>6</v>
      </c>
      <c r="AB53" s="6" t="n">
        <v>3</v>
      </c>
      <c r="AC53" s="5" t="n">
        <f aca="false">IF(AB53="","",RANK(AB53,AB$2:AB$151,0))</f>
        <v>69</v>
      </c>
      <c r="AD53" s="6" t="n">
        <f aca="false">IF(K53="","",K53-YEAR(H53))</f>
        <v>25</v>
      </c>
      <c r="AE53" s="5" t="n">
        <f aca="false">IF(AD53="","",RANK(AD53,AD$2:AD$151,0))</f>
        <v>47</v>
      </c>
      <c r="AF53" s="7" t="n">
        <v>8</v>
      </c>
      <c r="AG53" s="5" t="n">
        <f aca="false">IF(AF53="","",RANK(AF53,AF$2:AF$151,0))</f>
        <v>122</v>
      </c>
      <c r="AH53" s="7" t="n">
        <v>5</v>
      </c>
      <c r="AI53" s="5" t="n">
        <f aca="false">IF(AH53="","",RANK(AH53,AH$2:AH$151,0))</f>
        <v>137</v>
      </c>
      <c r="AJ53" s="4" t="n">
        <v>1</v>
      </c>
      <c r="AK53" s="5" t="n">
        <f aca="false">IF(AJ53="","",RANK(AJ53,AJ$2:AJ$151,0))</f>
        <v>117</v>
      </c>
      <c r="AL53" s="6" t="n">
        <v>2</v>
      </c>
      <c r="AM53" s="5" t="n">
        <f aca="false">IF(AL53="","",RANK(AL53,AL$2:AL$151,0))</f>
        <v>49</v>
      </c>
      <c r="AN53" s="6" t="n">
        <v>0</v>
      </c>
      <c r="AO53" s="5" t="n">
        <f aca="false">IF(AN53="","",RANK(AN53,AN$2:AN$151,0))</f>
        <v>22</v>
      </c>
    </row>
    <row r="54" customFormat="false" ht="15" hidden="false" customHeight="false" outlineLevel="0" collapsed="false">
      <c r="A54" s="2" t="n">
        <v>53</v>
      </c>
      <c r="B54" s="2" t="s">
        <v>147</v>
      </c>
      <c r="C54" s="2" t="s">
        <v>148</v>
      </c>
      <c r="D54" s="2" t="s">
        <v>149</v>
      </c>
      <c r="E54" s="2" t="s">
        <v>30</v>
      </c>
      <c r="F54" s="2" t="s">
        <v>67</v>
      </c>
      <c r="G54" s="2" t="s">
        <v>150</v>
      </c>
      <c r="H54" s="3" t="n">
        <v>29806</v>
      </c>
      <c r="I54" s="2" t="n">
        <v>1998</v>
      </c>
      <c r="J54" s="2" t="n">
        <v>2022</v>
      </c>
      <c r="K54" s="2" t="n">
        <v>2003</v>
      </c>
      <c r="L54" s="4" t="n">
        <f aca="false">ROUND((DATE(2026,9,1)-H54)/365.25,1)</f>
        <v>45.1</v>
      </c>
      <c r="M54" s="5" t="n">
        <f aca="false">IF(L54="","",RANK(L54,L$2:L$151,0))</f>
        <v>35</v>
      </c>
      <c r="N54" s="6" t="n">
        <v>185</v>
      </c>
      <c r="O54" s="5" t="n">
        <f aca="false">IF(N54="","",RANK(N54,N$2:N$151,0))</f>
        <v>54</v>
      </c>
      <c r="P54" s="6" t="n">
        <v>85</v>
      </c>
      <c r="Q54" s="5" t="n">
        <f aca="false">IF(P54="","",RANK(P54,P$2:P$151,0))</f>
        <v>50</v>
      </c>
      <c r="R54" s="6" t="n">
        <f aca="false">I54-YEAR(H54)</f>
        <v>17</v>
      </c>
      <c r="S54" s="5" t="n">
        <f aca="false">IF(R54="","",RANK(R54,R$2:R$151,0))</f>
        <v>82</v>
      </c>
      <c r="T54" s="6" t="n">
        <f aca="false">IF(J54="",2026,J54)-I54</f>
        <v>24</v>
      </c>
      <c r="U54" s="5" t="n">
        <f aca="false">IF(T54="","",RANK(T54,T$2:T$151,0))</f>
        <v>16</v>
      </c>
      <c r="V54" s="6" t="n">
        <v>4</v>
      </c>
      <c r="W54" s="5" t="n">
        <f aca="false">IF(V54="","",RANK(V54,V$2:V$151,0))</f>
        <v>14</v>
      </c>
      <c r="X54" s="6" t="n">
        <v>2</v>
      </c>
      <c r="Y54" s="5" t="n">
        <f aca="false">IF(X54="","",RANK(X54,X$2:X$151,0))</f>
        <v>31</v>
      </c>
      <c r="Z54" s="6" t="n">
        <v>1</v>
      </c>
      <c r="AA54" s="5" t="n">
        <f aca="false">IF(Z54="","",RANK(Z54,Z$2:Z$151,0))</f>
        <v>32</v>
      </c>
      <c r="AB54" s="6" t="n">
        <v>20</v>
      </c>
      <c r="AC54" s="5" t="n">
        <f aca="false">IF(AB54="","",RANK(AB54,AB$2:AB$151,0))</f>
        <v>9</v>
      </c>
      <c r="AD54" s="6" t="n">
        <f aca="false">IF(K54="","",K54-YEAR(H54))</f>
        <v>22</v>
      </c>
      <c r="AE54" s="5" t="n">
        <f aca="false">IF(AD54="","",RANK(AD54,AD$2:AD$151,0))</f>
        <v>71</v>
      </c>
      <c r="AF54" s="7" t="n">
        <v>131</v>
      </c>
      <c r="AG54" s="5" t="n">
        <f aca="false">IF(AF54="","",RANK(AF54,AF$2:AF$151,0))</f>
        <v>67</v>
      </c>
      <c r="AH54" s="7" t="n">
        <v>1100</v>
      </c>
      <c r="AI54" s="5" t="n">
        <f aca="false">IF(AH54="","",RANK(AH54,AH$2:AH$151,0))</f>
        <v>6</v>
      </c>
      <c r="AJ54" s="4" t="n">
        <v>11</v>
      </c>
      <c r="AK54" s="5" t="n">
        <f aca="false">IF(AJ54="","",RANK(AJ54,AJ$2:AJ$151,0))</f>
        <v>60</v>
      </c>
      <c r="AL54" s="6" t="n">
        <v>4</v>
      </c>
      <c r="AM54" s="5" t="n">
        <f aca="false">IF(AL54="","",RANK(AL54,AL$2:AL$151,0))</f>
        <v>12</v>
      </c>
      <c r="AN54" s="6" t="n">
        <v>6</v>
      </c>
      <c r="AO54" s="5" t="n">
        <f aca="false">IF(AN54="","",RANK(AN54,AN$2:AN$151,0))</f>
        <v>1</v>
      </c>
    </row>
    <row r="55" customFormat="false" ht="15" hidden="false" customHeight="false" outlineLevel="0" collapsed="false">
      <c r="A55" s="2" t="n">
        <v>54</v>
      </c>
      <c r="B55" s="2" t="s">
        <v>151</v>
      </c>
      <c r="C55" s="2" t="s">
        <v>148</v>
      </c>
      <c r="D55" s="2" t="s">
        <v>46</v>
      </c>
      <c r="E55" s="2" t="s">
        <v>30</v>
      </c>
      <c r="F55" s="2" t="s">
        <v>67</v>
      </c>
      <c r="G55" s="2" t="s">
        <v>152</v>
      </c>
      <c r="H55" s="3" t="n">
        <v>31566</v>
      </c>
      <c r="I55" s="2" t="n">
        <v>2001</v>
      </c>
      <c r="J55" s="2" t="n">
        <v>2024</v>
      </c>
      <c r="K55" s="2" t="n">
        <v>2005</v>
      </c>
      <c r="L55" s="4" t="n">
        <f aca="false">ROUND((DATE(2026,9,1)-H55)/365.25,1)</f>
        <v>40.2</v>
      </c>
      <c r="M55" s="5" t="n">
        <f aca="false">IF(L55="","",RANK(L55,L$2:L$151,0))</f>
        <v>59</v>
      </c>
      <c r="N55" s="6" t="n">
        <v>185</v>
      </c>
      <c r="O55" s="5" t="n">
        <f aca="false">IF(N55="","",RANK(N55,N$2:N$151,0))</f>
        <v>54</v>
      </c>
      <c r="P55" s="6" t="n">
        <v>85</v>
      </c>
      <c r="Q55" s="5" t="n">
        <f aca="false">IF(P55="","",RANK(P55,P$2:P$151,0))</f>
        <v>50</v>
      </c>
      <c r="R55" s="6" t="n">
        <f aca="false">I55-YEAR(H55)</f>
        <v>15</v>
      </c>
      <c r="S55" s="5" t="n">
        <f aca="false">IF(R55="","",RANK(R55,R$2:R$151,0))</f>
        <v>130</v>
      </c>
      <c r="T55" s="6" t="n">
        <f aca="false">IF(J55="",2026,J55)-I55</f>
        <v>23</v>
      </c>
      <c r="U55" s="5" t="n">
        <f aca="false">IF(T55="","",RANK(T55,T$2:T$151,0))</f>
        <v>20</v>
      </c>
      <c r="V55" s="6" t="n">
        <v>3</v>
      </c>
      <c r="W55" s="5" t="n">
        <f aca="false">IF(V55="","",RANK(V55,V$2:V$151,0))</f>
        <v>22</v>
      </c>
      <c r="X55" s="6" t="n">
        <v>2</v>
      </c>
      <c r="Y55" s="5" t="n">
        <f aca="false">IF(X55="","",RANK(X55,X$2:X$151,0))</f>
        <v>31</v>
      </c>
      <c r="Z55" s="6" t="n">
        <v>2</v>
      </c>
      <c r="AA55" s="5" t="n">
        <f aca="false">IF(Z55="","",RANK(Z55,Z$2:Z$151,0))</f>
        <v>21</v>
      </c>
      <c r="AB55" s="6" t="n">
        <v>22</v>
      </c>
      <c r="AC55" s="5" t="n">
        <f aca="false">IF(AB55="","",RANK(AB55,AB$2:AB$151,0))</f>
        <v>6</v>
      </c>
      <c r="AD55" s="6" t="n">
        <f aca="false">IF(K55="","",K55-YEAR(H55))</f>
        <v>19</v>
      </c>
      <c r="AE55" s="5" t="n">
        <f aca="false">IF(AD55="","",RANK(AD55,AD$2:AD$151,0))</f>
        <v>109</v>
      </c>
      <c r="AF55" s="7" t="n">
        <v>135</v>
      </c>
      <c r="AG55" s="5" t="n">
        <f aca="false">IF(AF55="","",RANK(AF55,AF$2:AF$151,0))</f>
        <v>66</v>
      </c>
      <c r="AH55" s="7" t="n">
        <v>220</v>
      </c>
      <c r="AI55" s="5" t="n">
        <f aca="false">IF(AH55="","",RANK(AH55,AH$2:AH$151,0))</f>
        <v>28</v>
      </c>
      <c r="AJ55" s="4" t="n">
        <v>23</v>
      </c>
      <c r="AK55" s="5" t="n">
        <f aca="false">IF(AJ55="","",RANK(AJ55,AJ$2:AJ$151,0))</f>
        <v>35</v>
      </c>
      <c r="AL55" s="6" t="n">
        <v>1</v>
      </c>
      <c r="AM55" s="5" t="n">
        <f aca="false">IF(AL55="","",RANK(AL55,AL$2:AL$151,0))</f>
        <v>77</v>
      </c>
      <c r="AN55" s="6" t="n">
        <v>4</v>
      </c>
      <c r="AO55" s="5" t="n">
        <f aca="false">IF(AN55="","",RANK(AN55,AN$2:AN$151,0))</f>
        <v>4</v>
      </c>
    </row>
    <row r="56" customFormat="false" ht="15" hidden="false" customHeight="false" outlineLevel="0" collapsed="false">
      <c r="A56" s="2" t="n">
        <v>55</v>
      </c>
      <c r="B56" s="2" t="s">
        <v>153</v>
      </c>
      <c r="C56" s="2" t="s">
        <v>148</v>
      </c>
      <c r="D56" s="2" t="s">
        <v>129</v>
      </c>
      <c r="E56" s="2" t="s">
        <v>30</v>
      </c>
      <c r="F56" s="2" t="s">
        <v>31</v>
      </c>
      <c r="G56" s="2" t="s">
        <v>154</v>
      </c>
      <c r="H56" s="3" t="n">
        <v>31919</v>
      </c>
      <c r="I56" s="2" t="n">
        <v>2003</v>
      </c>
      <c r="J56" s="2"/>
      <c r="K56" s="2" t="n">
        <v>2008</v>
      </c>
      <c r="L56" s="4" t="n">
        <f aca="false">ROUND((DATE(2026,9,1)-H56)/365.25,1)</f>
        <v>39.3</v>
      </c>
      <c r="M56" s="5" t="n">
        <f aca="false">IF(L56="","",RANK(L56,L$2:L$151,0))</f>
        <v>66</v>
      </c>
      <c r="N56" s="6" t="n">
        <v>188</v>
      </c>
      <c r="O56" s="5" t="n">
        <f aca="false">IF(N56="","",RANK(N56,N$2:N$151,0))</f>
        <v>40</v>
      </c>
      <c r="P56" s="6" t="n">
        <v>77</v>
      </c>
      <c r="Q56" s="5" t="n">
        <f aca="false">IF(P56="","",RANK(P56,P$2:P$151,0))</f>
        <v>71</v>
      </c>
      <c r="R56" s="6" t="n">
        <f aca="false">I56-YEAR(H56)</f>
        <v>16</v>
      </c>
      <c r="S56" s="5" t="n">
        <f aca="false">IF(R56="","",RANK(R56,R$2:R$151,0))</f>
        <v>109</v>
      </c>
      <c r="T56" s="6" t="n">
        <f aca="false">IF(J56="",2026,J56)-I56</f>
        <v>23</v>
      </c>
      <c r="U56" s="5" t="n">
        <f aca="false">IF(T56="","",RANK(T56,T$2:T$151,0))</f>
        <v>20</v>
      </c>
      <c r="V56" s="6" t="n">
        <v>5</v>
      </c>
      <c r="W56" s="5" t="n">
        <f aca="false">IF(V56="","",RANK(V56,V$2:V$151,0))</f>
        <v>3</v>
      </c>
      <c r="X56" s="6" t="n">
        <v>2</v>
      </c>
      <c r="Y56" s="5" t="n">
        <f aca="false">IF(X56="","",RANK(X56,X$2:X$151,0))</f>
        <v>31</v>
      </c>
      <c r="Z56" s="6" t="n">
        <v>1</v>
      </c>
      <c r="AA56" s="5" t="n">
        <f aca="false">IF(Z56="","",RANK(Z56,Z$2:Z$151,0))</f>
        <v>32</v>
      </c>
      <c r="AB56" s="6" t="n">
        <v>24</v>
      </c>
      <c r="AC56" s="5" t="n">
        <f aca="false">IF(AB56="","",RANK(AB56,AB$2:AB$151,0))</f>
        <v>4</v>
      </c>
      <c r="AD56" s="6" t="n">
        <f aca="false">IF(K56="","",K56-YEAR(H56))</f>
        <v>21</v>
      </c>
      <c r="AE56" s="5" t="n">
        <f aca="false">IF(AD56="","",RANK(AD56,AD$2:AD$151,0))</f>
        <v>91</v>
      </c>
      <c r="AF56" s="7" t="n">
        <v>190</v>
      </c>
      <c r="AG56" s="5" t="n">
        <f aca="false">IF(AF56="","",RANK(AF56,AF$2:AF$151,0))</f>
        <v>55</v>
      </c>
      <c r="AH56" s="7" t="n">
        <v>250</v>
      </c>
      <c r="AI56" s="5" t="n">
        <f aca="false">IF(AH56="","",RANK(AH56,AH$2:AH$151,0))</f>
        <v>22</v>
      </c>
      <c r="AJ56" s="4" t="n">
        <v>16</v>
      </c>
      <c r="AK56" s="5" t="n">
        <f aca="false">IF(AJ56="","",RANK(AJ56,AJ$2:AJ$151,0))</f>
        <v>42</v>
      </c>
      <c r="AL56" s="6" t="n">
        <v>2</v>
      </c>
      <c r="AM56" s="5" t="n">
        <f aca="false">IF(AL56="","",RANK(AL56,AL$2:AL$151,0))</f>
        <v>49</v>
      </c>
      <c r="AN56" s="6" t="n">
        <v>5</v>
      </c>
      <c r="AO56" s="5" t="n">
        <f aca="false">IF(AN56="","",RANK(AN56,AN$2:AN$151,0))</f>
        <v>2</v>
      </c>
    </row>
    <row r="57" customFormat="false" ht="15" hidden="false" customHeight="false" outlineLevel="0" collapsed="false">
      <c r="A57" s="2" t="n">
        <v>56</v>
      </c>
      <c r="B57" s="2" t="s">
        <v>155</v>
      </c>
      <c r="C57" s="2" t="s">
        <v>148</v>
      </c>
      <c r="D57" s="2" t="s">
        <v>46</v>
      </c>
      <c r="E57" s="2" t="s">
        <v>30</v>
      </c>
      <c r="F57" s="2" t="s">
        <v>31</v>
      </c>
      <c r="G57" s="2" t="s">
        <v>41</v>
      </c>
      <c r="H57" s="3" t="n">
        <v>37746</v>
      </c>
      <c r="I57" s="2" t="n">
        <v>2018</v>
      </c>
      <c r="J57" s="2"/>
      <c r="K57" s="2" t="n">
        <v>2022</v>
      </c>
      <c r="L57" s="4" t="n">
        <f aca="false">ROUND((DATE(2026,9,1)-H57)/365.25,1)</f>
        <v>23.3</v>
      </c>
      <c r="M57" s="5" t="n">
        <f aca="false">IF(L57="","",RANK(L57,L$2:L$151,0))</f>
        <v>143</v>
      </c>
      <c r="N57" s="6" t="n">
        <v>183</v>
      </c>
      <c r="O57" s="5" t="n">
        <f aca="false">IF(N57="","",RANK(N57,N$2:N$151,0))</f>
        <v>66</v>
      </c>
      <c r="P57" s="6" t="n">
        <v>74</v>
      </c>
      <c r="Q57" s="5" t="n">
        <f aca="false">IF(P57="","",RANK(P57,P$2:P$151,0))</f>
        <v>79</v>
      </c>
      <c r="R57" s="6" t="n">
        <f aca="false">I57-YEAR(H57)</f>
        <v>15</v>
      </c>
      <c r="S57" s="5" t="n">
        <f aca="false">IF(R57="","",RANK(R57,R$2:R$151,0))</f>
        <v>130</v>
      </c>
      <c r="T57" s="6" t="n">
        <f aca="false">IF(J57="",2026,J57)-I57</f>
        <v>8</v>
      </c>
      <c r="U57" s="5" t="n">
        <f aca="false">IF(T57="","",RANK(T57,T$2:T$151,0))</f>
        <v>132</v>
      </c>
      <c r="V57" s="6" t="n">
        <v>1</v>
      </c>
      <c r="W57" s="5" t="n">
        <f aca="false">IF(V57="","",RANK(V57,V$2:V$151,0))</f>
        <v>54</v>
      </c>
      <c r="X57" s="6" t="n">
        <v>1</v>
      </c>
      <c r="Y57" s="5" t="n">
        <f aca="false">IF(X57="","",RANK(X57,X$2:X$151,0))</f>
        <v>45</v>
      </c>
      <c r="Z57" s="6" t="n">
        <v>0</v>
      </c>
      <c r="AA57" s="5" t="n">
        <f aca="false">IF(Z57="","",RANK(Z57,Z$2:Z$151,0))</f>
        <v>53</v>
      </c>
      <c r="AB57" s="6" t="n">
        <v>7</v>
      </c>
      <c r="AC57" s="5" t="n">
        <f aca="false">IF(AB57="","",RANK(AB57,AB$2:AB$151,0))</f>
        <v>24</v>
      </c>
      <c r="AD57" s="6" t="n">
        <f aca="false">IF(K57="","",K57-YEAR(H57))</f>
        <v>19</v>
      </c>
      <c r="AE57" s="5" t="n">
        <f aca="false">IF(AD57="","",RANK(AD57,AD$2:AD$151,0))</f>
        <v>109</v>
      </c>
      <c r="AF57" s="7" t="n">
        <v>60</v>
      </c>
      <c r="AG57" s="5" t="n">
        <f aca="false">IF(AF57="","",RANK(AF57,AF$2:AF$151,0))</f>
        <v>86</v>
      </c>
      <c r="AH57" s="7" t="n">
        <v>50</v>
      </c>
      <c r="AI57" s="5" t="n">
        <f aca="false">IF(AH57="","",RANK(AH57,AH$2:AH$151,0))</f>
        <v>97</v>
      </c>
      <c r="AJ57" s="4" t="n">
        <v>7</v>
      </c>
      <c r="AK57" s="5" t="n">
        <f aca="false">IF(AJ57="","",RANK(AJ57,AJ$2:AJ$151,0))</f>
        <v>66</v>
      </c>
      <c r="AL57" s="6" t="n">
        <v>0</v>
      </c>
      <c r="AM57" s="5" t="n">
        <f aca="false">IF(AL57="","",RANK(AL57,AL$2:AL$151,0))</f>
        <v>95</v>
      </c>
      <c r="AN57" s="6" t="n">
        <v>1</v>
      </c>
      <c r="AO57" s="5" t="n">
        <f aca="false">IF(AN57="","",RANK(AN57,AN$2:AN$151,0))</f>
        <v>11</v>
      </c>
    </row>
    <row r="58" customFormat="false" ht="15" hidden="false" customHeight="false" outlineLevel="0" collapsed="false">
      <c r="A58" s="2" t="n">
        <v>57</v>
      </c>
      <c r="B58" s="2" t="s">
        <v>156</v>
      </c>
      <c r="C58" s="2" t="s">
        <v>148</v>
      </c>
      <c r="D58" s="2" t="s">
        <v>86</v>
      </c>
      <c r="E58" s="2" t="s">
        <v>30</v>
      </c>
      <c r="F58" s="2" t="s">
        <v>31</v>
      </c>
      <c r="G58" s="2" t="s">
        <v>41</v>
      </c>
      <c r="H58" s="3" t="n">
        <v>37119</v>
      </c>
      <c r="I58" s="2" t="n">
        <v>2018</v>
      </c>
      <c r="J58" s="2"/>
      <c r="K58" s="2" t="n">
        <v>2024</v>
      </c>
      <c r="L58" s="4" t="n">
        <f aca="false">ROUND((DATE(2026,9,1)-H58)/365.25,1)</f>
        <v>25</v>
      </c>
      <c r="M58" s="5" t="n">
        <f aca="false">IF(L58="","",RANK(L58,L$2:L$151,0))</f>
        <v>139</v>
      </c>
      <c r="N58" s="6" t="n">
        <v>191</v>
      </c>
      <c r="O58" s="5" t="n">
        <f aca="false">IF(N58="","",RANK(N58,N$2:N$151,0))</f>
        <v>30</v>
      </c>
      <c r="P58" s="6" t="n">
        <v>77</v>
      </c>
      <c r="Q58" s="5" t="n">
        <f aca="false">IF(P58="","",RANK(P58,P$2:P$151,0))</f>
        <v>71</v>
      </c>
      <c r="R58" s="6" t="n">
        <f aca="false">I58-YEAR(H58)</f>
        <v>17</v>
      </c>
      <c r="S58" s="5" t="n">
        <f aca="false">IF(R58="","",RANK(R58,R$2:R$151,0))</f>
        <v>82</v>
      </c>
      <c r="T58" s="6" t="n">
        <f aca="false">IF(J58="",2026,J58)-I58</f>
        <v>8</v>
      </c>
      <c r="U58" s="5" t="n">
        <f aca="false">IF(T58="","",RANK(T58,T$2:T$151,0))</f>
        <v>132</v>
      </c>
      <c r="V58" s="6" t="n">
        <v>0</v>
      </c>
      <c r="W58" s="5" t="n">
        <f aca="false">IF(V58="","",RANK(V58,V$2:V$151,0))</f>
        <v>82</v>
      </c>
      <c r="X58" s="6" t="n">
        <v>0</v>
      </c>
      <c r="Y58" s="5" t="n">
        <f aca="false">IF(X58="","",RANK(X58,X$2:X$151,0))</f>
        <v>65</v>
      </c>
      <c r="Z58" s="6" t="n">
        <v>0</v>
      </c>
      <c r="AA58" s="5" t="n">
        <f aca="false">IF(Z58="","",RANK(Z58,Z$2:Z$151,0))</f>
        <v>53</v>
      </c>
      <c r="AB58" s="6" t="n">
        <v>4</v>
      </c>
      <c r="AC58" s="5" t="n">
        <f aca="false">IF(AB58="","",RANK(AB58,AB$2:AB$151,0))</f>
        <v>52</v>
      </c>
      <c r="AD58" s="6" t="n">
        <f aca="false">IF(K58="","",K58-YEAR(H58))</f>
        <v>23</v>
      </c>
      <c r="AE58" s="5" t="n">
        <f aca="false">IF(AD58="","",RANK(AD58,AD$2:AD$151,0))</f>
        <v>61</v>
      </c>
      <c r="AF58" s="7" t="n">
        <v>55</v>
      </c>
      <c r="AG58" s="5" t="n">
        <f aca="false">IF(AF58="","",RANK(AF58,AF$2:AF$151,0))</f>
        <v>88</v>
      </c>
      <c r="AH58" s="7" t="n">
        <v>40</v>
      </c>
      <c r="AI58" s="5" t="n">
        <f aca="false">IF(AH58="","",RANK(AH58,AH$2:AH$151,0))</f>
        <v>100</v>
      </c>
      <c r="AJ58" s="4" t="n">
        <v>3</v>
      </c>
      <c r="AK58" s="5" t="n">
        <f aca="false">IF(AJ58="","",RANK(AJ58,AJ$2:AJ$151,0))</f>
        <v>85</v>
      </c>
      <c r="AL58" s="6" t="n">
        <v>0</v>
      </c>
      <c r="AM58" s="5" t="n">
        <f aca="false">IF(AL58="","",RANK(AL58,AL$2:AL$151,0))</f>
        <v>95</v>
      </c>
      <c r="AN58" s="6" t="n">
        <v>0</v>
      </c>
      <c r="AO58" s="5" t="n">
        <f aca="false">IF(AN58="","",RANK(AN58,AN$2:AN$151,0))</f>
        <v>22</v>
      </c>
    </row>
    <row r="59" customFormat="false" ht="15" hidden="false" customHeight="false" outlineLevel="0" collapsed="false">
      <c r="A59" s="2" t="n">
        <v>58</v>
      </c>
      <c r="B59" s="2" t="s">
        <v>157</v>
      </c>
      <c r="C59" s="2" t="s">
        <v>148</v>
      </c>
      <c r="D59" s="2" t="s">
        <v>158</v>
      </c>
      <c r="E59" s="2" t="s">
        <v>30</v>
      </c>
      <c r="F59" s="2" t="s">
        <v>67</v>
      </c>
      <c r="G59" s="2" t="s">
        <v>159</v>
      </c>
      <c r="H59" s="3" t="n">
        <v>31912</v>
      </c>
      <c r="I59" s="2" t="n">
        <v>2005</v>
      </c>
      <c r="J59" s="2" t="n">
        <v>2024</v>
      </c>
      <c r="K59" s="2" t="n">
        <v>2012</v>
      </c>
      <c r="L59" s="4" t="n">
        <f aca="false">ROUND((DATE(2026,9,1)-H59)/365.25,1)</f>
        <v>39.3</v>
      </c>
      <c r="M59" s="5" t="n">
        <f aca="false">IF(L59="","",RANK(L59,L$2:L$151,0))</f>
        <v>66</v>
      </c>
      <c r="N59" s="6" t="n">
        <v>191</v>
      </c>
      <c r="O59" s="5" t="n">
        <f aca="false">IF(N59="","",RANK(N59,N$2:N$151,0))</f>
        <v>30</v>
      </c>
      <c r="P59" s="6" t="n">
        <v>84</v>
      </c>
      <c r="Q59" s="5" t="n">
        <f aca="false">IF(P59="","",RANK(P59,P$2:P$151,0))</f>
        <v>52</v>
      </c>
      <c r="R59" s="6" t="n">
        <f aca="false">I59-YEAR(H59)</f>
        <v>18</v>
      </c>
      <c r="S59" s="5" t="n">
        <f aca="false">IF(R59="","",RANK(R59,R$2:R$151,0))</f>
        <v>56</v>
      </c>
      <c r="T59" s="6" t="n">
        <f aca="false">IF(J59="",2026,J59)-I59</f>
        <v>19</v>
      </c>
      <c r="U59" s="5" t="n">
        <f aca="false">IF(T59="","",RANK(T59,T$2:T$151,0))</f>
        <v>51</v>
      </c>
      <c r="V59" s="6" t="n">
        <v>5</v>
      </c>
      <c r="W59" s="5" t="n">
        <f aca="false">IF(V59="","",RANK(V59,V$2:V$151,0))</f>
        <v>3</v>
      </c>
      <c r="X59" s="6" t="n">
        <v>3</v>
      </c>
      <c r="Y59" s="5" t="n">
        <f aca="false">IF(X59="","",RANK(X59,X$2:X$151,0))</f>
        <v>23</v>
      </c>
      <c r="Z59" s="6" t="n">
        <v>2</v>
      </c>
      <c r="AA59" s="5" t="n">
        <f aca="false">IF(Z59="","",RANK(Z59,Z$2:Z$151,0))</f>
        <v>21</v>
      </c>
      <c r="AB59" s="6" t="n">
        <v>3</v>
      </c>
      <c r="AC59" s="5" t="n">
        <f aca="false">IF(AB59="","",RANK(AB59,AB$2:AB$151,0))</f>
        <v>69</v>
      </c>
      <c r="AD59" s="6" t="n">
        <f aca="false">IF(K59="","",K59-YEAR(H59))</f>
        <v>25</v>
      </c>
      <c r="AE59" s="5" t="n">
        <f aca="false">IF(AD59="","",RANK(AD59,AD$2:AD$151,0))</f>
        <v>47</v>
      </c>
      <c r="AF59" s="7" t="n">
        <v>65</v>
      </c>
      <c r="AG59" s="5" t="n">
        <f aca="false">IF(AF59="","",RANK(AF59,AF$2:AF$151,0))</f>
        <v>85</v>
      </c>
      <c r="AH59" s="7" t="n">
        <v>100</v>
      </c>
      <c r="AI59" s="5" t="n">
        <f aca="false">IF(AH59="","",RANK(AH59,AH$2:AH$151,0))</f>
        <v>61</v>
      </c>
      <c r="AJ59" s="4" t="n">
        <v>4</v>
      </c>
      <c r="AK59" s="5" t="n">
        <f aca="false">IF(AJ59="","",RANK(AJ59,AJ$2:AJ$151,0))</f>
        <v>76</v>
      </c>
      <c r="AL59" s="6" t="n">
        <v>4</v>
      </c>
      <c r="AM59" s="5" t="n">
        <f aca="false">IF(AL59="","",RANK(AL59,AL$2:AL$151,0))</f>
        <v>12</v>
      </c>
      <c r="AN59" s="6" t="n">
        <v>0</v>
      </c>
      <c r="AO59" s="5" t="n">
        <f aca="false">IF(AN59="","",RANK(AN59,AN$2:AN$151,0))</f>
        <v>22</v>
      </c>
    </row>
    <row r="60" customFormat="false" ht="15" hidden="false" customHeight="false" outlineLevel="0" collapsed="false">
      <c r="A60" s="2" t="n">
        <v>59</v>
      </c>
      <c r="B60" s="2" t="s">
        <v>160</v>
      </c>
      <c r="C60" s="2" t="s">
        <v>148</v>
      </c>
      <c r="D60" s="2" t="s">
        <v>108</v>
      </c>
      <c r="E60" s="2" t="s">
        <v>30</v>
      </c>
      <c r="F60" s="2" t="s">
        <v>67</v>
      </c>
      <c r="G60" s="2" t="s">
        <v>161</v>
      </c>
      <c r="H60" s="3" t="n">
        <v>26157</v>
      </c>
      <c r="I60" s="2" t="n">
        <v>1988</v>
      </c>
      <c r="J60" s="2" t="n">
        <v>2002</v>
      </c>
      <c r="K60" s="2" t="n">
        <v>1990</v>
      </c>
      <c r="L60" s="4" t="n">
        <f aca="false">ROUND((DATE(2026,9,1)-H60)/365.25,1)</f>
        <v>55.1</v>
      </c>
      <c r="M60" s="5" t="n">
        <f aca="false">IF(L60="","",RANK(L60,L$2:L$151,0))</f>
        <v>12</v>
      </c>
      <c r="N60" s="6" t="n">
        <v>185</v>
      </c>
      <c r="O60" s="5" t="n">
        <f aca="false">IF(N60="","",RANK(N60,N$2:N$151,0))</f>
        <v>54</v>
      </c>
      <c r="P60" s="6" t="n">
        <v>77</v>
      </c>
      <c r="Q60" s="5" t="n">
        <f aca="false">IF(P60="","",RANK(P60,P$2:P$151,0))</f>
        <v>71</v>
      </c>
      <c r="R60" s="6" t="n">
        <f aca="false">I60-YEAR(H60)</f>
        <v>17</v>
      </c>
      <c r="S60" s="5" t="n">
        <f aca="false">IF(R60="","",RANK(R60,R$2:R$151,0))</f>
        <v>82</v>
      </c>
      <c r="T60" s="6" t="n">
        <f aca="false">IF(J60="",2026,J60)-I60</f>
        <v>14</v>
      </c>
      <c r="U60" s="5" t="n">
        <f aca="false">IF(T60="","",RANK(T60,T$2:T$151,0))</f>
        <v>94</v>
      </c>
      <c r="V60" s="6" t="n">
        <v>1</v>
      </c>
      <c r="W60" s="5" t="n">
        <f aca="false">IF(V60="","",RANK(V60,V$2:V$151,0))</f>
        <v>54</v>
      </c>
      <c r="X60" s="6" t="n">
        <v>0</v>
      </c>
      <c r="Y60" s="5" t="n">
        <f aca="false">IF(X60="","",RANK(X60,X$2:X$151,0))</f>
        <v>65</v>
      </c>
      <c r="Z60" s="6" t="n">
        <v>0</v>
      </c>
      <c r="AA60" s="5" t="n">
        <f aca="false">IF(Z60="","",RANK(Z60,Z$2:Z$151,0))</f>
        <v>53</v>
      </c>
      <c r="AB60" s="6" t="n">
        <v>14</v>
      </c>
      <c r="AC60" s="5" t="n">
        <f aca="false">IF(AB60="","",RANK(AB60,AB$2:AB$151,0))</f>
        <v>14</v>
      </c>
      <c r="AD60" s="6" t="n">
        <f aca="false">IF(K60="","",K60-YEAR(H60))</f>
        <v>19</v>
      </c>
      <c r="AE60" s="5" t="n">
        <f aca="false">IF(AD60="","",RANK(AD60,AD$2:AD$151,0))</f>
        <v>109</v>
      </c>
      <c r="AF60" s="7" t="n">
        <v>43</v>
      </c>
      <c r="AG60" s="5" t="n">
        <f aca="false">IF(AF60="","",RANK(AF60,AF$2:AF$151,0))</f>
        <v>93</v>
      </c>
      <c r="AH60" s="7" t="n">
        <v>150</v>
      </c>
      <c r="AI60" s="5" t="n">
        <f aca="false">IF(AH60="","",RANK(AH60,AH$2:AH$151,0))</f>
        <v>44</v>
      </c>
      <c r="AJ60" s="4"/>
      <c r="AK60" s="5" t="str">
        <f aca="false">IF(AJ60="","",RANK(AJ60,AJ$2:AJ$151,0))</f>
        <v/>
      </c>
      <c r="AL60" s="6" t="n">
        <v>2</v>
      </c>
      <c r="AM60" s="5" t="n">
        <f aca="false">IF(AL60="","",RANK(AL60,AL$2:AL$151,0))</f>
        <v>49</v>
      </c>
      <c r="AN60" s="6" t="n">
        <v>0</v>
      </c>
      <c r="AO60" s="5" t="n">
        <f aca="false">IF(AN60="","",RANK(AN60,AN$2:AN$151,0))</f>
        <v>22</v>
      </c>
    </row>
    <row r="61" customFormat="false" ht="15" hidden="false" customHeight="false" outlineLevel="0" collapsed="false">
      <c r="A61" s="2" t="n">
        <v>60</v>
      </c>
      <c r="B61" s="2" t="s">
        <v>162</v>
      </c>
      <c r="C61" s="2" t="s">
        <v>148</v>
      </c>
      <c r="D61" s="2" t="s">
        <v>108</v>
      </c>
      <c r="E61" s="2" t="s">
        <v>30</v>
      </c>
      <c r="F61" s="2" t="s">
        <v>67</v>
      </c>
      <c r="G61" s="2" t="s">
        <v>163</v>
      </c>
      <c r="H61" s="3" t="n">
        <v>25687</v>
      </c>
      <c r="I61" s="2" t="n">
        <v>1986</v>
      </c>
      <c r="J61" s="2" t="n">
        <v>2006</v>
      </c>
      <c r="K61" s="2" t="n">
        <v>1992</v>
      </c>
      <c r="L61" s="4" t="n">
        <f aca="false">ROUND((DATE(2026,9,1)-H61)/365.25,1)</f>
        <v>56.3</v>
      </c>
      <c r="M61" s="5" t="n">
        <f aca="false">IF(L61="","",RANK(L61,L$2:L$151,0))</f>
        <v>10</v>
      </c>
      <c r="N61" s="6" t="n">
        <v>180</v>
      </c>
      <c r="O61" s="5" t="n">
        <f aca="false">IF(N61="","",RANK(N61,N$2:N$151,0))</f>
        <v>83</v>
      </c>
      <c r="P61" s="6" t="n">
        <v>80</v>
      </c>
      <c r="Q61" s="5" t="n">
        <f aca="false">IF(P61="","",RANK(P61,P$2:P$151,0))</f>
        <v>65</v>
      </c>
      <c r="R61" s="6" t="n">
        <f aca="false">I61-YEAR(H61)</f>
        <v>16</v>
      </c>
      <c r="S61" s="5" t="n">
        <f aca="false">IF(R61="","",RANK(R61,R$2:R$151,0))</f>
        <v>109</v>
      </c>
      <c r="T61" s="6" t="n">
        <f aca="false">IF(J61="",2026,J61)-I61</f>
        <v>20</v>
      </c>
      <c r="U61" s="5" t="n">
        <f aca="false">IF(T61="","",RANK(T61,T$2:T$151,0))</f>
        <v>42</v>
      </c>
      <c r="V61" s="6" t="n">
        <v>1</v>
      </c>
      <c r="W61" s="5" t="n">
        <f aca="false">IF(V61="","",RANK(V61,V$2:V$151,0))</f>
        <v>54</v>
      </c>
      <c r="X61" s="6" t="n">
        <v>1</v>
      </c>
      <c r="Y61" s="5" t="n">
        <f aca="false">IF(X61="","",RANK(X61,X$2:X$151,0))</f>
        <v>45</v>
      </c>
      <c r="Z61" s="6" t="n">
        <v>1</v>
      </c>
      <c r="AA61" s="5" t="n">
        <f aca="false">IF(Z61="","",RANK(Z61,Z$2:Z$151,0))</f>
        <v>32</v>
      </c>
      <c r="AB61" s="6" t="n">
        <v>8</v>
      </c>
      <c r="AC61" s="5" t="n">
        <f aca="false">IF(AB61="","",RANK(AB61,AB$2:AB$151,0))</f>
        <v>20</v>
      </c>
      <c r="AD61" s="6" t="n">
        <f aca="false">IF(K61="","",K61-YEAR(H61))</f>
        <v>22</v>
      </c>
      <c r="AE61" s="5" t="n">
        <f aca="false">IF(AD61="","",RANK(AD61,AD$2:AD$151,0))</f>
        <v>71</v>
      </c>
      <c r="AF61" s="7" t="n">
        <v>31</v>
      </c>
      <c r="AG61" s="5" t="n">
        <f aca="false">IF(AF61="","",RANK(AF61,AF$2:AF$151,0))</f>
        <v>102</v>
      </c>
      <c r="AH61" s="7" t="n">
        <v>175</v>
      </c>
      <c r="AI61" s="5" t="n">
        <f aca="false">IF(AH61="","",RANK(AH61,AH$2:AH$151,0))</f>
        <v>41</v>
      </c>
      <c r="AJ61" s="4"/>
      <c r="AK61" s="5" t="str">
        <f aca="false">IF(AJ61="","",RANK(AJ61,AJ$2:AJ$151,0))</f>
        <v/>
      </c>
      <c r="AL61" s="6" t="n">
        <v>2</v>
      </c>
      <c r="AM61" s="5" t="n">
        <f aca="false">IF(AL61="","",RANK(AL61,AL$2:AL$151,0))</f>
        <v>49</v>
      </c>
      <c r="AN61" s="6" t="n">
        <v>0</v>
      </c>
      <c r="AO61" s="5" t="n">
        <f aca="false">IF(AN61="","",RANK(AN61,AN$2:AN$151,0))</f>
        <v>22</v>
      </c>
    </row>
    <row r="62" customFormat="false" ht="15" hidden="false" customHeight="false" outlineLevel="0" collapsed="false">
      <c r="A62" s="2" t="n">
        <v>61</v>
      </c>
      <c r="B62" s="2" t="s">
        <v>164</v>
      </c>
      <c r="C62" s="2" t="s">
        <v>148</v>
      </c>
      <c r="D62" s="2" t="s">
        <v>108</v>
      </c>
      <c r="E62" s="2" t="s">
        <v>105</v>
      </c>
      <c r="F62" s="2" t="s">
        <v>67</v>
      </c>
      <c r="G62" s="2" t="s">
        <v>165</v>
      </c>
      <c r="H62" s="3" t="n">
        <v>29855</v>
      </c>
      <c r="I62" s="2" t="n">
        <v>1995</v>
      </c>
      <c r="J62" s="2" t="n">
        <v>2022</v>
      </c>
      <c r="K62" s="2" t="n">
        <v>1999</v>
      </c>
      <c r="L62" s="4" t="n">
        <f aca="false">ROUND((DATE(2026,9,1)-H62)/365.25,1)</f>
        <v>44.9</v>
      </c>
      <c r="M62" s="5" t="n">
        <f aca="false">IF(L62="","",RANK(L62,L$2:L$151,0))</f>
        <v>37</v>
      </c>
      <c r="N62" s="6" t="n">
        <v>175</v>
      </c>
      <c r="O62" s="5" t="n">
        <f aca="false">IF(N62="","",RANK(N62,N$2:N$151,0))</f>
        <v>102</v>
      </c>
      <c r="P62" s="6" t="n">
        <v>70</v>
      </c>
      <c r="Q62" s="5" t="n">
        <f aca="false">IF(P62="","",RANK(P62,P$2:P$151,0))</f>
        <v>98</v>
      </c>
      <c r="R62" s="6" t="n">
        <f aca="false">I62-YEAR(H62)</f>
        <v>14</v>
      </c>
      <c r="S62" s="5" t="n">
        <f aca="false">IF(R62="","",RANK(R62,R$2:R$151,0))</f>
        <v>142</v>
      </c>
      <c r="T62" s="6" t="n">
        <f aca="false">IF(J62="",2026,J62)-I62</f>
        <v>27</v>
      </c>
      <c r="U62" s="5" t="n">
        <f aca="false">IF(T62="","",RANK(T62,T$2:T$151,0))</f>
        <v>8</v>
      </c>
      <c r="V62" s="6" t="n">
        <v>4</v>
      </c>
      <c r="W62" s="5" t="n">
        <f aca="false">IF(V62="","",RANK(V62,V$2:V$151,0))</f>
        <v>14</v>
      </c>
      <c r="X62" s="6" t="n">
        <v>4</v>
      </c>
      <c r="Y62" s="5" t="n">
        <f aca="false">IF(X62="","",RANK(X62,X$2:X$151,0))</f>
        <v>14</v>
      </c>
      <c r="Z62" s="6" t="n">
        <v>4</v>
      </c>
      <c r="AA62" s="5" t="n">
        <f aca="false">IF(Z62="","",RANK(Z62,Z$2:Z$151,0))</f>
        <v>9</v>
      </c>
      <c r="AB62" s="6" t="n">
        <v>23</v>
      </c>
      <c r="AC62" s="5" t="n">
        <f aca="false">IF(AB62="","",RANK(AB62,AB$2:AB$151,0))</f>
        <v>5</v>
      </c>
      <c r="AD62" s="6" t="n">
        <f aca="false">IF(K62="","",K62-YEAR(H62))</f>
        <v>18</v>
      </c>
      <c r="AE62" s="5" t="n">
        <f aca="false">IF(AD62="","",RANK(AD62,AD$2:AD$151,0))</f>
        <v>119</v>
      </c>
      <c r="AF62" s="7" t="n">
        <v>95</v>
      </c>
      <c r="AG62" s="5" t="n">
        <f aca="false">IF(AF62="","",RANK(AF62,AF$2:AF$151,0))</f>
        <v>77</v>
      </c>
      <c r="AH62" s="7" t="n">
        <v>350</v>
      </c>
      <c r="AI62" s="5" t="n">
        <f aca="false">IF(AH62="","",RANK(AH62,AH$2:AH$151,0))</f>
        <v>14</v>
      </c>
      <c r="AJ62" s="4" t="n">
        <v>17</v>
      </c>
      <c r="AK62" s="5" t="n">
        <f aca="false">IF(AJ62="","",RANK(AJ62,AJ$2:AJ$151,0))</f>
        <v>40</v>
      </c>
      <c r="AL62" s="6" t="n">
        <v>2</v>
      </c>
      <c r="AM62" s="5" t="n">
        <f aca="false">IF(AL62="","",RANK(AL62,AL$2:AL$151,0))</f>
        <v>49</v>
      </c>
      <c r="AN62" s="6" t="n">
        <v>4</v>
      </c>
      <c r="AO62" s="5" t="n">
        <f aca="false">IF(AN62="","",RANK(AN62,AN$2:AN$151,0))</f>
        <v>4</v>
      </c>
    </row>
    <row r="63" customFormat="false" ht="15" hidden="false" customHeight="false" outlineLevel="0" collapsed="false">
      <c r="A63" s="2" t="n">
        <v>62</v>
      </c>
      <c r="B63" s="2" t="s">
        <v>166</v>
      </c>
      <c r="C63" s="2" t="s">
        <v>148</v>
      </c>
      <c r="D63" s="2" t="s">
        <v>108</v>
      </c>
      <c r="E63" s="2" t="s">
        <v>105</v>
      </c>
      <c r="F63" s="2" t="s">
        <v>31</v>
      </c>
      <c r="G63" s="2" t="s">
        <v>167</v>
      </c>
      <c r="H63" s="3" t="n">
        <v>29389</v>
      </c>
      <c r="I63" s="2" t="n">
        <v>1994</v>
      </c>
      <c r="J63" s="2"/>
      <c r="K63" s="2" t="n">
        <v>2000</v>
      </c>
      <c r="L63" s="4" t="n">
        <f aca="false">ROUND((DATE(2026,9,1)-H63)/365.25,1)</f>
        <v>46.2</v>
      </c>
      <c r="M63" s="5" t="n">
        <f aca="false">IF(L63="","",RANK(L63,L$2:L$151,0))</f>
        <v>32</v>
      </c>
      <c r="N63" s="6" t="n">
        <v>185</v>
      </c>
      <c r="O63" s="5" t="n">
        <f aca="false">IF(N63="","",RANK(N63,N$2:N$151,0))</f>
        <v>54</v>
      </c>
      <c r="P63" s="6" t="n">
        <v>73</v>
      </c>
      <c r="Q63" s="5" t="n">
        <f aca="false">IF(P63="","",RANK(P63,P$2:P$151,0))</f>
        <v>82</v>
      </c>
      <c r="R63" s="6" t="n">
        <f aca="false">I63-YEAR(H63)</f>
        <v>14</v>
      </c>
      <c r="S63" s="5" t="n">
        <f aca="false">IF(R63="","",RANK(R63,R$2:R$151,0))</f>
        <v>142</v>
      </c>
      <c r="T63" s="6" t="n">
        <f aca="false">IF(J63="",2026,J63)-I63</f>
        <v>32</v>
      </c>
      <c r="U63" s="5" t="n">
        <f aca="false">IF(T63="","",RANK(T63,T$2:T$151,0))</f>
        <v>4</v>
      </c>
      <c r="V63" s="6" t="n">
        <v>5</v>
      </c>
      <c r="W63" s="5" t="n">
        <f aca="false">IF(V63="","",RANK(V63,V$2:V$151,0))</f>
        <v>3</v>
      </c>
      <c r="X63" s="6" t="n">
        <v>5</v>
      </c>
      <c r="Y63" s="5" t="n">
        <f aca="false">IF(X63="","",RANK(X63,X$2:X$151,0))</f>
        <v>11</v>
      </c>
      <c r="Z63" s="6" t="n">
        <v>4</v>
      </c>
      <c r="AA63" s="5" t="n">
        <f aca="false">IF(Z63="","",RANK(Z63,Z$2:Z$151,0))</f>
        <v>9</v>
      </c>
      <c r="AB63" s="6" t="n">
        <v>7</v>
      </c>
      <c r="AC63" s="5" t="n">
        <f aca="false">IF(AB63="","",RANK(AB63,AB$2:AB$151,0))</f>
        <v>24</v>
      </c>
      <c r="AD63" s="6" t="n">
        <f aca="false">IF(K63="","",K63-YEAR(H63))</f>
        <v>20</v>
      </c>
      <c r="AE63" s="5" t="n">
        <f aca="false">IF(AD63="","",RANK(AD63,AD$2:AD$151,0))</f>
        <v>99</v>
      </c>
      <c r="AF63" s="7" t="n">
        <v>43</v>
      </c>
      <c r="AG63" s="5" t="n">
        <f aca="false">IF(AF63="","",RANK(AF63,AF$2:AF$151,0))</f>
        <v>93</v>
      </c>
      <c r="AH63" s="7" t="n">
        <v>95</v>
      </c>
      <c r="AI63" s="5" t="n">
        <f aca="false">IF(AH63="","",RANK(AH63,AH$2:AH$151,0))</f>
        <v>74</v>
      </c>
      <c r="AJ63" s="4" t="n">
        <v>3.5</v>
      </c>
      <c r="AK63" s="5" t="n">
        <f aca="false">IF(AJ63="","",RANK(AJ63,AJ$2:AJ$151,0))</f>
        <v>82</v>
      </c>
      <c r="AL63" s="6" t="n">
        <v>0</v>
      </c>
      <c r="AM63" s="5" t="n">
        <f aca="false">IF(AL63="","",RANK(AL63,AL$2:AL$151,0))</f>
        <v>95</v>
      </c>
      <c r="AN63" s="6" t="n">
        <v>0</v>
      </c>
      <c r="AO63" s="5" t="n">
        <f aca="false">IF(AN63="","",RANK(AN63,AN$2:AN$151,0))</f>
        <v>22</v>
      </c>
    </row>
    <row r="64" customFormat="false" ht="15" hidden="false" customHeight="false" outlineLevel="0" collapsed="false">
      <c r="A64" s="2" t="n">
        <v>63</v>
      </c>
      <c r="B64" s="2" t="s">
        <v>163</v>
      </c>
      <c r="C64" s="2" t="s">
        <v>148</v>
      </c>
      <c r="D64" s="2" t="s">
        <v>93</v>
      </c>
      <c r="E64" s="2" t="s">
        <v>105</v>
      </c>
      <c r="F64" s="2" t="s">
        <v>67</v>
      </c>
      <c r="G64" s="2" t="s">
        <v>162</v>
      </c>
      <c r="H64" s="3" t="n">
        <v>25368</v>
      </c>
      <c r="I64" s="2" t="n">
        <v>1982</v>
      </c>
      <c r="J64" s="2" t="n">
        <v>1999</v>
      </c>
      <c r="K64" s="2" t="n">
        <v>1987</v>
      </c>
      <c r="L64" s="4" t="n">
        <f aca="false">ROUND((DATE(2026,9,1)-H64)/365.25,1)</f>
        <v>57.2</v>
      </c>
      <c r="M64" s="5" t="n">
        <f aca="false">IF(L64="","",RANK(L64,L$2:L$151,0))</f>
        <v>9</v>
      </c>
      <c r="N64" s="6" t="n">
        <v>176</v>
      </c>
      <c r="O64" s="5" t="n">
        <f aca="false">IF(N64="","",RANK(N64,N$2:N$151,0))</f>
        <v>97</v>
      </c>
      <c r="P64" s="6" t="n">
        <v>59</v>
      </c>
      <c r="Q64" s="5" t="n">
        <f aca="false">IF(P64="","",RANK(P64,P$2:P$151,0))</f>
        <v>137</v>
      </c>
      <c r="R64" s="6" t="n">
        <f aca="false">I64-YEAR(H64)</f>
        <v>13</v>
      </c>
      <c r="S64" s="5" t="n">
        <f aca="false">IF(R64="","",RANK(R64,R$2:R$151,0))</f>
        <v>148</v>
      </c>
      <c r="T64" s="6" t="n">
        <f aca="false">IF(J64="",2026,J64)-I64</f>
        <v>17</v>
      </c>
      <c r="U64" s="5" t="n">
        <f aca="false">IF(T64="","",RANK(T64,T$2:T$151,0))</f>
        <v>69</v>
      </c>
      <c r="V64" s="6" t="n">
        <v>2</v>
      </c>
      <c r="W64" s="5" t="n">
        <f aca="false">IF(V64="","",RANK(V64,V$2:V$151,0))</f>
        <v>33</v>
      </c>
      <c r="X64" s="6" t="n">
        <v>2</v>
      </c>
      <c r="Y64" s="5" t="n">
        <f aca="false">IF(X64="","",RANK(X64,X$2:X$151,0))</f>
        <v>31</v>
      </c>
      <c r="Z64" s="6" t="n">
        <v>1</v>
      </c>
      <c r="AA64" s="5" t="n">
        <f aca="false">IF(Z64="","",RANK(Z64,Z$2:Z$151,0))</f>
        <v>32</v>
      </c>
      <c r="AB64" s="6" t="n">
        <v>22</v>
      </c>
      <c r="AC64" s="5" t="n">
        <f aca="false">IF(AB64="","",RANK(AB64,AB$2:AB$151,0))</f>
        <v>6</v>
      </c>
      <c r="AD64" s="6" t="n">
        <f aca="false">IF(K64="","",K64-YEAR(H64))</f>
        <v>18</v>
      </c>
      <c r="AE64" s="5" t="n">
        <f aca="false">IF(AD64="","",RANK(AD64,AD$2:AD$151,0))</f>
        <v>119</v>
      </c>
      <c r="AF64" s="7" t="n">
        <v>22</v>
      </c>
      <c r="AG64" s="5" t="n">
        <f aca="false">IF(AF64="","",RANK(AF64,AF$2:AF$151,0))</f>
        <v>106</v>
      </c>
      <c r="AH64" s="7" t="n">
        <v>150</v>
      </c>
      <c r="AI64" s="5" t="n">
        <f aca="false">IF(AH64="","",RANK(AH64,AH$2:AH$151,0))</f>
        <v>44</v>
      </c>
      <c r="AJ64" s="4"/>
      <c r="AK64" s="5" t="str">
        <f aca="false">IF(AJ64="","",RANK(AJ64,AJ$2:AJ$151,0))</f>
        <v/>
      </c>
      <c r="AL64" s="6" t="n">
        <v>2</v>
      </c>
      <c r="AM64" s="5" t="n">
        <f aca="false">IF(AL64="","",RANK(AL64,AL$2:AL$151,0))</f>
        <v>49</v>
      </c>
      <c r="AN64" s="6" t="n">
        <v>0</v>
      </c>
      <c r="AO64" s="5" t="n">
        <f aca="false">IF(AN64="","",RANK(AN64,AN$2:AN$151,0))</f>
        <v>22</v>
      </c>
    </row>
    <row r="65" customFormat="false" ht="15" hidden="false" customHeight="false" outlineLevel="0" collapsed="false">
      <c r="A65" s="2" t="n">
        <v>64</v>
      </c>
      <c r="B65" s="2" t="s">
        <v>168</v>
      </c>
      <c r="C65" s="2" t="s">
        <v>148</v>
      </c>
      <c r="D65" s="2" t="s">
        <v>169</v>
      </c>
      <c r="E65" s="2" t="s">
        <v>105</v>
      </c>
      <c r="F65" s="2" t="s">
        <v>67</v>
      </c>
      <c r="G65" s="2" t="s">
        <v>170</v>
      </c>
      <c r="H65" s="3" t="n">
        <v>31886</v>
      </c>
      <c r="I65" s="2" t="n">
        <v>2001</v>
      </c>
      <c r="J65" s="2" t="n">
        <v>2020</v>
      </c>
      <c r="K65" s="2" t="n">
        <v>2004</v>
      </c>
      <c r="L65" s="4" t="n">
        <f aca="false">ROUND((DATE(2026,9,1)-H65)/365.25,1)</f>
        <v>39.4</v>
      </c>
      <c r="M65" s="5" t="n">
        <f aca="false">IF(L65="","",RANK(L65,L$2:L$151,0))</f>
        <v>65</v>
      </c>
      <c r="N65" s="6" t="n">
        <v>188</v>
      </c>
      <c r="O65" s="5" t="n">
        <f aca="false">IF(N65="","",RANK(N65,N$2:N$151,0))</f>
        <v>40</v>
      </c>
      <c r="P65" s="6" t="n">
        <v>59</v>
      </c>
      <c r="Q65" s="5" t="n">
        <f aca="false">IF(P65="","",RANK(P65,P$2:P$151,0))</f>
        <v>137</v>
      </c>
      <c r="R65" s="6" t="n">
        <f aca="false">I65-YEAR(H65)</f>
        <v>14</v>
      </c>
      <c r="S65" s="5" t="n">
        <f aca="false">IF(R65="","",RANK(R65,R$2:R$151,0))</f>
        <v>142</v>
      </c>
      <c r="T65" s="6" t="n">
        <f aca="false">IF(J65="",2026,J65)-I65</f>
        <v>19</v>
      </c>
      <c r="U65" s="5" t="n">
        <f aca="false">IF(T65="","",RANK(T65,T$2:T$151,0))</f>
        <v>51</v>
      </c>
      <c r="V65" s="6" t="n">
        <v>1</v>
      </c>
      <c r="W65" s="5" t="n">
        <f aca="false">IF(V65="","",RANK(V65,V$2:V$151,0))</f>
        <v>54</v>
      </c>
      <c r="X65" s="6" t="n">
        <v>1</v>
      </c>
      <c r="Y65" s="5" t="n">
        <f aca="false">IF(X65="","",RANK(X65,X$2:X$151,0))</f>
        <v>45</v>
      </c>
      <c r="Z65" s="6" t="n">
        <v>0</v>
      </c>
      <c r="AA65" s="5" t="n">
        <f aca="false">IF(Z65="","",RANK(Z65,Z$2:Z$151,0))</f>
        <v>53</v>
      </c>
      <c r="AB65" s="6" t="n">
        <v>5</v>
      </c>
      <c r="AC65" s="5" t="n">
        <f aca="false">IF(AB65="","",RANK(AB65,AB$2:AB$151,0))</f>
        <v>39</v>
      </c>
      <c r="AD65" s="6" t="n">
        <f aca="false">IF(K65="","",K65-YEAR(H65))</f>
        <v>17</v>
      </c>
      <c r="AE65" s="5" t="n">
        <f aca="false">IF(AD65="","",RANK(AD65,AD$2:AD$151,0))</f>
        <v>127</v>
      </c>
      <c r="AF65" s="7" t="n">
        <v>38</v>
      </c>
      <c r="AG65" s="5" t="n">
        <f aca="false">IF(AF65="","",RANK(AF65,AF$2:AF$151,0))</f>
        <v>101</v>
      </c>
      <c r="AH65" s="7" t="n">
        <v>180</v>
      </c>
      <c r="AI65" s="5" t="n">
        <f aca="false">IF(AH65="","",RANK(AH65,AH$2:AH$151,0))</f>
        <v>40</v>
      </c>
      <c r="AJ65" s="4" t="n">
        <v>4.5</v>
      </c>
      <c r="AK65" s="5" t="n">
        <f aca="false">IF(AJ65="","",RANK(AJ65,AJ$2:AJ$151,0))</f>
        <v>74</v>
      </c>
      <c r="AL65" s="6" t="n">
        <v>1</v>
      </c>
      <c r="AM65" s="5" t="n">
        <f aca="false">IF(AL65="","",RANK(AL65,AL$2:AL$151,0))</f>
        <v>77</v>
      </c>
      <c r="AN65" s="6" t="n">
        <v>0</v>
      </c>
      <c r="AO65" s="5" t="n">
        <f aca="false">IF(AN65="","",RANK(AN65,AN$2:AN$151,0))</f>
        <v>22</v>
      </c>
    </row>
    <row r="66" customFormat="false" ht="15" hidden="false" customHeight="false" outlineLevel="0" collapsed="false">
      <c r="A66" s="2" t="n">
        <v>65</v>
      </c>
      <c r="B66" s="2" t="s">
        <v>171</v>
      </c>
      <c r="C66" s="2" t="s">
        <v>148</v>
      </c>
      <c r="D66" s="2" t="s">
        <v>172</v>
      </c>
      <c r="E66" s="2" t="s">
        <v>105</v>
      </c>
      <c r="F66" s="2" t="s">
        <v>31</v>
      </c>
      <c r="G66" s="2" t="s">
        <v>41</v>
      </c>
      <c r="H66" s="3" t="n">
        <v>35719</v>
      </c>
      <c r="I66" s="2" t="n">
        <v>2013</v>
      </c>
      <c r="J66" s="2"/>
      <c r="K66" s="2" t="n">
        <v>2018</v>
      </c>
      <c r="L66" s="4" t="n">
        <f aca="false">ROUND((DATE(2026,9,1)-H66)/365.25,1)</f>
        <v>28.9</v>
      </c>
      <c r="M66" s="5" t="n">
        <f aca="false">IF(L66="","",RANK(L66,L$2:L$151,0))</f>
        <v>121</v>
      </c>
      <c r="N66" s="6" t="n">
        <v>180</v>
      </c>
      <c r="O66" s="5" t="n">
        <f aca="false">IF(N66="","",RANK(N66,N$2:N$151,0))</f>
        <v>83</v>
      </c>
      <c r="P66" s="6" t="n">
        <v>69</v>
      </c>
      <c r="Q66" s="5" t="n">
        <f aca="false">IF(P66="","",RANK(P66,P$2:P$151,0))</f>
        <v>107</v>
      </c>
      <c r="R66" s="6" t="n">
        <f aca="false">I66-YEAR(H66)</f>
        <v>16</v>
      </c>
      <c r="S66" s="5" t="n">
        <f aca="false">IF(R66="","",RANK(R66,R$2:R$151,0))</f>
        <v>109</v>
      </c>
      <c r="T66" s="6" t="n">
        <f aca="false">IF(J66="",2026,J66)-I66</f>
        <v>13</v>
      </c>
      <c r="U66" s="5" t="n">
        <f aca="false">IF(T66="","",RANK(T66,T$2:T$151,0))</f>
        <v>99</v>
      </c>
      <c r="V66" s="6" t="n">
        <v>2</v>
      </c>
      <c r="W66" s="5" t="n">
        <f aca="false">IF(V66="","",RANK(V66,V$2:V$151,0))</f>
        <v>33</v>
      </c>
      <c r="X66" s="6" t="n">
        <v>0</v>
      </c>
      <c r="Y66" s="5" t="n">
        <f aca="false">IF(X66="","",RANK(X66,X$2:X$151,0))</f>
        <v>65</v>
      </c>
      <c r="Z66" s="6" t="n">
        <v>0</v>
      </c>
      <c r="AA66" s="5" t="n">
        <f aca="false">IF(Z66="","",RANK(Z66,Z$2:Z$151,0))</f>
        <v>53</v>
      </c>
      <c r="AB66" s="6" t="n">
        <v>4</v>
      </c>
      <c r="AC66" s="5" t="n">
        <f aca="false">IF(AB66="","",RANK(AB66,AB$2:AB$151,0))</f>
        <v>52</v>
      </c>
      <c r="AD66" s="6" t="n">
        <f aca="false">IF(K66="","",K66-YEAR(H66))</f>
        <v>21</v>
      </c>
      <c r="AE66" s="5" t="n">
        <f aca="false">IF(AD66="","",RANK(AD66,AD$2:AD$151,0))</f>
        <v>91</v>
      </c>
      <c r="AF66" s="7" t="n">
        <v>22</v>
      </c>
      <c r="AG66" s="5" t="n">
        <f aca="false">IF(AF66="","",RANK(AF66,AF$2:AF$151,0))</f>
        <v>106</v>
      </c>
      <c r="AH66" s="7" t="n">
        <v>60</v>
      </c>
      <c r="AI66" s="5" t="n">
        <f aca="false">IF(AH66="","",RANK(AH66,AH$2:AH$151,0))</f>
        <v>85</v>
      </c>
      <c r="AJ66" s="4" t="n">
        <v>3</v>
      </c>
      <c r="AK66" s="5" t="n">
        <f aca="false">IF(AJ66="","",RANK(AJ66,AJ$2:AJ$151,0))</f>
        <v>85</v>
      </c>
      <c r="AL66" s="6" t="n">
        <v>1</v>
      </c>
      <c r="AM66" s="5" t="n">
        <f aca="false">IF(AL66="","",RANK(AL66,AL$2:AL$151,0))</f>
        <v>77</v>
      </c>
      <c r="AN66" s="6" t="n">
        <v>2</v>
      </c>
      <c r="AO66" s="5" t="n">
        <f aca="false">IF(AN66="","",RANK(AN66,AN$2:AN$151,0))</f>
        <v>8</v>
      </c>
    </row>
    <row r="67" customFormat="false" ht="15" hidden="false" customHeight="false" outlineLevel="0" collapsed="false">
      <c r="A67" s="2" t="n">
        <v>66</v>
      </c>
      <c r="B67" s="2" t="s">
        <v>173</v>
      </c>
      <c r="C67" s="2" t="s">
        <v>148</v>
      </c>
      <c r="D67" s="2" t="s">
        <v>57</v>
      </c>
      <c r="E67" s="2" t="s">
        <v>105</v>
      </c>
      <c r="F67" s="2" t="s">
        <v>31</v>
      </c>
      <c r="G67" s="2" t="s">
        <v>41</v>
      </c>
      <c r="H67" s="3" t="n">
        <v>37042</v>
      </c>
      <c r="I67" s="2" t="n">
        <v>2016</v>
      </c>
      <c r="J67" s="2"/>
      <c r="K67" s="2" t="n">
        <v>2020</v>
      </c>
      <c r="L67" s="4" t="n">
        <f aca="false">ROUND((DATE(2026,9,1)-H67)/365.25,1)</f>
        <v>25.3</v>
      </c>
      <c r="M67" s="5" t="n">
        <f aca="false">IF(L67="","",RANK(L67,L$2:L$151,0))</f>
        <v>138</v>
      </c>
      <c r="N67" s="6" t="n">
        <v>176</v>
      </c>
      <c r="O67" s="5" t="n">
        <f aca="false">IF(N67="","",RANK(N67,N$2:N$151,0))</f>
        <v>97</v>
      </c>
      <c r="P67" s="6" t="n">
        <v>65</v>
      </c>
      <c r="Q67" s="5" t="n">
        <f aca="false">IF(P67="","",RANK(P67,P$2:P$151,0))</f>
        <v>121</v>
      </c>
      <c r="R67" s="6" t="n">
        <f aca="false">I67-YEAR(H67)</f>
        <v>15</v>
      </c>
      <c r="S67" s="5" t="n">
        <f aca="false">IF(R67="","",RANK(R67,R$2:R$151,0))</f>
        <v>130</v>
      </c>
      <c r="T67" s="6" t="n">
        <f aca="false">IF(J67="",2026,J67)-I67</f>
        <v>10</v>
      </c>
      <c r="U67" s="5" t="n">
        <f aca="false">IF(T67="","",RANK(T67,T$2:T$151,0))</f>
        <v>117</v>
      </c>
      <c r="V67" s="6" t="n">
        <v>2</v>
      </c>
      <c r="W67" s="5" t="n">
        <f aca="false">IF(V67="","",RANK(V67,V$2:V$151,0))</f>
        <v>33</v>
      </c>
      <c r="X67" s="6" t="n">
        <v>1</v>
      </c>
      <c r="Y67" s="5" t="n">
        <f aca="false">IF(X67="","",RANK(X67,X$2:X$151,0))</f>
        <v>45</v>
      </c>
      <c r="Z67" s="6" t="n">
        <v>0</v>
      </c>
      <c r="AA67" s="5" t="n">
        <f aca="false">IF(Z67="","",RANK(Z67,Z$2:Z$151,0))</f>
        <v>53</v>
      </c>
      <c r="AB67" s="6" t="n">
        <v>6</v>
      </c>
      <c r="AC67" s="5" t="n">
        <f aca="false">IF(AB67="","",RANK(AB67,AB$2:AB$151,0))</f>
        <v>35</v>
      </c>
      <c r="AD67" s="6" t="n">
        <f aca="false">IF(K67="","",K67-YEAR(H67))</f>
        <v>19</v>
      </c>
      <c r="AE67" s="5" t="n">
        <f aca="false">IF(AD67="","",RANK(AD67,AD$2:AD$151,0))</f>
        <v>109</v>
      </c>
      <c r="AF67" s="7" t="n">
        <v>40</v>
      </c>
      <c r="AG67" s="5" t="n">
        <f aca="false">IF(AF67="","",RANK(AF67,AF$2:AF$151,0))</f>
        <v>95</v>
      </c>
      <c r="AH67" s="7" t="n">
        <v>30</v>
      </c>
      <c r="AI67" s="5" t="n">
        <f aca="false">IF(AH67="","",RANK(AH67,AH$2:AH$151,0))</f>
        <v>104</v>
      </c>
      <c r="AJ67" s="4" t="n">
        <v>3</v>
      </c>
      <c r="AK67" s="5" t="n">
        <f aca="false">IF(AJ67="","",RANK(AJ67,AJ$2:AJ$151,0))</f>
        <v>85</v>
      </c>
      <c r="AL67" s="6" t="n">
        <v>0</v>
      </c>
      <c r="AM67" s="5" t="n">
        <f aca="false">IF(AL67="","",RANK(AL67,AL$2:AL$151,0))</f>
        <v>95</v>
      </c>
      <c r="AN67" s="6" t="n">
        <v>0</v>
      </c>
      <c r="AO67" s="5" t="n">
        <f aca="false">IF(AN67="","",RANK(AN67,AN$2:AN$151,0))</f>
        <v>22</v>
      </c>
    </row>
    <row r="68" customFormat="false" ht="15" hidden="false" customHeight="false" outlineLevel="0" collapsed="false">
      <c r="A68" s="2" t="n">
        <v>67</v>
      </c>
      <c r="B68" s="2" t="s">
        <v>174</v>
      </c>
      <c r="C68" s="2" t="s">
        <v>148</v>
      </c>
      <c r="D68" s="2" t="s">
        <v>175</v>
      </c>
      <c r="E68" s="2" t="s">
        <v>105</v>
      </c>
      <c r="F68" s="2" t="s">
        <v>31</v>
      </c>
      <c r="G68" s="2" t="s">
        <v>176</v>
      </c>
      <c r="H68" s="3" t="n">
        <v>35920</v>
      </c>
      <c r="I68" s="2" t="n">
        <v>2015</v>
      </c>
      <c r="J68" s="2"/>
      <c r="K68" s="2" t="n">
        <v>2023</v>
      </c>
      <c r="L68" s="4" t="n">
        <f aca="false">ROUND((DATE(2026,9,1)-H68)/365.25,1)</f>
        <v>28.3</v>
      </c>
      <c r="M68" s="5" t="n">
        <f aca="false">IF(L68="","",RANK(L68,L$2:L$151,0))</f>
        <v>126</v>
      </c>
      <c r="N68" s="6" t="n">
        <v>182</v>
      </c>
      <c r="O68" s="5" t="n">
        <f aca="false">IF(N68="","",RANK(N68,N$2:N$151,0))</f>
        <v>76</v>
      </c>
      <c r="P68" s="6" t="n">
        <v>80</v>
      </c>
      <c r="Q68" s="5" t="n">
        <f aca="false">IF(P68="","",RANK(P68,P$2:P$151,0))</f>
        <v>65</v>
      </c>
      <c r="R68" s="6" t="n">
        <f aca="false">I68-YEAR(H68)</f>
        <v>17</v>
      </c>
      <c r="S68" s="5" t="n">
        <f aca="false">IF(R68="","",RANK(R68,R$2:R$151,0))</f>
        <v>82</v>
      </c>
      <c r="T68" s="6" t="n">
        <f aca="false">IF(J68="",2026,J68)-I68</f>
        <v>11</v>
      </c>
      <c r="U68" s="5" t="n">
        <f aca="false">IF(T68="","",RANK(T68,T$2:T$151,0))</f>
        <v>110</v>
      </c>
      <c r="V68" s="6" t="n">
        <v>0</v>
      </c>
      <c r="W68" s="5" t="n">
        <f aca="false">IF(V68="","",RANK(V68,V$2:V$151,0))</f>
        <v>82</v>
      </c>
      <c r="X68" s="6" t="n">
        <v>0</v>
      </c>
      <c r="Y68" s="5" t="n">
        <f aca="false">IF(X68="","",RANK(X68,X$2:X$151,0))</f>
        <v>65</v>
      </c>
      <c r="Z68" s="6" t="n">
        <v>0</v>
      </c>
      <c r="AA68" s="5" t="n">
        <f aca="false">IF(Z68="","",RANK(Z68,Z$2:Z$151,0))</f>
        <v>53</v>
      </c>
      <c r="AB68" s="6" t="n">
        <v>4</v>
      </c>
      <c r="AC68" s="5" t="n">
        <f aca="false">IF(AB68="","",RANK(AB68,AB$2:AB$151,0))</f>
        <v>52</v>
      </c>
      <c r="AD68" s="6" t="n">
        <f aca="false">IF(K68="","",K68-YEAR(H68))</f>
        <v>25</v>
      </c>
      <c r="AE68" s="5" t="n">
        <f aca="false">IF(AD68="","",RANK(AD68,AD$2:AD$151,0))</f>
        <v>47</v>
      </c>
      <c r="AF68" s="7" t="n">
        <v>45</v>
      </c>
      <c r="AG68" s="5" t="n">
        <f aca="false">IF(AF68="","",RANK(AF68,AF$2:AF$151,0))</f>
        <v>91</v>
      </c>
      <c r="AH68" s="7" t="n">
        <v>30</v>
      </c>
      <c r="AI68" s="5" t="n">
        <f aca="false">IF(AH68="","",RANK(AH68,AH$2:AH$151,0))</f>
        <v>104</v>
      </c>
      <c r="AJ68" s="4" t="n">
        <v>3</v>
      </c>
      <c r="AK68" s="5" t="n">
        <f aca="false">IF(AJ68="","",RANK(AJ68,AJ$2:AJ$151,0))</f>
        <v>85</v>
      </c>
      <c r="AL68" s="6" t="n">
        <v>0</v>
      </c>
      <c r="AM68" s="5" t="n">
        <f aca="false">IF(AL68="","",RANK(AL68,AL$2:AL$151,0))</f>
        <v>95</v>
      </c>
      <c r="AN68" s="6" t="n">
        <v>0</v>
      </c>
      <c r="AO68" s="5" t="n">
        <f aca="false">IF(AN68="","",RANK(AN68,AN$2:AN$151,0))</f>
        <v>22</v>
      </c>
    </row>
    <row r="69" customFormat="false" ht="15" hidden="false" customHeight="false" outlineLevel="0" collapsed="false">
      <c r="A69" s="2" t="n">
        <v>68</v>
      </c>
      <c r="B69" s="2" t="s">
        <v>177</v>
      </c>
      <c r="C69" s="2" t="s">
        <v>148</v>
      </c>
      <c r="D69" s="2" t="s">
        <v>108</v>
      </c>
      <c r="E69" s="2" t="s">
        <v>105</v>
      </c>
      <c r="F69" s="2" t="s">
        <v>31</v>
      </c>
      <c r="G69" s="2" t="s">
        <v>41</v>
      </c>
      <c r="H69" s="3" t="n">
        <v>38059</v>
      </c>
      <c r="I69" s="2" t="n">
        <v>2018</v>
      </c>
      <c r="J69" s="2"/>
      <c r="K69" s="2" t="n">
        <v>2023</v>
      </c>
      <c r="L69" s="4" t="n">
        <f aca="false">ROUND((DATE(2026,9,1)-H69)/365.25,1)</f>
        <v>22.5</v>
      </c>
      <c r="M69" s="5" t="n">
        <f aca="false">IF(L69="","",RANK(L69,L$2:L$151,0))</f>
        <v>147</v>
      </c>
      <c r="N69" s="6" t="n">
        <v>175</v>
      </c>
      <c r="O69" s="5" t="n">
        <f aca="false">IF(N69="","",RANK(N69,N$2:N$151,0))</f>
        <v>102</v>
      </c>
      <c r="P69" s="6" t="n">
        <v>60</v>
      </c>
      <c r="Q69" s="5" t="n">
        <f aca="false">IF(P69="","",RANK(P69,P$2:P$151,0))</f>
        <v>131</v>
      </c>
      <c r="R69" s="6" t="n">
        <f aca="false">I69-YEAR(H69)</f>
        <v>14</v>
      </c>
      <c r="S69" s="5" t="n">
        <f aca="false">IF(R69="","",RANK(R69,R$2:R$151,0))</f>
        <v>142</v>
      </c>
      <c r="T69" s="6" t="n">
        <f aca="false">IF(J69="",2026,J69)-I69</f>
        <v>8</v>
      </c>
      <c r="U69" s="5" t="n">
        <f aca="false">IF(T69="","",RANK(T69,T$2:T$151,0))</f>
        <v>132</v>
      </c>
      <c r="V69" s="6" t="n">
        <v>1</v>
      </c>
      <c r="W69" s="5" t="n">
        <f aca="false">IF(V69="","",RANK(V69,V$2:V$151,0))</f>
        <v>54</v>
      </c>
      <c r="X69" s="6" t="n">
        <v>0</v>
      </c>
      <c r="Y69" s="5" t="n">
        <f aca="false">IF(X69="","",RANK(X69,X$2:X$151,0))</f>
        <v>65</v>
      </c>
      <c r="Z69" s="6" t="n">
        <v>0</v>
      </c>
      <c r="AA69" s="5" t="n">
        <f aca="false">IF(Z69="","",RANK(Z69,Z$2:Z$151,0))</f>
        <v>53</v>
      </c>
      <c r="AB69" s="6" t="n">
        <v>2</v>
      </c>
      <c r="AC69" s="5" t="n">
        <f aca="false">IF(AB69="","",RANK(AB69,AB$2:AB$151,0))</f>
        <v>85</v>
      </c>
      <c r="AD69" s="6" t="n">
        <f aca="false">IF(K69="","",K69-YEAR(H69))</f>
        <v>19</v>
      </c>
      <c r="AE69" s="5" t="n">
        <f aca="false">IF(AD69="","",RANK(AD69,AD$2:AD$151,0))</f>
        <v>109</v>
      </c>
      <c r="AF69" s="7" t="n">
        <v>30</v>
      </c>
      <c r="AG69" s="5" t="n">
        <f aca="false">IF(AF69="","",RANK(AF69,AF$2:AF$151,0))</f>
        <v>103</v>
      </c>
      <c r="AH69" s="7" t="n">
        <v>35</v>
      </c>
      <c r="AI69" s="5" t="n">
        <f aca="false">IF(AH69="","",RANK(AH69,AH$2:AH$151,0))</f>
        <v>103</v>
      </c>
      <c r="AJ69" s="4" t="n">
        <v>1.5</v>
      </c>
      <c r="AK69" s="5" t="n">
        <f aca="false">IF(AJ69="","",RANK(AJ69,AJ$2:AJ$151,0))</f>
        <v>105</v>
      </c>
      <c r="AL69" s="6" t="n">
        <v>0</v>
      </c>
      <c r="AM69" s="5" t="n">
        <f aca="false">IF(AL69="","",RANK(AL69,AL$2:AL$151,0))</f>
        <v>95</v>
      </c>
      <c r="AN69" s="6" t="n">
        <v>0</v>
      </c>
      <c r="AO69" s="5" t="n">
        <f aca="false">IF(AN69="","",RANK(AN69,AN$2:AN$151,0))</f>
        <v>22</v>
      </c>
    </row>
    <row r="70" customFormat="false" ht="15" hidden="false" customHeight="false" outlineLevel="0" collapsed="false">
      <c r="A70" s="2" t="n">
        <v>69</v>
      </c>
      <c r="B70" s="2" t="s">
        <v>178</v>
      </c>
      <c r="C70" s="2" t="s">
        <v>148</v>
      </c>
      <c r="D70" s="2" t="s">
        <v>158</v>
      </c>
      <c r="E70" s="2" t="s">
        <v>105</v>
      </c>
      <c r="F70" s="2" t="s">
        <v>31</v>
      </c>
      <c r="G70" s="2" t="s">
        <v>41</v>
      </c>
      <c r="H70" s="3" t="n">
        <v>37573</v>
      </c>
      <c r="I70" s="2" t="n">
        <v>2018</v>
      </c>
      <c r="J70" s="2"/>
      <c r="K70" s="2" t="n">
        <v>2021</v>
      </c>
      <c r="L70" s="4" t="n">
        <f aca="false">ROUND((DATE(2026,9,1)-H70)/365.25,1)</f>
        <v>23.8</v>
      </c>
      <c r="M70" s="5" t="n">
        <f aca="false">IF(L70="","",RANK(L70,L$2:L$151,0))</f>
        <v>142</v>
      </c>
      <c r="N70" s="6" t="n">
        <v>175</v>
      </c>
      <c r="O70" s="5" t="n">
        <f aca="false">IF(N70="","",RANK(N70,N$2:N$151,0))</f>
        <v>102</v>
      </c>
      <c r="P70" s="6" t="n">
        <v>61</v>
      </c>
      <c r="Q70" s="5" t="n">
        <f aca="false">IF(P70="","",RANK(P70,P$2:P$151,0))</f>
        <v>128</v>
      </c>
      <c r="R70" s="6" t="n">
        <f aca="false">I70-YEAR(H70)</f>
        <v>16</v>
      </c>
      <c r="S70" s="5" t="n">
        <f aca="false">IF(R70="","",RANK(R70,R$2:R$151,0))</f>
        <v>109</v>
      </c>
      <c r="T70" s="6" t="n">
        <f aca="false">IF(J70="",2026,J70)-I70</f>
        <v>8</v>
      </c>
      <c r="U70" s="5" t="n">
        <f aca="false">IF(T70="","",RANK(T70,T$2:T$151,0))</f>
        <v>132</v>
      </c>
      <c r="V70" s="6" t="n">
        <v>0</v>
      </c>
      <c r="W70" s="5" t="n">
        <f aca="false">IF(V70="","",RANK(V70,V$2:V$151,0))</f>
        <v>82</v>
      </c>
      <c r="X70" s="6" t="n">
        <v>0</v>
      </c>
      <c r="Y70" s="5" t="n">
        <f aca="false">IF(X70="","",RANK(X70,X$2:X$151,0))</f>
        <v>65</v>
      </c>
      <c r="Z70" s="6" t="n">
        <v>0</v>
      </c>
      <c r="AA70" s="5" t="n">
        <f aca="false">IF(Z70="","",RANK(Z70,Z$2:Z$151,0))</f>
        <v>53</v>
      </c>
      <c r="AB70" s="6" t="n">
        <v>1</v>
      </c>
      <c r="AC70" s="5" t="n">
        <f aca="false">IF(AB70="","",RANK(AB70,AB$2:AB$151,0))</f>
        <v>106</v>
      </c>
      <c r="AD70" s="6" t="n">
        <f aca="false">IF(K70="","",K70-YEAR(H70))</f>
        <v>19</v>
      </c>
      <c r="AE70" s="5" t="n">
        <f aca="false">IF(AD70="","",RANK(AD70,AD$2:AD$151,0))</f>
        <v>109</v>
      </c>
      <c r="AF70" s="7" t="n">
        <v>6</v>
      </c>
      <c r="AG70" s="5" t="n">
        <f aca="false">IF(AF70="","",RANK(AF70,AF$2:AF$151,0))</f>
        <v>125</v>
      </c>
      <c r="AH70" s="7" t="n">
        <v>20</v>
      </c>
      <c r="AI70" s="5" t="n">
        <f aca="false">IF(AH70="","",RANK(AH70,AH$2:AH$151,0))</f>
        <v>111</v>
      </c>
      <c r="AJ70" s="4" t="n">
        <v>2.5</v>
      </c>
      <c r="AK70" s="5" t="n">
        <f aca="false">IF(AJ70="","",RANK(AJ70,AJ$2:AJ$151,0))</f>
        <v>91</v>
      </c>
      <c r="AL70" s="6" t="n">
        <v>0</v>
      </c>
      <c r="AM70" s="5" t="n">
        <f aca="false">IF(AL70="","",RANK(AL70,AL$2:AL$151,0))</f>
        <v>95</v>
      </c>
      <c r="AN70" s="6" t="n">
        <v>1</v>
      </c>
      <c r="AO70" s="5" t="n">
        <f aca="false">IF(AN70="","",RANK(AN70,AN$2:AN$151,0))</f>
        <v>11</v>
      </c>
    </row>
    <row r="71" customFormat="false" ht="15" hidden="false" customHeight="false" outlineLevel="0" collapsed="false">
      <c r="A71" s="2" t="n">
        <v>70</v>
      </c>
      <c r="B71" s="2" t="s">
        <v>179</v>
      </c>
      <c r="C71" s="2" t="s">
        <v>180</v>
      </c>
      <c r="D71" s="2" t="s">
        <v>108</v>
      </c>
      <c r="E71" s="2" t="s">
        <v>30</v>
      </c>
      <c r="F71" s="2" t="s">
        <v>31</v>
      </c>
      <c r="G71" s="2" t="s">
        <v>181</v>
      </c>
      <c r="H71" s="3" t="n">
        <v>27758</v>
      </c>
      <c r="I71" s="2" t="n">
        <v>1996</v>
      </c>
      <c r="J71" s="2"/>
      <c r="K71" s="2" t="n">
        <v>1997</v>
      </c>
      <c r="L71" s="4" t="n">
        <f aca="false">ROUND((DATE(2026,9,1)-H71)/365.25,1)</f>
        <v>50.7</v>
      </c>
      <c r="M71" s="5" t="n">
        <f aca="false">IF(L71="","",RANK(L71,L$2:L$151,0))</f>
        <v>20</v>
      </c>
      <c r="N71" s="6" t="n">
        <v>185</v>
      </c>
      <c r="O71" s="5" t="n">
        <f aca="false">IF(N71="","",RANK(N71,N$2:N$151,0))</f>
        <v>54</v>
      </c>
      <c r="P71" s="6" t="n">
        <v>84</v>
      </c>
      <c r="Q71" s="5" t="n">
        <f aca="false">IF(P71="","",RANK(P71,P$2:P$151,0))</f>
        <v>52</v>
      </c>
      <c r="R71" s="6" t="n">
        <f aca="false">I71-YEAR(H71)</f>
        <v>21</v>
      </c>
      <c r="S71" s="5" t="n">
        <f aca="false">IF(R71="","",RANK(R71,R$2:R$151,0))</f>
        <v>23</v>
      </c>
      <c r="T71" s="6" t="n">
        <f aca="false">IF(J71="",2026,J71)-I71</f>
        <v>30</v>
      </c>
      <c r="U71" s="5" t="n">
        <f aca="false">IF(T71="","",RANK(T71,T$2:T$151,0))</f>
        <v>6</v>
      </c>
      <c r="V71" s="6" t="n">
        <v>0</v>
      </c>
      <c r="W71" s="5" t="n">
        <f aca="false">IF(V71="","",RANK(V71,V$2:V$151,0))</f>
        <v>82</v>
      </c>
      <c r="X71" s="6" t="n">
        <v>0</v>
      </c>
      <c r="Y71" s="5" t="n">
        <f aca="false">IF(X71="","",RANK(X71,X$2:X$151,0))</f>
        <v>65</v>
      </c>
      <c r="Z71" s="6" t="n">
        <v>0</v>
      </c>
      <c r="AA71" s="5" t="n">
        <f aca="false">IF(Z71="","",RANK(Z71,Z$2:Z$151,0))</f>
        <v>53</v>
      </c>
      <c r="AB71" s="6" t="n">
        <v>15</v>
      </c>
      <c r="AC71" s="5" t="n">
        <f aca="false">IF(AB71="","",RANK(AB71,AB$2:AB$151,0))</f>
        <v>13</v>
      </c>
      <c r="AD71" s="6" t="n">
        <f aca="false">IF(K71="","",K71-YEAR(H71))</f>
        <v>22</v>
      </c>
      <c r="AE71" s="5" t="n">
        <f aca="false">IF(AD71="","",RANK(AD71,AD$2:AD$151,0))</f>
        <v>71</v>
      </c>
      <c r="AF71" s="7" t="n">
        <v>121</v>
      </c>
      <c r="AG71" s="5" t="n">
        <f aca="false">IF(AF71="","",RANK(AF71,AF$2:AF$151,0))</f>
        <v>68</v>
      </c>
      <c r="AH71" s="7" t="n">
        <v>1300</v>
      </c>
      <c r="AI71" s="5" t="n">
        <f aca="false">IF(AH71="","",RANK(AH71,AH$2:AH$151,0))</f>
        <v>4</v>
      </c>
      <c r="AJ71" s="4" t="n">
        <v>3.4</v>
      </c>
      <c r="AK71" s="5" t="n">
        <f aca="false">IF(AJ71="","",RANK(AJ71,AJ$2:AJ$151,0))</f>
        <v>84</v>
      </c>
      <c r="AL71" s="6" t="n">
        <v>2</v>
      </c>
      <c r="AM71" s="5" t="n">
        <f aca="false">IF(AL71="","",RANK(AL71,AL$2:AL$151,0))</f>
        <v>49</v>
      </c>
      <c r="AN71" s="6" t="n">
        <v>3</v>
      </c>
      <c r="AO71" s="5" t="n">
        <f aca="false">IF(AN71="","",RANK(AN71,AN$2:AN$151,0))</f>
        <v>7</v>
      </c>
    </row>
    <row r="72" customFormat="false" ht="15" hidden="false" customHeight="false" outlineLevel="0" collapsed="false">
      <c r="A72" s="2" t="n">
        <v>71</v>
      </c>
      <c r="B72" s="2" t="s">
        <v>182</v>
      </c>
      <c r="C72" s="2" t="s">
        <v>180</v>
      </c>
      <c r="D72" s="2" t="s">
        <v>108</v>
      </c>
      <c r="E72" s="2" t="s">
        <v>30</v>
      </c>
      <c r="F72" s="2" t="s">
        <v>67</v>
      </c>
      <c r="G72" s="2" t="s">
        <v>183</v>
      </c>
      <c r="H72" s="3" t="n">
        <v>14631</v>
      </c>
      <c r="I72" s="2" t="n">
        <v>1961</v>
      </c>
      <c r="J72" s="2" t="n">
        <v>2005</v>
      </c>
      <c r="K72" s="2" t="n">
        <v>1962</v>
      </c>
      <c r="L72" s="4" t="n">
        <f aca="false">ROUND((DATE(2026,9,1)-H72)/365.25,1)</f>
        <v>86.6</v>
      </c>
      <c r="M72" s="5" t="n">
        <f aca="false">IF(L72="","",RANK(L72,L$2:L$151,0))</f>
        <v>1</v>
      </c>
      <c r="N72" s="6" t="n">
        <v>178</v>
      </c>
      <c r="O72" s="5" t="n">
        <f aca="false">IF(N72="","",RANK(N72,N$2:N$151,0))</f>
        <v>90</v>
      </c>
      <c r="P72" s="6" t="n">
        <v>84</v>
      </c>
      <c r="Q72" s="5" t="n">
        <f aca="false">IF(P72="","",RANK(P72,P$2:P$151,0))</f>
        <v>52</v>
      </c>
      <c r="R72" s="6" t="n">
        <f aca="false">I72-YEAR(H72)</f>
        <v>21</v>
      </c>
      <c r="S72" s="5" t="n">
        <f aca="false">IF(R72="","",RANK(R72,R$2:R$151,0))</f>
        <v>23</v>
      </c>
      <c r="T72" s="6" t="n">
        <f aca="false">IF(J72="",2026,J72)-I72</f>
        <v>44</v>
      </c>
      <c r="U72" s="5" t="n">
        <f aca="false">IF(T72="","",RANK(T72,T$2:T$151,0))</f>
        <v>1</v>
      </c>
      <c r="V72" s="6" t="n">
        <v>0</v>
      </c>
      <c r="W72" s="5" t="n">
        <f aca="false">IF(V72="","",RANK(V72,V$2:V$151,0))</f>
        <v>82</v>
      </c>
      <c r="X72" s="6" t="n">
        <v>0</v>
      </c>
      <c r="Y72" s="5" t="n">
        <f aca="false">IF(X72="","",RANK(X72,X$2:X$151,0))</f>
        <v>65</v>
      </c>
      <c r="Z72" s="6" t="n">
        <v>0</v>
      </c>
      <c r="AA72" s="5" t="n">
        <f aca="false">IF(Z72="","",RANK(Z72,Z$2:Z$151,0))</f>
        <v>53</v>
      </c>
      <c r="AB72" s="6" t="n">
        <v>18</v>
      </c>
      <c r="AC72" s="5" t="n">
        <f aca="false">IF(AB72="","",RANK(AB72,AB$2:AB$151,0))</f>
        <v>11</v>
      </c>
      <c r="AD72" s="6" t="n">
        <f aca="false">IF(K72="","",K72-YEAR(H72))</f>
        <v>22</v>
      </c>
      <c r="AE72" s="5" t="n">
        <f aca="false">IF(AD72="","",RANK(AD72,AD$2:AD$151,0))</f>
        <v>71</v>
      </c>
      <c r="AF72" s="7" t="n">
        <v>6</v>
      </c>
      <c r="AG72" s="5" t="n">
        <f aca="false">IF(AF72="","",RANK(AF72,AF$2:AF$151,0))</f>
        <v>125</v>
      </c>
      <c r="AH72" s="7" t="n">
        <v>320</v>
      </c>
      <c r="AI72" s="5" t="n">
        <f aca="false">IF(AH72="","",RANK(AH72,AH$2:AH$151,0))</f>
        <v>16</v>
      </c>
      <c r="AJ72" s="4"/>
      <c r="AK72" s="5" t="str">
        <f aca="false">IF(AJ72="","",RANK(AJ72,AJ$2:AJ$151,0))</f>
        <v/>
      </c>
      <c r="AL72" s="6" t="n">
        <v>5</v>
      </c>
      <c r="AM72" s="5" t="n">
        <f aca="false">IF(AL72="","",RANK(AL72,AL$2:AL$151,0))</f>
        <v>4</v>
      </c>
      <c r="AN72" s="6" t="n">
        <v>0</v>
      </c>
      <c r="AO72" s="5" t="n">
        <f aca="false">IF(AN72="","",RANK(AN72,AN$2:AN$151,0))</f>
        <v>22</v>
      </c>
    </row>
    <row r="73" customFormat="false" ht="15" hidden="false" customHeight="false" outlineLevel="0" collapsed="false">
      <c r="A73" s="2" t="n">
        <v>72</v>
      </c>
      <c r="B73" s="2" t="s">
        <v>184</v>
      </c>
      <c r="C73" s="2" t="s">
        <v>180</v>
      </c>
      <c r="D73" s="2" t="s">
        <v>185</v>
      </c>
      <c r="E73" s="2" t="s">
        <v>30</v>
      </c>
      <c r="F73" s="2" t="s">
        <v>31</v>
      </c>
      <c r="G73" s="2" t="s">
        <v>186</v>
      </c>
      <c r="H73" s="3" t="n">
        <v>32632</v>
      </c>
      <c r="I73" s="2" t="n">
        <v>2007</v>
      </c>
      <c r="J73" s="2"/>
      <c r="K73" s="2" t="n">
        <v>2011</v>
      </c>
      <c r="L73" s="4" t="n">
        <f aca="false">ROUND((DATE(2026,9,1)-H73)/365.25,1)</f>
        <v>37.3</v>
      </c>
      <c r="M73" s="5" t="n">
        <f aca="false">IF(L73="","",RANK(L73,L$2:L$151,0))</f>
        <v>81</v>
      </c>
      <c r="N73" s="6" t="n">
        <v>175</v>
      </c>
      <c r="O73" s="5" t="n">
        <f aca="false">IF(N73="","",RANK(N73,N$2:N$151,0))</f>
        <v>102</v>
      </c>
      <c r="P73" s="6" t="n">
        <v>73</v>
      </c>
      <c r="Q73" s="5" t="n">
        <f aca="false">IF(P73="","",RANK(P73,P$2:P$151,0))</f>
        <v>82</v>
      </c>
      <c r="R73" s="6" t="n">
        <f aca="false">I73-YEAR(H73)</f>
        <v>18</v>
      </c>
      <c r="S73" s="5" t="n">
        <f aca="false">IF(R73="","",RANK(R73,R$2:R$151,0))</f>
        <v>56</v>
      </c>
      <c r="T73" s="6" t="n">
        <f aca="false">IF(J73="",2026,J73)-I73</f>
        <v>19</v>
      </c>
      <c r="U73" s="5" t="n">
        <f aca="false">IF(T73="","",RANK(T73,T$2:T$151,0))</f>
        <v>51</v>
      </c>
      <c r="V73" s="6" t="n">
        <v>2</v>
      </c>
      <c r="W73" s="5" t="n">
        <f aca="false">IF(V73="","",RANK(V73,V$2:V$151,0))</f>
        <v>33</v>
      </c>
      <c r="X73" s="6" t="n">
        <v>0</v>
      </c>
      <c r="Y73" s="5" t="n">
        <f aca="false">IF(X73="","",RANK(X73,X$2:X$151,0))</f>
        <v>65</v>
      </c>
      <c r="Z73" s="6" t="n">
        <v>0</v>
      </c>
      <c r="AA73" s="5" t="n">
        <f aca="false">IF(Z73="","",RANK(Z73,Z$2:Z$151,0))</f>
        <v>53</v>
      </c>
      <c r="AB73" s="6" t="n">
        <v>5</v>
      </c>
      <c r="AC73" s="5" t="n">
        <f aca="false">IF(AB73="","",RANK(AB73,AB$2:AB$151,0))</f>
        <v>39</v>
      </c>
      <c r="AD73" s="6" t="n">
        <f aca="false">IF(K73="","",K73-YEAR(H73))</f>
        <v>22</v>
      </c>
      <c r="AE73" s="5" t="n">
        <f aca="false">IF(AD73="","",RANK(AD73,AD$2:AD$151,0))</f>
        <v>71</v>
      </c>
      <c r="AF73" s="7" t="n">
        <v>110</v>
      </c>
      <c r="AG73" s="5" t="n">
        <f aca="false">IF(AF73="","",RANK(AF73,AF$2:AF$151,0))</f>
        <v>72</v>
      </c>
      <c r="AH73" s="7" t="n">
        <v>250</v>
      </c>
      <c r="AI73" s="5" t="n">
        <f aca="false">IF(AH73="","",RANK(AH73,AH$2:AH$151,0))</f>
        <v>22</v>
      </c>
      <c r="AJ73" s="4" t="n">
        <v>3</v>
      </c>
      <c r="AK73" s="5" t="n">
        <f aca="false">IF(AJ73="","",RANK(AJ73,AJ$2:AJ$151,0))</f>
        <v>85</v>
      </c>
      <c r="AL73" s="6" t="n">
        <v>1</v>
      </c>
      <c r="AM73" s="5" t="n">
        <f aca="false">IF(AL73="","",RANK(AL73,AL$2:AL$151,0))</f>
        <v>77</v>
      </c>
      <c r="AN73" s="6" t="n">
        <v>0</v>
      </c>
      <c r="AO73" s="5" t="n">
        <f aca="false">IF(AN73="","",RANK(AN73,AN$2:AN$151,0))</f>
        <v>22</v>
      </c>
    </row>
    <row r="74" customFormat="false" ht="15" hidden="false" customHeight="false" outlineLevel="0" collapsed="false">
      <c r="A74" s="2" t="n">
        <v>73</v>
      </c>
      <c r="B74" s="2" t="s">
        <v>187</v>
      </c>
      <c r="C74" s="2" t="s">
        <v>180</v>
      </c>
      <c r="D74" s="2" t="s">
        <v>108</v>
      </c>
      <c r="E74" s="2" t="s">
        <v>30</v>
      </c>
      <c r="F74" s="2" t="s">
        <v>31</v>
      </c>
      <c r="G74" s="2" t="s">
        <v>188</v>
      </c>
      <c r="H74" s="3" t="n">
        <v>35237</v>
      </c>
      <c r="I74" s="2" t="n">
        <v>2018</v>
      </c>
      <c r="J74" s="2"/>
      <c r="K74" s="2" t="n">
        <v>2022</v>
      </c>
      <c r="L74" s="4" t="n">
        <f aca="false">ROUND((DATE(2026,9,1)-H74)/365.25,1)</f>
        <v>30.2</v>
      </c>
      <c r="M74" s="5" t="n">
        <f aca="false">IF(L74="","",RANK(L74,L$2:L$151,0))</f>
        <v>112</v>
      </c>
      <c r="N74" s="6" t="n">
        <v>190</v>
      </c>
      <c r="O74" s="5" t="n">
        <f aca="false">IF(N74="","",RANK(N74,N$2:N$151,0))</f>
        <v>38</v>
      </c>
      <c r="P74" s="6" t="n">
        <v>91</v>
      </c>
      <c r="Q74" s="5" t="n">
        <f aca="false">IF(P74="","",RANK(P74,P$2:P$151,0))</f>
        <v>38</v>
      </c>
      <c r="R74" s="6" t="n">
        <f aca="false">I74-YEAR(H74)</f>
        <v>22</v>
      </c>
      <c r="S74" s="5" t="n">
        <f aca="false">IF(R74="","",RANK(R74,R$2:R$151,0))</f>
        <v>9</v>
      </c>
      <c r="T74" s="6" t="n">
        <f aca="false">IF(J74="",2026,J74)-I74</f>
        <v>8</v>
      </c>
      <c r="U74" s="5" t="n">
        <f aca="false">IF(T74="","",RANK(T74,T$2:T$151,0))</f>
        <v>132</v>
      </c>
      <c r="V74" s="6" t="n">
        <v>1</v>
      </c>
      <c r="W74" s="5" t="n">
        <f aca="false">IF(V74="","",RANK(V74,V$2:V$151,0))</f>
        <v>54</v>
      </c>
      <c r="X74" s="6" t="n">
        <v>1</v>
      </c>
      <c r="Y74" s="5" t="n">
        <f aca="false">IF(X74="","",RANK(X74,X$2:X$151,0))</f>
        <v>45</v>
      </c>
      <c r="Z74" s="6" t="n">
        <v>1</v>
      </c>
      <c r="AA74" s="5" t="n">
        <f aca="false">IF(Z74="","",RANK(Z74,Z$2:Z$151,0))</f>
        <v>32</v>
      </c>
      <c r="AB74" s="6" t="n">
        <v>4</v>
      </c>
      <c r="AC74" s="5" t="n">
        <f aca="false">IF(AB74="","",RANK(AB74,AB$2:AB$151,0))</f>
        <v>52</v>
      </c>
      <c r="AD74" s="6" t="n">
        <f aca="false">IF(K74="","",K74-YEAR(H74))</f>
        <v>26</v>
      </c>
      <c r="AE74" s="5" t="n">
        <f aca="false">IF(AD74="","",RANK(AD74,AD$2:AD$151,0))</f>
        <v>40</v>
      </c>
      <c r="AF74" s="7" t="n">
        <v>100</v>
      </c>
      <c r="AG74" s="5" t="n">
        <f aca="false">IF(AF74="","",RANK(AF74,AF$2:AF$151,0))</f>
        <v>75</v>
      </c>
      <c r="AH74" s="7" t="n">
        <v>110</v>
      </c>
      <c r="AI74" s="5" t="n">
        <f aca="false">IF(AH74="","",RANK(AH74,AH$2:AH$151,0))</f>
        <v>57</v>
      </c>
      <c r="AJ74" s="4" t="n">
        <v>0.8</v>
      </c>
      <c r="AK74" s="5" t="n">
        <f aca="false">IF(AJ74="","",RANK(AJ74,AJ$2:AJ$151,0))</f>
        <v>122</v>
      </c>
      <c r="AL74" s="6" t="n">
        <v>1</v>
      </c>
      <c r="AM74" s="5" t="n">
        <f aca="false">IF(AL74="","",RANK(AL74,AL$2:AL$151,0))</f>
        <v>77</v>
      </c>
      <c r="AN74" s="6" t="n">
        <v>0</v>
      </c>
      <c r="AO74" s="5" t="n">
        <f aca="false">IF(AN74="","",RANK(AN74,AN$2:AN$151,0))</f>
        <v>22</v>
      </c>
    </row>
    <row r="75" customFormat="false" ht="15" hidden="false" customHeight="false" outlineLevel="0" collapsed="false">
      <c r="A75" s="2" t="n">
        <v>74</v>
      </c>
      <c r="B75" s="2" t="s">
        <v>189</v>
      </c>
      <c r="C75" s="2" t="s">
        <v>180</v>
      </c>
      <c r="D75" s="2" t="s">
        <v>108</v>
      </c>
      <c r="E75" s="2" t="s">
        <v>30</v>
      </c>
      <c r="F75" s="2" t="s">
        <v>31</v>
      </c>
      <c r="G75" s="2" t="s">
        <v>190</v>
      </c>
      <c r="H75" s="3" t="n">
        <v>25735</v>
      </c>
      <c r="I75" s="2" t="n">
        <v>1992</v>
      </c>
      <c r="J75" s="2"/>
      <c r="K75" s="2" t="n">
        <v>2004</v>
      </c>
      <c r="L75" s="4" t="n">
        <f aca="false">ROUND((DATE(2026,9,1)-H75)/365.25,1)</f>
        <v>56.2</v>
      </c>
      <c r="M75" s="5" t="n">
        <f aca="false">IF(L75="","",RANK(L75,L$2:L$151,0))</f>
        <v>11</v>
      </c>
      <c r="N75" s="6" t="n">
        <v>191</v>
      </c>
      <c r="O75" s="5" t="n">
        <f aca="false">IF(N75="","",RANK(N75,N$2:N$151,0))</f>
        <v>30</v>
      </c>
      <c r="P75" s="6" t="n">
        <v>91</v>
      </c>
      <c r="Q75" s="5" t="n">
        <f aca="false">IF(P75="","",RANK(P75,P$2:P$151,0))</f>
        <v>38</v>
      </c>
      <c r="R75" s="6" t="n">
        <f aca="false">I75-YEAR(H75)</f>
        <v>22</v>
      </c>
      <c r="S75" s="5" t="n">
        <f aca="false">IF(R75="","",RANK(R75,R$2:R$151,0))</f>
        <v>9</v>
      </c>
      <c r="T75" s="6" t="n">
        <f aca="false">IF(J75="",2026,J75)-I75</f>
        <v>34</v>
      </c>
      <c r="U75" s="5" t="n">
        <f aca="false">IF(T75="","",RANK(T75,T$2:T$151,0))</f>
        <v>3</v>
      </c>
      <c r="V75" s="6" t="n">
        <v>0</v>
      </c>
      <c r="W75" s="5" t="n">
        <f aca="false">IF(V75="","",RANK(V75,V$2:V$151,0))</f>
        <v>82</v>
      </c>
      <c r="X75" s="6" t="n">
        <v>0</v>
      </c>
      <c r="Y75" s="5" t="n">
        <f aca="false">IF(X75="","",RANK(X75,X$2:X$151,0))</f>
        <v>65</v>
      </c>
      <c r="Z75" s="6" t="n">
        <v>0</v>
      </c>
      <c r="AA75" s="5" t="n">
        <f aca="false">IF(Z75="","",RANK(Z75,Z$2:Z$151,0))</f>
        <v>53</v>
      </c>
      <c r="AB75" s="6" t="n">
        <v>6</v>
      </c>
      <c r="AC75" s="5" t="n">
        <f aca="false">IF(AB75="","",RANK(AB75,AB$2:AB$151,0))</f>
        <v>35</v>
      </c>
      <c r="AD75" s="6" t="n">
        <f aca="false">IF(K75="","",K75-YEAR(H75))</f>
        <v>34</v>
      </c>
      <c r="AE75" s="5" t="n">
        <f aca="false">IF(AD75="","",RANK(AD75,AD$2:AD$151,0))</f>
        <v>2</v>
      </c>
      <c r="AF75" s="7" t="n">
        <v>300</v>
      </c>
      <c r="AG75" s="5" t="n">
        <f aca="false">IF(AF75="","",RANK(AF75,AF$2:AF$151,0))</f>
        <v>25</v>
      </c>
      <c r="AH75" s="7" t="n">
        <v>400</v>
      </c>
      <c r="AI75" s="5" t="n">
        <f aca="false">IF(AH75="","",RANK(AH75,AH$2:AH$151,0))</f>
        <v>12</v>
      </c>
      <c r="AJ75" s="4" t="n">
        <v>0.9</v>
      </c>
      <c r="AK75" s="5" t="n">
        <f aca="false">IF(AJ75="","",RANK(AJ75,AJ$2:AJ$151,0))</f>
        <v>120</v>
      </c>
      <c r="AL75" s="6" t="n">
        <v>3</v>
      </c>
      <c r="AM75" s="5" t="n">
        <f aca="false">IF(AL75="","",RANK(AL75,AL$2:AL$151,0))</f>
        <v>27</v>
      </c>
      <c r="AN75" s="6" t="n">
        <v>0</v>
      </c>
      <c r="AO75" s="5" t="n">
        <f aca="false">IF(AN75="","",RANK(AN75,AN$2:AN$151,0))</f>
        <v>22</v>
      </c>
    </row>
    <row r="76" customFormat="false" ht="15" hidden="false" customHeight="false" outlineLevel="0" collapsed="false">
      <c r="A76" s="2" t="n">
        <v>75</v>
      </c>
      <c r="B76" s="2" t="s">
        <v>191</v>
      </c>
      <c r="C76" s="2" t="s">
        <v>180</v>
      </c>
      <c r="D76" s="2" t="s">
        <v>46</v>
      </c>
      <c r="E76" s="2" t="s">
        <v>30</v>
      </c>
      <c r="F76" s="2" t="s">
        <v>31</v>
      </c>
      <c r="G76" s="2" t="s">
        <v>192</v>
      </c>
      <c r="H76" s="3" t="n">
        <v>34648</v>
      </c>
      <c r="I76" s="2" t="n">
        <v>2016</v>
      </c>
      <c r="J76" s="2"/>
      <c r="K76" s="2" t="n">
        <v>2021</v>
      </c>
      <c r="L76" s="4" t="n">
        <f aca="false">ROUND((DATE(2026,9,1)-H76)/365.25,1)</f>
        <v>31.8</v>
      </c>
      <c r="M76" s="5" t="n">
        <f aca="false">IF(L76="","",RANK(L76,L$2:L$151,0))</f>
        <v>105</v>
      </c>
      <c r="N76" s="6" t="n">
        <v>188</v>
      </c>
      <c r="O76" s="5" t="n">
        <f aca="false">IF(N76="","",RANK(N76,N$2:N$151,0))</f>
        <v>40</v>
      </c>
      <c r="P76" s="6" t="n">
        <v>100</v>
      </c>
      <c r="Q76" s="5" t="n">
        <f aca="false">IF(P76="","",RANK(P76,P$2:P$151,0))</f>
        <v>24</v>
      </c>
      <c r="R76" s="6" t="n">
        <f aca="false">I76-YEAR(H76)</f>
        <v>22</v>
      </c>
      <c r="S76" s="5" t="n">
        <f aca="false">IF(R76="","",RANK(R76,R$2:R$151,0))</f>
        <v>9</v>
      </c>
      <c r="T76" s="6" t="n">
        <f aca="false">IF(J76="",2026,J76)-I76</f>
        <v>10</v>
      </c>
      <c r="U76" s="5" t="n">
        <f aca="false">IF(T76="","",RANK(T76,T$2:T$151,0))</f>
        <v>117</v>
      </c>
      <c r="V76" s="6" t="n">
        <v>1</v>
      </c>
      <c r="W76" s="5" t="n">
        <f aca="false">IF(V76="","",RANK(V76,V$2:V$151,0))</f>
        <v>54</v>
      </c>
      <c r="X76" s="6" t="n">
        <v>0</v>
      </c>
      <c r="Y76" s="5" t="n">
        <f aca="false">IF(X76="","",RANK(X76,X$2:X$151,0))</f>
        <v>65</v>
      </c>
      <c r="Z76" s="6" t="n">
        <v>0</v>
      </c>
      <c r="AA76" s="5" t="n">
        <f aca="false">IF(Z76="","",RANK(Z76,Z$2:Z$151,0))</f>
        <v>53</v>
      </c>
      <c r="AB76" s="6" t="n">
        <v>2</v>
      </c>
      <c r="AC76" s="5" t="n">
        <f aca="false">IF(AB76="","",RANK(AB76,AB$2:AB$151,0))</f>
        <v>85</v>
      </c>
      <c r="AD76" s="6" t="n">
        <f aca="false">IF(K76="","",K76-YEAR(H76))</f>
        <v>27</v>
      </c>
      <c r="AE76" s="5" t="n">
        <f aca="false">IF(AD76="","",RANK(AD76,AD$2:AD$151,0))</f>
        <v>27</v>
      </c>
      <c r="AF76" s="7" t="n">
        <v>350</v>
      </c>
      <c r="AG76" s="5" t="n">
        <f aca="false">IF(AF76="","",RANK(AF76,AF$2:AF$151,0))</f>
        <v>18</v>
      </c>
      <c r="AH76" s="7" t="n">
        <v>200</v>
      </c>
      <c r="AI76" s="5" t="n">
        <f aca="false">IF(AH76="","",RANK(AH76,AH$2:AH$151,0))</f>
        <v>29</v>
      </c>
      <c r="AJ76" s="4" t="n">
        <v>1.4</v>
      </c>
      <c r="AK76" s="5" t="n">
        <f aca="false">IF(AJ76="","",RANK(AJ76,AJ$2:AJ$151,0))</f>
        <v>110</v>
      </c>
      <c r="AL76" s="6" t="n">
        <v>3</v>
      </c>
      <c r="AM76" s="5" t="n">
        <f aca="false">IF(AL76="","",RANK(AL76,AL$2:AL$151,0))</f>
        <v>27</v>
      </c>
      <c r="AN76" s="6" t="n">
        <v>0</v>
      </c>
      <c r="AO76" s="5" t="n">
        <f aca="false">IF(AN76="","",RANK(AN76,AN$2:AN$151,0))</f>
        <v>22</v>
      </c>
    </row>
    <row r="77" customFormat="false" ht="15" hidden="false" customHeight="false" outlineLevel="0" collapsed="false">
      <c r="A77" s="2" t="n">
        <v>76</v>
      </c>
      <c r="B77" s="2" t="s">
        <v>193</v>
      </c>
      <c r="C77" s="2" t="s">
        <v>180</v>
      </c>
      <c r="D77" s="2" t="s">
        <v>108</v>
      </c>
      <c r="E77" s="2" t="s">
        <v>30</v>
      </c>
      <c r="F77" s="2" t="s">
        <v>31</v>
      </c>
      <c r="G77" s="2" t="s">
        <v>41</v>
      </c>
      <c r="H77" s="3" t="n">
        <v>34228</v>
      </c>
      <c r="I77" s="2" t="n">
        <v>2016</v>
      </c>
      <c r="J77" s="2"/>
      <c r="K77" s="2" t="n">
        <v>2020</v>
      </c>
      <c r="L77" s="4" t="n">
        <f aca="false">ROUND((DATE(2026,9,1)-H77)/365.25,1)</f>
        <v>33</v>
      </c>
      <c r="M77" s="5" t="n">
        <f aca="false">IF(L77="","",RANK(L77,L$2:L$151,0))</f>
        <v>98</v>
      </c>
      <c r="N77" s="6" t="n">
        <v>185</v>
      </c>
      <c r="O77" s="5" t="n">
        <f aca="false">IF(N77="","",RANK(N77,N$2:N$151,0))</f>
        <v>54</v>
      </c>
      <c r="P77" s="6" t="n">
        <v>107</v>
      </c>
      <c r="Q77" s="5" t="n">
        <f aca="false">IF(P77="","",RANK(P77,P$2:P$151,0))</f>
        <v>13</v>
      </c>
      <c r="R77" s="6" t="n">
        <f aca="false">I77-YEAR(H77)</f>
        <v>23</v>
      </c>
      <c r="S77" s="5" t="n">
        <f aca="false">IF(R77="","",RANK(R77,R$2:R$151,0))</f>
        <v>5</v>
      </c>
      <c r="T77" s="6" t="n">
        <f aca="false">IF(J77="",2026,J77)-I77</f>
        <v>10</v>
      </c>
      <c r="U77" s="5" t="n">
        <f aca="false">IF(T77="","",RANK(T77,T$2:T$151,0))</f>
        <v>117</v>
      </c>
      <c r="V77" s="6" t="n">
        <v>0</v>
      </c>
      <c r="W77" s="5" t="n">
        <f aca="false">IF(V77="","",RANK(V77,V$2:V$151,0))</f>
        <v>82</v>
      </c>
      <c r="X77" s="6" t="n">
        <v>0</v>
      </c>
      <c r="Y77" s="5" t="n">
        <f aca="false">IF(X77="","",RANK(X77,X$2:X$151,0))</f>
        <v>65</v>
      </c>
      <c r="Z77" s="6" t="n">
        <v>0</v>
      </c>
      <c r="AA77" s="5" t="n">
        <f aca="false">IF(Z77="","",RANK(Z77,Z$2:Z$151,0))</f>
        <v>53</v>
      </c>
      <c r="AB77" s="6" t="n">
        <v>2</v>
      </c>
      <c r="AC77" s="5" t="n">
        <f aca="false">IF(AB77="","",RANK(AB77,AB$2:AB$151,0))</f>
        <v>85</v>
      </c>
      <c r="AD77" s="6" t="n">
        <f aca="false">IF(K77="","",K77-YEAR(H77))</f>
        <v>27</v>
      </c>
      <c r="AE77" s="5" t="n">
        <f aca="false">IF(AD77="","",RANK(AD77,AD$2:AD$151,0))</f>
        <v>27</v>
      </c>
      <c r="AF77" s="7" t="n">
        <v>200</v>
      </c>
      <c r="AG77" s="5" t="n">
        <f aca="false">IF(AF77="","",RANK(AF77,AF$2:AF$151,0))</f>
        <v>44</v>
      </c>
      <c r="AH77" s="7" t="n">
        <v>60</v>
      </c>
      <c r="AI77" s="5" t="n">
        <f aca="false">IF(AH77="","",RANK(AH77,AH$2:AH$151,0))</f>
        <v>85</v>
      </c>
      <c r="AJ77" s="4" t="n">
        <v>2</v>
      </c>
      <c r="AK77" s="5" t="n">
        <f aca="false">IF(AJ77="","",RANK(AJ77,AJ$2:AJ$151,0))</f>
        <v>94</v>
      </c>
      <c r="AL77" s="6" t="n">
        <v>0</v>
      </c>
      <c r="AM77" s="5" t="n">
        <f aca="false">IF(AL77="","",RANK(AL77,AL$2:AL$151,0))</f>
        <v>95</v>
      </c>
      <c r="AN77" s="6" t="n">
        <v>0</v>
      </c>
      <c r="AO77" s="5" t="n">
        <f aca="false">IF(AN77="","",RANK(AN77,AN$2:AN$151,0))</f>
        <v>22</v>
      </c>
    </row>
    <row r="78" customFormat="false" ht="15" hidden="false" customHeight="false" outlineLevel="0" collapsed="false">
      <c r="A78" s="2" t="n">
        <v>77</v>
      </c>
      <c r="B78" s="2" t="s">
        <v>194</v>
      </c>
      <c r="C78" s="2" t="s">
        <v>180</v>
      </c>
      <c r="D78" s="2" t="s">
        <v>108</v>
      </c>
      <c r="E78" s="2" t="s">
        <v>105</v>
      </c>
      <c r="F78" s="2" t="s">
        <v>31</v>
      </c>
      <c r="G78" s="2" t="s">
        <v>41</v>
      </c>
      <c r="H78" s="3" t="n">
        <v>36004</v>
      </c>
      <c r="I78" s="2" t="n">
        <v>2016</v>
      </c>
      <c r="J78" s="2"/>
      <c r="K78" s="2" t="n">
        <v>2021</v>
      </c>
      <c r="L78" s="4" t="n">
        <f aca="false">ROUND((DATE(2026,9,1)-H78)/365.25,1)</f>
        <v>28.1</v>
      </c>
      <c r="M78" s="5" t="n">
        <f aca="false">IF(L78="","",RANK(L78,L$2:L$151,0))</f>
        <v>127</v>
      </c>
      <c r="N78" s="6" t="n">
        <v>178</v>
      </c>
      <c r="O78" s="5" t="n">
        <f aca="false">IF(N78="","",RANK(N78,N$2:N$151,0))</f>
        <v>90</v>
      </c>
      <c r="P78" s="6" t="n">
        <v>64</v>
      </c>
      <c r="Q78" s="5" t="n">
        <f aca="false">IF(P78="","",RANK(P78,P$2:P$151,0))</f>
        <v>122</v>
      </c>
      <c r="R78" s="6" t="n">
        <f aca="false">I78-YEAR(H78)</f>
        <v>18</v>
      </c>
      <c r="S78" s="5" t="n">
        <f aca="false">IF(R78="","",RANK(R78,R$2:R$151,0))</f>
        <v>56</v>
      </c>
      <c r="T78" s="6" t="n">
        <f aca="false">IF(J78="",2026,J78)-I78</f>
        <v>10</v>
      </c>
      <c r="U78" s="5" t="n">
        <f aca="false">IF(T78="","",RANK(T78,T$2:T$151,0))</f>
        <v>117</v>
      </c>
      <c r="V78" s="6" t="n">
        <v>2</v>
      </c>
      <c r="W78" s="5" t="n">
        <f aca="false">IF(V78="","",RANK(V78,V$2:V$151,0))</f>
        <v>33</v>
      </c>
      <c r="X78" s="6" t="n">
        <v>1</v>
      </c>
      <c r="Y78" s="5" t="n">
        <f aca="false">IF(X78="","",RANK(X78,X$2:X$151,0))</f>
        <v>45</v>
      </c>
      <c r="Z78" s="6" t="n">
        <v>1</v>
      </c>
      <c r="AA78" s="5" t="n">
        <f aca="false">IF(Z78="","",RANK(Z78,Z$2:Z$151,0))</f>
        <v>32</v>
      </c>
      <c r="AB78" s="6" t="n">
        <v>2</v>
      </c>
      <c r="AC78" s="5" t="n">
        <f aca="false">IF(AB78="","",RANK(AB78,AB$2:AB$151,0))</f>
        <v>85</v>
      </c>
      <c r="AD78" s="6" t="n">
        <f aca="false">IF(K78="","",K78-YEAR(H78))</f>
        <v>23</v>
      </c>
      <c r="AE78" s="5" t="n">
        <f aca="false">IF(AD78="","",RANK(AD78,AD$2:AD$151,0))</f>
        <v>61</v>
      </c>
      <c r="AF78" s="7" t="n">
        <v>16</v>
      </c>
      <c r="AG78" s="5" t="n">
        <f aca="false">IF(AF78="","",RANK(AF78,AF$2:AF$151,0))</f>
        <v>113</v>
      </c>
      <c r="AH78" s="7" t="n">
        <v>20</v>
      </c>
      <c r="AI78" s="5" t="n">
        <f aca="false">IF(AH78="","",RANK(AH78,AH$2:AH$151,0))</f>
        <v>111</v>
      </c>
      <c r="AJ78" s="4" t="n">
        <v>0.6</v>
      </c>
      <c r="AK78" s="5" t="n">
        <f aca="false">IF(AJ78="","",RANK(AJ78,AJ$2:AJ$151,0))</f>
        <v>126</v>
      </c>
      <c r="AL78" s="6" t="n">
        <v>0</v>
      </c>
      <c r="AM78" s="5" t="n">
        <f aca="false">IF(AL78="","",RANK(AL78,AL$2:AL$151,0))</f>
        <v>95</v>
      </c>
      <c r="AN78" s="6" t="n">
        <v>0</v>
      </c>
      <c r="AO78" s="5" t="n">
        <f aca="false">IF(AN78="","",RANK(AN78,AN$2:AN$151,0))</f>
        <v>22</v>
      </c>
    </row>
    <row r="79" customFormat="false" ht="15" hidden="false" customHeight="false" outlineLevel="0" collapsed="false">
      <c r="A79" s="2" t="n">
        <v>78</v>
      </c>
      <c r="B79" s="2" t="s">
        <v>195</v>
      </c>
      <c r="C79" s="2" t="s">
        <v>180</v>
      </c>
      <c r="D79" s="2" t="s">
        <v>196</v>
      </c>
      <c r="E79" s="2" t="s">
        <v>105</v>
      </c>
      <c r="F79" s="2" t="s">
        <v>31</v>
      </c>
      <c r="G79" s="2" t="s">
        <v>197</v>
      </c>
      <c r="H79" s="3" t="n">
        <v>35544</v>
      </c>
      <c r="I79" s="2" t="n">
        <v>2014</v>
      </c>
      <c r="J79" s="2"/>
      <c r="K79" s="2" t="n">
        <v>2015</v>
      </c>
      <c r="L79" s="4" t="n">
        <f aca="false">ROUND((DATE(2026,9,1)-H79)/365.25,1)</f>
        <v>29.4</v>
      </c>
      <c r="M79" s="5" t="n">
        <f aca="false">IF(L79="","",RANK(L79,L$2:L$151,0))</f>
        <v>118</v>
      </c>
      <c r="N79" s="6" t="n">
        <v>165</v>
      </c>
      <c r="O79" s="5" t="n">
        <f aca="false">IF(N79="","",RANK(N79,N$2:N$151,0))</f>
        <v>141</v>
      </c>
      <c r="P79" s="6" t="n">
        <v>60</v>
      </c>
      <c r="Q79" s="5" t="n">
        <f aca="false">IF(P79="","",RANK(P79,P$2:P$151,0))</f>
        <v>131</v>
      </c>
      <c r="R79" s="6" t="n">
        <f aca="false">I79-YEAR(H79)</f>
        <v>17</v>
      </c>
      <c r="S79" s="5" t="n">
        <f aca="false">IF(R79="","",RANK(R79,R$2:R$151,0))</f>
        <v>82</v>
      </c>
      <c r="T79" s="6" t="n">
        <f aca="false">IF(J79="",2026,J79)-I79</f>
        <v>12</v>
      </c>
      <c r="U79" s="5" t="n">
        <f aca="false">IF(T79="","",RANK(T79,T$2:T$151,0))</f>
        <v>108</v>
      </c>
      <c r="V79" s="6" t="n">
        <v>3</v>
      </c>
      <c r="W79" s="5" t="n">
        <f aca="false">IF(V79="","",RANK(V79,V$2:V$151,0))</f>
        <v>22</v>
      </c>
      <c r="X79" s="6" t="n">
        <v>3</v>
      </c>
      <c r="Y79" s="5" t="n">
        <f aca="false">IF(X79="","",RANK(X79,X$2:X$151,0))</f>
        <v>23</v>
      </c>
      <c r="Z79" s="6" t="n">
        <v>1</v>
      </c>
      <c r="AA79" s="5" t="n">
        <f aca="false">IF(Z79="","",RANK(Z79,Z$2:Z$151,0))</f>
        <v>32</v>
      </c>
      <c r="AB79" s="6" t="n">
        <v>3</v>
      </c>
      <c r="AC79" s="5" t="n">
        <f aca="false">IF(AB79="","",RANK(AB79,AB$2:AB$151,0))</f>
        <v>69</v>
      </c>
      <c r="AD79" s="6" t="n">
        <f aca="false">IF(K79="","",K79-YEAR(H79))</f>
        <v>18</v>
      </c>
      <c r="AE79" s="5" t="n">
        <f aca="false">IF(AD79="","",RANK(AD79,AD$2:AD$151,0))</f>
        <v>119</v>
      </c>
      <c r="AF79" s="7" t="n">
        <v>21</v>
      </c>
      <c r="AG79" s="5" t="n">
        <f aca="false">IF(AF79="","",RANK(AF79,AF$2:AF$151,0))</f>
        <v>108</v>
      </c>
      <c r="AH79" s="7" t="n">
        <v>20</v>
      </c>
      <c r="AI79" s="5" t="n">
        <f aca="false">IF(AH79="","",RANK(AH79,AH$2:AH$151,0))</f>
        <v>111</v>
      </c>
      <c r="AJ79" s="4" t="n">
        <v>0.4</v>
      </c>
      <c r="AK79" s="5" t="n">
        <f aca="false">IF(AJ79="","",RANK(AJ79,AJ$2:AJ$151,0))</f>
        <v>132</v>
      </c>
      <c r="AL79" s="6" t="n">
        <v>0</v>
      </c>
      <c r="AM79" s="5" t="n">
        <f aca="false">IF(AL79="","",RANK(AL79,AL$2:AL$151,0))</f>
        <v>95</v>
      </c>
      <c r="AN79" s="6" t="n">
        <v>0</v>
      </c>
      <c r="AO79" s="5" t="n">
        <f aca="false">IF(AN79="","",RANK(AN79,AN$2:AN$151,0))</f>
        <v>22</v>
      </c>
    </row>
    <row r="80" customFormat="false" ht="15" hidden="false" customHeight="false" outlineLevel="0" collapsed="false">
      <c r="A80" s="2" t="n">
        <v>79</v>
      </c>
      <c r="B80" s="2" t="s">
        <v>198</v>
      </c>
      <c r="C80" s="2" t="s">
        <v>199</v>
      </c>
      <c r="D80" s="2" t="s">
        <v>158</v>
      </c>
      <c r="E80" s="2" t="s">
        <v>30</v>
      </c>
      <c r="F80" s="2" t="s">
        <v>31</v>
      </c>
      <c r="G80" s="2" t="s">
        <v>41</v>
      </c>
      <c r="H80" s="3" t="n">
        <v>31054</v>
      </c>
      <c r="I80" s="2" t="n">
        <v>2007</v>
      </c>
      <c r="J80" s="2"/>
      <c r="K80" s="2" t="n">
        <v>2008</v>
      </c>
      <c r="L80" s="4" t="n">
        <f aca="false">ROUND((DATE(2026,9,1)-H80)/365.25,1)</f>
        <v>41.6</v>
      </c>
      <c r="M80" s="5" t="n">
        <f aca="false">IF(L80="","",RANK(L80,L$2:L$151,0))</f>
        <v>49</v>
      </c>
      <c r="N80" s="6" t="n">
        <v>174</v>
      </c>
      <c r="O80" s="5" t="n">
        <f aca="false">IF(N80="","",RANK(N80,N$2:N$151,0))</f>
        <v>117</v>
      </c>
      <c r="P80" s="6" t="n">
        <v>73</v>
      </c>
      <c r="Q80" s="5" t="n">
        <f aca="false">IF(P80="","",RANK(P80,P$2:P$151,0))</f>
        <v>82</v>
      </c>
      <c r="R80" s="6" t="n">
        <f aca="false">I80-YEAR(H80)</f>
        <v>22</v>
      </c>
      <c r="S80" s="5" t="n">
        <f aca="false">IF(R80="","",RANK(R80,R$2:R$151,0))</f>
        <v>9</v>
      </c>
      <c r="T80" s="6" t="n">
        <f aca="false">IF(J80="",2026,J80)-I80</f>
        <v>19</v>
      </c>
      <c r="U80" s="5" t="n">
        <f aca="false">IF(T80="","",RANK(T80,T$2:T$151,0))</f>
        <v>51</v>
      </c>
      <c r="V80" s="6" t="n">
        <v>0</v>
      </c>
      <c r="W80" s="5" t="n">
        <f aca="false">IF(V80="","",RANK(V80,V$2:V$151,0))</f>
        <v>82</v>
      </c>
      <c r="X80" s="6" t="n">
        <v>0</v>
      </c>
      <c r="Y80" s="5" t="n">
        <f aca="false">IF(X80="","",RANK(X80,X$2:X$151,0))</f>
        <v>65</v>
      </c>
      <c r="Z80" s="6" t="n">
        <v>0</v>
      </c>
      <c r="AA80" s="5" t="n">
        <f aca="false">IF(Z80="","",RANK(Z80,Z$2:Z$151,0))</f>
        <v>53</v>
      </c>
      <c r="AB80" s="6" t="n">
        <v>7</v>
      </c>
      <c r="AC80" s="5" t="n">
        <f aca="false">IF(AB80="","",RANK(AB80,AB$2:AB$151,0))</f>
        <v>24</v>
      </c>
      <c r="AD80" s="6" t="n">
        <f aca="false">IF(K80="","",K80-YEAR(H80))</f>
        <v>23</v>
      </c>
      <c r="AE80" s="5" t="n">
        <f aca="false">IF(AD80="","",RANK(AD80,AD$2:AD$151,0))</f>
        <v>61</v>
      </c>
      <c r="AF80" s="7" t="n">
        <v>550</v>
      </c>
      <c r="AG80" s="5" t="n">
        <f aca="false">IF(AF80="","",RANK(AF80,AF$2:AF$151,0))</f>
        <v>5</v>
      </c>
      <c r="AH80" s="7" t="n">
        <v>400</v>
      </c>
      <c r="AI80" s="5" t="n">
        <f aca="false">IF(AH80="","",RANK(AH80,AH$2:AH$151,0))</f>
        <v>12</v>
      </c>
      <c r="AJ80" s="4" t="n">
        <v>40</v>
      </c>
      <c r="AK80" s="5" t="n">
        <f aca="false">IF(AJ80="","",RANK(AJ80,AJ$2:AJ$151,0))</f>
        <v>23</v>
      </c>
      <c r="AL80" s="6" t="n">
        <v>0</v>
      </c>
      <c r="AM80" s="5" t="n">
        <f aca="false">IF(AL80="","",RANK(AL80,AL$2:AL$151,0))</f>
        <v>95</v>
      </c>
      <c r="AN80" s="6" t="n">
        <v>1</v>
      </c>
      <c r="AO80" s="5" t="n">
        <f aca="false">IF(AN80="","",RANK(AN80,AN$2:AN$151,0))</f>
        <v>11</v>
      </c>
    </row>
    <row r="81" customFormat="false" ht="15" hidden="false" customHeight="false" outlineLevel="0" collapsed="false">
      <c r="A81" s="2" t="n">
        <v>80</v>
      </c>
      <c r="B81" s="2" t="s">
        <v>200</v>
      </c>
      <c r="C81" s="2" t="s">
        <v>199</v>
      </c>
      <c r="D81" s="2" t="s">
        <v>81</v>
      </c>
      <c r="E81" s="2" t="s">
        <v>30</v>
      </c>
      <c r="F81" s="2" t="s">
        <v>31</v>
      </c>
      <c r="G81" s="2" t="s">
        <v>201</v>
      </c>
      <c r="H81" s="3" t="n">
        <v>35703</v>
      </c>
      <c r="I81" s="2" t="n">
        <v>2015</v>
      </c>
      <c r="J81" s="2"/>
      <c r="K81" s="2" t="n">
        <v>2021</v>
      </c>
      <c r="L81" s="4" t="n">
        <f aca="false">ROUND((DATE(2026,9,1)-H81)/365.25,1)</f>
        <v>28.9</v>
      </c>
      <c r="M81" s="5" t="n">
        <f aca="false">IF(L81="","",RANK(L81,L$2:L$151,0))</f>
        <v>121</v>
      </c>
      <c r="N81" s="6" t="n">
        <v>181</v>
      </c>
      <c r="O81" s="5" t="n">
        <f aca="false">IF(N81="","",RANK(N81,N$2:N$151,0))</f>
        <v>79</v>
      </c>
      <c r="P81" s="6" t="n">
        <v>72</v>
      </c>
      <c r="Q81" s="5" t="n">
        <f aca="false">IF(P81="","",RANK(P81,P$2:P$151,0))</f>
        <v>89</v>
      </c>
      <c r="R81" s="6" t="n">
        <f aca="false">I81-YEAR(H81)</f>
        <v>18</v>
      </c>
      <c r="S81" s="5" t="n">
        <f aca="false">IF(R81="","",RANK(R81,R$2:R$151,0))</f>
        <v>56</v>
      </c>
      <c r="T81" s="6" t="n">
        <f aca="false">IF(J81="",2026,J81)-I81</f>
        <v>11</v>
      </c>
      <c r="U81" s="5" t="n">
        <f aca="false">IF(T81="","",RANK(T81,T$2:T$151,0))</f>
        <v>110</v>
      </c>
      <c r="V81" s="6" t="n">
        <v>0</v>
      </c>
      <c r="W81" s="5" t="n">
        <f aca="false">IF(V81="","",RANK(V81,V$2:V$151,0))</f>
        <v>82</v>
      </c>
      <c r="X81" s="6" t="n">
        <v>0</v>
      </c>
      <c r="Y81" s="5" t="n">
        <f aca="false">IF(X81="","",RANK(X81,X$2:X$151,0))</f>
        <v>65</v>
      </c>
      <c r="Z81" s="6" t="n">
        <v>0</v>
      </c>
      <c r="AA81" s="5" t="n">
        <f aca="false">IF(Z81="","",RANK(Z81,Z$2:Z$151,0))</f>
        <v>53</v>
      </c>
      <c r="AB81" s="6" t="n">
        <v>4</v>
      </c>
      <c r="AC81" s="5" t="n">
        <f aca="false">IF(AB81="","",RANK(AB81,AB$2:AB$151,0))</f>
        <v>52</v>
      </c>
      <c r="AD81" s="6" t="n">
        <f aca="false">IF(K81="","",K81-YEAR(H81))</f>
        <v>24</v>
      </c>
      <c r="AE81" s="5" t="n">
        <f aca="false">IF(AD81="","",RANK(AD81,AD$2:AD$151,0))</f>
        <v>56</v>
      </c>
      <c r="AF81" s="7" t="n">
        <v>350</v>
      </c>
      <c r="AG81" s="5" t="n">
        <f aca="false">IF(AF81="","",RANK(AF81,AF$2:AF$151,0))</f>
        <v>18</v>
      </c>
      <c r="AH81" s="7" t="n">
        <v>250</v>
      </c>
      <c r="AI81" s="5" t="n">
        <f aca="false">IF(AH81="","",RANK(AH81,AH$2:AH$151,0))</f>
        <v>22</v>
      </c>
      <c r="AJ81" s="4" t="n">
        <v>16</v>
      </c>
      <c r="AK81" s="5" t="n">
        <f aca="false">IF(AJ81="","",RANK(AJ81,AJ$2:AJ$151,0))</f>
        <v>42</v>
      </c>
      <c r="AL81" s="6" t="n">
        <v>1</v>
      </c>
      <c r="AM81" s="5" t="n">
        <f aca="false">IF(AL81="","",RANK(AL81,AL$2:AL$151,0))</f>
        <v>77</v>
      </c>
      <c r="AN81" s="6" t="n">
        <v>1</v>
      </c>
      <c r="AO81" s="5" t="n">
        <f aca="false">IF(AN81="","",RANK(AN81,AN$2:AN$151,0))</f>
        <v>11</v>
      </c>
    </row>
    <row r="82" customFormat="false" ht="15" hidden="false" customHeight="false" outlineLevel="0" collapsed="false">
      <c r="A82" s="2" t="n">
        <v>81</v>
      </c>
      <c r="B82" s="2" t="s">
        <v>202</v>
      </c>
      <c r="C82" s="2" t="s">
        <v>199</v>
      </c>
      <c r="D82" s="2" t="s">
        <v>93</v>
      </c>
      <c r="E82" s="2" t="s">
        <v>30</v>
      </c>
      <c r="F82" s="2" t="s">
        <v>67</v>
      </c>
      <c r="G82" s="2" t="s">
        <v>203</v>
      </c>
      <c r="H82" s="3" t="n">
        <v>25206</v>
      </c>
      <c r="I82" s="2" t="n">
        <v>1991</v>
      </c>
      <c r="J82" s="2" t="n">
        <v>2012</v>
      </c>
      <c r="K82" s="2" t="n">
        <v>1994</v>
      </c>
      <c r="L82" s="4" t="n">
        <f aca="false">ROUND((DATE(2026,9,1)-H82)/365.25,1)</f>
        <v>57.7</v>
      </c>
      <c r="M82" s="5" t="n">
        <f aca="false">IF(L82="","",RANK(L82,L$2:L$151,0))</f>
        <v>8</v>
      </c>
      <c r="N82" s="6" t="n">
        <v>174</v>
      </c>
      <c r="O82" s="5" t="n">
        <f aca="false">IF(N82="","",RANK(N82,N$2:N$151,0))</f>
        <v>117</v>
      </c>
      <c r="P82" s="6" t="n">
        <v>74</v>
      </c>
      <c r="Q82" s="5" t="n">
        <f aca="false">IF(P82="","",RANK(P82,P$2:P$151,0))</f>
        <v>79</v>
      </c>
      <c r="R82" s="6" t="n">
        <f aca="false">I82-YEAR(H82)</f>
        <v>22</v>
      </c>
      <c r="S82" s="5" t="n">
        <f aca="false">IF(R82="","",RANK(R82,R$2:R$151,0))</f>
        <v>9</v>
      </c>
      <c r="T82" s="6" t="n">
        <f aca="false">IF(J82="",2026,J82)-I82</f>
        <v>21</v>
      </c>
      <c r="U82" s="5" t="n">
        <f aca="false">IF(T82="","",RANK(T82,T$2:T$151,0))</f>
        <v>33</v>
      </c>
      <c r="V82" s="6" t="n">
        <v>0</v>
      </c>
      <c r="W82" s="5" t="n">
        <f aca="false">IF(V82="","",RANK(V82,V$2:V$151,0))</f>
        <v>82</v>
      </c>
      <c r="X82" s="6" t="n">
        <v>0</v>
      </c>
      <c r="Y82" s="5" t="n">
        <f aca="false">IF(X82="","",RANK(X82,X$2:X$151,0))</f>
        <v>65</v>
      </c>
      <c r="Z82" s="6" t="n">
        <v>0</v>
      </c>
      <c r="AA82" s="5" t="n">
        <f aca="false">IF(Z82="","",RANK(Z82,Z$2:Z$151,0))</f>
        <v>53</v>
      </c>
      <c r="AB82" s="6" t="n">
        <v>7</v>
      </c>
      <c r="AC82" s="5" t="n">
        <f aca="false">IF(AB82="","",RANK(AB82,AB$2:AB$151,0))</f>
        <v>24</v>
      </c>
      <c r="AD82" s="6" t="n">
        <f aca="false">IF(K82="","",K82-YEAR(H82))</f>
        <v>25</v>
      </c>
      <c r="AE82" s="5" t="n">
        <f aca="false">IF(AD82="","",RANK(AD82,AD$2:AD$151,0))</f>
        <v>47</v>
      </c>
      <c r="AF82" s="7" t="n">
        <v>500</v>
      </c>
      <c r="AG82" s="5" t="n">
        <f aca="false">IF(AF82="","",RANK(AF82,AF$2:AF$151,0))</f>
        <v>7</v>
      </c>
      <c r="AH82" s="7" t="n">
        <v>600</v>
      </c>
      <c r="AI82" s="5" t="n">
        <f aca="false">IF(AH82="","",RANK(AH82,AH$2:AH$151,0))</f>
        <v>8</v>
      </c>
      <c r="AJ82" s="4"/>
      <c r="AK82" s="5" t="str">
        <f aca="false">IF(AJ82="","",RANK(AJ82,AJ$2:AJ$151,0))</f>
        <v/>
      </c>
      <c r="AL82" s="6" t="n">
        <v>2</v>
      </c>
      <c r="AM82" s="5" t="n">
        <f aca="false">IF(AL82="","",RANK(AL82,AL$2:AL$151,0))</f>
        <v>49</v>
      </c>
      <c r="AN82" s="6" t="n">
        <v>2</v>
      </c>
      <c r="AO82" s="5" t="n">
        <f aca="false">IF(AN82="","",RANK(AN82,AN$2:AN$151,0))</f>
        <v>8</v>
      </c>
    </row>
    <row r="83" customFormat="false" ht="15" hidden="false" customHeight="false" outlineLevel="0" collapsed="false">
      <c r="A83" s="2" t="n">
        <v>82</v>
      </c>
      <c r="B83" s="2" t="s">
        <v>204</v>
      </c>
      <c r="C83" s="2" t="s">
        <v>199</v>
      </c>
      <c r="D83" s="2" t="s">
        <v>46</v>
      </c>
      <c r="E83" s="2" t="s">
        <v>30</v>
      </c>
      <c r="F83" s="2" t="s">
        <v>31</v>
      </c>
      <c r="G83" s="2" t="s">
        <v>41</v>
      </c>
      <c r="H83" s="3" t="n">
        <v>29796</v>
      </c>
      <c r="I83" s="2" t="n">
        <v>2001</v>
      </c>
      <c r="J83" s="2"/>
      <c r="K83" s="2" t="n">
        <v>2005</v>
      </c>
      <c r="L83" s="4" t="n">
        <f aca="false">ROUND((DATE(2026,9,1)-H83)/365.25,1)</f>
        <v>45.1</v>
      </c>
      <c r="M83" s="5" t="n">
        <f aca="false">IF(L83="","",RANK(L83,L$2:L$151,0))</f>
        <v>35</v>
      </c>
      <c r="N83" s="6" t="n">
        <v>171</v>
      </c>
      <c r="O83" s="5" t="n">
        <f aca="false">IF(N83="","",RANK(N83,N$2:N$151,0))</f>
        <v>125</v>
      </c>
      <c r="P83" s="6" t="n">
        <v>68</v>
      </c>
      <c r="Q83" s="5" t="n">
        <f aca="false">IF(P83="","",RANK(P83,P$2:P$151,0))</f>
        <v>109</v>
      </c>
      <c r="R83" s="6" t="n">
        <f aca="false">I83-YEAR(H83)</f>
        <v>20</v>
      </c>
      <c r="S83" s="5" t="n">
        <f aca="false">IF(R83="","",RANK(R83,R$2:R$151,0))</f>
        <v>33</v>
      </c>
      <c r="T83" s="6" t="n">
        <f aca="false">IF(J83="",2026,J83)-I83</f>
        <v>25</v>
      </c>
      <c r="U83" s="5" t="n">
        <f aca="false">IF(T83="","",RANK(T83,T$2:T$151,0))</f>
        <v>11</v>
      </c>
      <c r="V83" s="6" t="n">
        <v>0</v>
      </c>
      <c r="W83" s="5" t="n">
        <f aca="false">IF(V83="","",RANK(V83,V$2:V$151,0))</f>
        <v>82</v>
      </c>
      <c r="X83" s="6" t="n">
        <v>0</v>
      </c>
      <c r="Y83" s="5" t="n">
        <f aca="false">IF(X83="","",RANK(X83,X$2:X$151,0))</f>
        <v>65</v>
      </c>
      <c r="Z83" s="6" t="n">
        <v>0</v>
      </c>
      <c r="AA83" s="5" t="n">
        <f aca="false">IF(Z83="","",RANK(Z83,Z$2:Z$151,0))</f>
        <v>53</v>
      </c>
      <c r="AB83" s="6" t="n">
        <v>2</v>
      </c>
      <c r="AC83" s="5" t="n">
        <f aca="false">IF(AB83="","",RANK(AB83,AB$2:AB$151,0))</f>
        <v>85</v>
      </c>
      <c r="AD83" s="6" t="n">
        <f aca="false">IF(K83="","",K83-YEAR(H83))</f>
        <v>24</v>
      </c>
      <c r="AE83" s="5" t="n">
        <f aca="false">IF(AD83="","",RANK(AD83,AD$2:AD$151,0))</f>
        <v>56</v>
      </c>
      <c r="AF83" s="7" t="n">
        <v>450</v>
      </c>
      <c r="AG83" s="5" t="n">
        <f aca="false">IF(AF83="","",RANK(AF83,AF$2:AF$151,0))</f>
        <v>12</v>
      </c>
      <c r="AH83" s="7" t="n">
        <v>260</v>
      </c>
      <c r="AI83" s="5" t="n">
        <f aca="false">IF(AH83="","",RANK(AH83,AH$2:AH$151,0))</f>
        <v>21</v>
      </c>
      <c r="AJ83" s="4" t="n">
        <v>6</v>
      </c>
      <c r="AK83" s="5" t="n">
        <f aca="false">IF(AJ83="","",RANK(AJ83,AJ$2:AJ$151,0))</f>
        <v>70</v>
      </c>
      <c r="AL83" s="6" t="n">
        <v>0</v>
      </c>
      <c r="AM83" s="5" t="n">
        <f aca="false">IF(AL83="","",RANK(AL83,AL$2:AL$151,0))</f>
        <v>95</v>
      </c>
      <c r="AN83" s="6" t="n">
        <v>0</v>
      </c>
      <c r="AO83" s="5" t="n">
        <f aca="false">IF(AN83="","",RANK(AN83,AN$2:AN$151,0))</f>
        <v>22</v>
      </c>
    </row>
    <row r="84" customFormat="false" ht="15" hidden="false" customHeight="false" outlineLevel="0" collapsed="false">
      <c r="A84" s="2" t="n">
        <v>83</v>
      </c>
      <c r="B84" s="2" t="s">
        <v>205</v>
      </c>
      <c r="C84" s="2" t="s">
        <v>199</v>
      </c>
      <c r="D84" s="2" t="s">
        <v>206</v>
      </c>
      <c r="E84" s="2" t="s">
        <v>30</v>
      </c>
      <c r="F84" s="2" t="s">
        <v>31</v>
      </c>
      <c r="G84" s="2" t="s">
        <v>207</v>
      </c>
      <c r="H84" s="3" t="n">
        <v>35719</v>
      </c>
      <c r="I84" s="2" t="n">
        <v>2018</v>
      </c>
      <c r="J84" s="2"/>
      <c r="K84" s="2"/>
      <c r="L84" s="4" t="n">
        <f aca="false">ROUND((DATE(2026,9,1)-H84)/365.25,1)</f>
        <v>28.9</v>
      </c>
      <c r="M84" s="5" t="n">
        <f aca="false">IF(L84="","",RANK(L84,L$2:L$151,0))</f>
        <v>121</v>
      </c>
      <c r="N84" s="6" t="n">
        <v>180</v>
      </c>
      <c r="O84" s="5" t="n">
        <f aca="false">IF(N84="","",RANK(N84,N$2:N$151,0))</f>
        <v>83</v>
      </c>
      <c r="P84" s="6" t="n">
        <v>69</v>
      </c>
      <c r="Q84" s="5" t="n">
        <f aca="false">IF(P84="","",RANK(P84,P$2:P$151,0))</f>
        <v>107</v>
      </c>
      <c r="R84" s="6" t="n">
        <f aca="false">I84-YEAR(H84)</f>
        <v>21</v>
      </c>
      <c r="S84" s="5" t="n">
        <f aca="false">IF(R84="","",RANK(R84,R$2:R$151,0))</f>
        <v>23</v>
      </c>
      <c r="T84" s="6" t="n">
        <f aca="false">IF(J84="",2026,J84)-I84</f>
        <v>8</v>
      </c>
      <c r="U84" s="5" t="n">
        <f aca="false">IF(T84="","",RANK(T84,T$2:T$151,0))</f>
        <v>132</v>
      </c>
      <c r="V84" s="6" t="n">
        <v>0</v>
      </c>
      <c r="W84" s="5" t="n">
        <f aca="false">IF(V84="","",RANK(V84,V$2:V$151,0))</f>
        <v>82</v>
      </c>
      <c r="X84" s="6" t="n">
        <v>0</v>
      </c>
      <c r="Y84" s="5" t="n">
        <f aca="false">IF(X84="","",RANK(X84,X$2:X$151,0))</f>
        <v>65</v>
      </c>
      <c r="Z84" s="6" t="n">
        <v>0</v>
      </c>
      <c r="AA84" s="5" t="n">
        <f aca="false">IF(Z84="","",RANK(Z84,Z$2:Z$151,0))</f>
        <v>53</v>
      </c>
      <c r="AB84" s="6" t="n">
        <v>0</v>
      </c>
      <c r="AC84" s="5" t="n">
        <f aca="false">IF(AB84="","",RANK(AB84,AB$2:AB$151,0))</f>
        <v>135</v>
      </c>
      <c r="AD84" s="6" t="str">
        <f aca="false">IF(K84="","",K84-YEAR(H84))</f>
        <v/>
      </c>
      <c r="AE84" s="5" t="str">
        <f aca="false">IF(AD84="","",RANK(AD84,AD$2:AD$151,0))</f>
        <v/>
      </c>
      <c r="AF84" s="7" t="n">
        <v>110</v>
      </c>
      <c r="AG84" s="5" t="n">
        <f aca="false">IF(AF84="","",RANK(AF84,AF$2:AF$151,0))</f>
        <v>72</v>
      </c>
      <c r="AH84" s="7" t="n">
        <v>60</v>
      </c>
      <c r="AI84" s="5" t="n">
        <f aca="false">IF(AH84="","",RANK(AH84,AH$2:AH$151,0))</f>
        <v>85</v>
      </c>
      <c r="AJ84" s="4" t="n">
        <v>18</v>
      </c>
      <c r="AK84" s="5" t="n">
        <f aca="false">IF(AJ84="","",RANK(AJ84,AJ$2:AJ$151,0))</f>
        <v>38</v>
      </c>
      <c r="AL84" s="6" t="n">
        <v>0</v>
      </c>
      <c r="AM84" s="5" t="n">
        <f aca="false">IF(AL84="","",RANK(AL84,AL$2:AL$151,0))</f>
        <v>95</v>
      </c>
      <c r="AN84" s="6" t="n">
        <v>0</v>
      </c>
      <c r="AO84" s="5" t="n">
        <f aca="false">IF(AN84="","",RANK(AN84,AN$2:AN$151,0))</f>
        <v>22</v>
      </c>
    </row>
    <row r="85" customFormat="false" ht="15" hidden="false" customHeight="false" outlineLevel="0" collapsed="false">
      <c r="A85" s="2" t="n">
        <v>84</v>
      </c>
      <c r="B85" s="2" t="s">
        <v>208</v>
      </c>
      <c r="C85" s="2" t="s">
        <v>199</v>
      </c>
      <c r="D85" s="2" t="s">
        <v>158</v>
      </c>
      <c r="E85" s="2" t="s">
        <v>30</v>
      </c>
      <c r="F85" s="2" t="s">
        <v>31</v>
      </c>
      <c r="G85" s="2" t="s">
        <v>209</v>
      </c>
      <c r="H85" s="3" t="n">
        <v>36477</v>
      </c>
      <c r="I85" s="2" t="n">
        <v>2019</v>
      </c>
      <c r="J85" s="2"/>
      <c r="K85" s="2" t="n">
        <v>2025</v>
      </c>
      <c r="L85" s="4" t="n">
        <f aca="false">ROUND((DATE(2026,9,1)-H85)/365.25,1)</f>
        <v>26.8</v>
      </c>
      <c r="M85" s="5" t="n">
        <f aca="false">IF(L85="","",RANK(L85,L$2:L$151,0))</f>
        <v>133</v>
      </c>
      <c r="N85" s="6" t="n">
        <v>170</v>
      </c>
      <c r="O85" s="5" t="n">
        <f aca="false">IF(N85="","",RANK(N85,N$2:N$151,0))</f>
        <v>128</v>
      </c>
      <c r="P85" s="6" t="n">
        <v>68</v>
      </c>
      <c r="Q85" s="5" t="n">
        <f aca="false">IF(P85="","",RANK(P85,P$2:P$151,0))</f>
        <v>109</v>
      </c>
      <c r="R85" s="6" t="n">
        <f aca="false">I85-YEAR(H85)</f>
        <v>20</v>
      </c>
      <c r="S85" s="5" t="n">
        <f aca="false">IF(R85="","",RANK(R85,R$2:R$151,0))</f>
        <v>33</v>
      </c>
      <c r="T85" s="6" t="n">
        <f aca="false">IF(J85="",2026,J85)-I85</f>
        <v>7</v>
      </c>
      <c r="U85" s="5" t="n">
        <f aca="false">IF(T85="","",RANK(T85,T$2:T$151,0))</f>
        <v>140</v>
      </c>
      <c r="V85" s="6" t="n">
        <v>0</v>
      </c>
      <c r="W85" s="5" t="n">
        <f aca="false">IF(V85="","",RANK(V85,V$2:V$151,0))</f>
        <v>82</v>
      </c>
      <c r="X85" s="6" t="n">
        <v>0</v>
      </c>
      <c r="Y85" s="5" t="n">
        <f aca="false">IF(X85="","",RANK(X85,X$2:X$151,0))</f>
        <v>65</v>
      </c>
      <c r="Z85" s="6" t="n">
        <v>0</v>
      </c>
      <c r="AA85" s="5" t="n">
        <f aca="false">IF(Z85="","",RANK(Z85,Z$2:Z$151,0))</f>
        <v>53</v>
      </c>
      <c r="AB85" s="6" t="n">
        <v>1</v>
      </c>
      <c r="AC85" s="5" t="n">
        <f aca="false">IF(AB85="","",RANK(AB85,AB$2:AB$151,0))</f>
        <v>106</v>
      </c>
      <c r="AD85" s="6" t="n">
        <f aca="false">IF(K85="","",K85-YEAR(H85))</f>
        <v>26</v>
      </c>
      <c r="AE85" s="5" t="n">
        <f aca="false">IF(AD85="","",RANK(AD85,AD$2:AD$151,0))</f>
        <v>40</v>
      </c>
      <c r="AF85" s="7" t="n">
        <v>90</v>
      </c>
      <c r="AG85" s="5" t="n">
        <f aca="false">IF(AF85="","",RANK(AF85,AF$2:AF$151,0))</f>
        <v>80</v>
      </c>
      <c r="AH85" s="7" t="n">
        <v>60</v>
      </c>
      <c r="AI85" s="5" t="n">
        <f aca="false">IF(AH85="","",RANK(AH85,AH$2:AH$151,0))</f>
        <v>85</v>
      </c>
      <c r="AJ85" s="4" t="n">
        <v>10</v>
      </c>
      <c r="AK85" s="5" t="n">
        <f aca="false">IF(AJ85="","",RANK(AJ85,AJ$2:AJ$151,0))</f>
        <v>61</v>
      </c>
      <c r="AL85" s="6" t="n">
        <v>0</v>
      </c>
      <c r="AM85" s="5" t="n">
        <f aca="false">IF(AL85="","",RANK(AL85,AL$2:AL$151,0))</f>
        <v>95</v>
      </c>
      <c r="AN85" s="6" t="n">
        <v>0</v>
      </c>
      <c r="AO85" s="5" t="n">
        <f aca="false">IF(AN85="","",RANK(AN85,AN$2:AN$151,0))</f>
        <v>22</v>
      </c>
    </row>
    <row r="86" customFormat="false" ht="15" hidden="false" customHeight="false" outlineLevel="0" collapsed="false">
      <c r="A86" s="2" t="n">
        <v>85</v>
      </c>
      <c r="B86" s="2" t="s">
        <v>210</v>
      </c>
      <c r="C86" s="2" t="s">
        <v>199</v>
      </c>
      <c r="D86" s="2" t="s">
        <v>93</v>
      </c>
      <c r="E86" s="2" t="s">
        <v>30</v>
      </c>
      <c r="F86" s="2" t="s">
        <v>67</v>
      </c>
      <c r="G86" s="2" t="s">
        <v>211</v>
      </c>
      <c r="H86" s="3" t="n">
        <v>31961</v>
      </c>
      <c r="I86" s="2" t="n">
        <v>2007</v>
      </c>
      <c r="J86" s="2" t="n">
        <v>2022</v>
      </c>
      <c r="K86" s="2" t="n">
        <v>2010</v>
      </c>
      <c r="L86" s="4" t="n">
        <f aca="false">ROUND((DATE(2026,9,1)-H86)/365.25,1)</f>
        <v>39.2</v>
      </c>
      <c r="M86" s="5" t="n">
        <f aca="false">IF(L86="","",RANK(L86,L$2:L$151,0))</f>
        <v>69</v>
      </c>
      <c r="N86" s="6" t="n">
        <v>175</v>
      </c>
      <c r="O86" s="5" t="n">
        <f aca="false">IF(N86="","",RANK(N86,N$2:N$151,0))</f>
        <v>102</v>
      </c>
      <c r="P86" s="6" t="n">
        <v>64</v>
      </c>
      <c r="Q86" s="5" t="n">
        <f aca="false">IF(P86="","",RANK(P86,P$2:P$151,0))</f>
        <v>122</v>
      </c>
      <c r="R86" s="6" t="n">
        <f aca="false">I86-YEAR(H86)</f>
        <v>20</v>
      </c>
      <c r="S86" s="5" t="n">
        <f aca="false">IF(R86="","",RANK(R86,R$2:R$151,0))</f>
        <v>33</v>
      </c>
      <c r="T86" s="6" t="n">
        <f aca="false">IF(J86="",2026,J86)-I86</f>
        <v>15</v>
      </c>
      <c r="U86" s="5" t="n">
        <f aca="false">IF(T86="","",RANK(T86,T$2:T$151,0))</f>
        <v>85</v>
      </c>
      <c r="V86" s="6" t="n">
        <v>0</v>
      </c>
      <c r="W86" s="5" t="n">
        <f aca="false">IF(V86="","",RANK(V86,V$2:V$151,0))</f>
        <v>82</v>
      </c>
      <c r="X86" s="6" t="n">
        <v>0</v>
      </c>
      <c r="Y86" s="5" t="n">
        <f aca="false">IF(X86="","",RANK(X86,X$2:X$151,0))</f>
        <v>65</v>
      </c>
      <c r="Z86" s="6" t="n">
        <v>0</v>
      </c>
      <c r="AA86" s="5" t="n">
        <f aca="false">IF(Z86="","",RANK(Z86,Z$2:Z$151,0))</f>
        <v>53</v>
      </c>
      <c r="AB86" s="6" t="n">
        <v>4</v>
      </c>
      <c r="AC86" s="5" t="n">
        <f aca="false">IF(AB86="","",RANK(AB86,AB$2:AB$151,0))</f>
        <v>52</v>
      </c>
      <c r="AD86" s="6" t="n">
        <f aca="false">IF(K86="","",K86-YEAR(H86))</f>
        <v>23</v>
      </c>
      <c r="AE86" s="5" t="n">
        <f aca="false">IF(AD86="","",RANK(AD86,AD$2:AD$151,0))</f>
        <v>61</v>
      </c>
      <c r="AF86" s="7" t="n">
        <v>350</v>
      </c>
      <c r="AG86" s="5" t="n">
        <f aca="false">IF(AF86="","",RANK(AF86,AF$2:AF$151,0))</f>
        <v>18</v>
      </c>
      <c r="AH86" s="7" t="n">
        <v>150</v>
      </c>
      <c r="AI86" s="5" t="n">
        <f aca="false">IF(AH86="","",RANK(AH86,AH$2:AH$151,0))</f>
        <v>44</v>
      </c>
      <c r="AJ86" s="4" t="n">
        <v>1.7</v>
      </c>
      <c r="AK86" s="5" t="n">
        <f aca="false">IF(AJ86="","",RANK(AJ86,AJ$2:AJ$151,0))</f>
        <v>104</v>
      </c>
      <c r="AL86" s="6" t="n">
        <v>3</v>
      </c>
      <c r="AM86" s="5" t="n">
        <f aca="false">IF(AL86="","",RANK(AL86,AL$2:AL$151,0))</f>
        <v>27</v>
      </c>
      <c r="AN86" s="6" t="n">
        <v>1</v>
      </c>
      <c r="AO86" s="5" t="n">
        <f aca="false">IF(AN86="","",RANK(AN86,AN$2:AN$151,0))</f>
        <v>11</v>
      </c>
    </row>
    <row r="87" customFormat="false" ht="15" hidden="false" customHeight="false" outlineLevel="0" collapsed="false">
      <c r="A87" s="2" t="n">
        <v>86</v>
      </c>
      <c r="B87" s="2" t="s">
        <v>212</v>
      </c>
      <c r="C87" s="2" t="s">
        <v>199</v>
      </c>
      <c r="D87" s="2" t="s">
        <v>213</v>
      </c>
      <c r="E87" s="2" t="s">
        <v>30</v>
      </c>
      <c r="F87" s="2" t="s">
        <v>67</v>
      </c>
      <c r="G87" s="2" t="s">
        <v>41</v>
      </c>
      <c r="H87" s="3" t="n">
        <v>29145</v>
      </c>
      <c r="I87" s="2" t="n">
        <v>2001</v>
      </c>
      <c r="J87" s="2" t="n">
        <v>2021</v>
      </c>
      <c r="K87" s="2" t="n">
        <v>2007</v>
      </c>
      <c r="L87" s="4" t="n">
        <f aca="false">ROUND((DATE(2026,9,1)-H87)/365.25,1)</f>
        <v>46.9</v>
      </c>
      <c r="M87" s="5" t="n">
        <f aca="false">IF(L87="","",RANK(L87,L$2:L$151,0))</f>
        <v>30</v>
      </c>
      <c r="N87" s="6" t="n">
        <v>175</v>
      </c>
      <c r="O87" s="5" t="n">
        <f aca="false">IF(N87="","",RANK(N87,N$2:N$151,0))</f>
        <v>102</v>
      </c>
      <c r="P87" s="6" t="n">
        <v>70</v>
      </c>
      <c r="Q87" s="5" t="n">
        <f aca="false">IF(P87="","",RANK(P87,P$2:P$151,0))</f>
        <v>98</v>
      </c>
      <c r="R87" s="6" t="n">
        <f aca="false">I87-YEAR(H87)</f>
        <v>22</v>
      </c>
      <c r="S87" s="5" t="n">
        <f aca="false">IF(R87="","",RANK(R87,R$2:R$151,0))</f>
        <v>9</v>
      </c>
      <c r="T87" s="6" t="n">
        <f aca="false">IF(J87="",2026,J87)-I87</f>
        <v>20</v>
      </c>
      <c r="U87" s="5" t="n">
        <f aca="false">IF(T87="","",RANK(T87,T$2:T$151,0))</f>
        <v>42</v>
      </c>
      <c r="V87" s="6" t="n">
        <v>0</v>
      </c>
      <c r="W87" s="5" t="n">
        <f aca="false">IF(V87="","",RANK(V87,V$2:V$151,0))</f>
        <v>82</v>
      </c>
      <c r="X87" s="6" t="n">
        <v>0</v>
      </c>
      <c r="Y87" s="5" t="n">
        <f aca="false">IF(X87="","",RANK(X87,X$2:X$151,0))</f>
        <v>65</v>
      </c>
      <c r="Z87" s="6" t="n">
        <v>0</v>
      </c>
      <c r="AA87" s="5" t="n">
        <f aca="false">IF(Z87="","",RANK(Z87,Z$2:Z$151,0))</f>
        <v>53</v>
      </c>
      <c r="AB87" s="6" t="n">
        <v>1</v>
      </c>
      <c r="AC87" s="5" t="n">
        <f aca="false">IF(AB87="","",RANK(AB87,AB$2:AB$151,0))</f>
        <v>106</v>
      </c>
      <c r="AD87" s="6" t="n">
        <f aca="false">IF(K87="","",K87-YEAR(H87))</f>
        <v>28</v>
      </c>
      <c r="AE87" s="5" t="n">
        <f aca="false">IF(AD87="","",RANK(AD87,AD$2:AD$151,0))</f>
        <v>16</v>
      </c>
      <c r="AF87" s="7" t="n">
        <v>300</v>
      </c>
      <c r="AG87" s="5" t="n">
        <f aca="false">IF(AF87="","",RANK(AF87,AF$2:AF$151,0))</f>
        <v>25</v>
      </c>
      <c r="AH87" s="7" t="n">
        <v>200</v>
      </c>
      <c r="AI87" s="5" t="n">
        <f aca="false">IF(AH87="","",RANK(AH87,AH$2:AH$151,0))</f>
        <v>29</v>
      </c>
      <c r="AJ87" s="4" t="n">
        <v>4</v>
      </c>
      <c r="AK87" s="5" t="n">
        <f aca="false">IF(AJ87="","",RANK(AJ87,AJ$2:AJ$151,0))</f>
        <v>76</v>
      </c>
      <c r="AL87" s="6" t="n">
        <v>2</v>
      </c>
      <c r="AM87" s="5" t="n">
        <f aca="false">IF(AL87="","",RANK(AL87,AL$2:AL$151,0))</f>
        <v>49</v>
      </c>
      <c r="AN87" s="6" t="n">
        <v>0</v>
      </c>
      <c r="AO87" s="5" t="n">
        <f aca="false">IF(AN87="","",RANK(AN87,AN$2:AN$151,0))</f>
        <v>22</v>
      </c>
    </row>
    <row r="88" customFormat="false" ht="15" hidden="false" customHeight="false" outlineLevel="0" collapsed="false">
      <c r="A88" s="2" t="n">
        <v>87</v>
      </c>
      <c r="B88" s="2" t="s">
        <v>214</v>
      </c>
      <c r="C88" s="2" t="s">
        <v>215</v>
      </c>
      <c r="D88" s="2" t="s">
        <v>108</v>
      </c>
      <c r="E88" s="2" t="s">
        <v>105</v>
      </c>
      <c r="F88" s="2" t="s">
        <v>67</v>
      </c>
      <c r="G88" s="2" t="s">
        <v>41</v>
      </c>
      <c r="H88" s="3" t="n">
        <v>30035</v>
      </c>
      <c r="I88" s="2" t="n">
        <v>2005</v>
      </c>
      <c r="J88" s="2" t="n">
        <v>2018</v>
      </c>
      <c r="K88" s="2"/>
      <c r="L88" s="4" t="n">
        <f aca="false">ROUND((DATE(2026,9,1)-H88)/365.25,1)</f>
        <v>44.4</v>
      </c>
      <c r="M88" s="5" t="n">
        <f aca="false">IF(L88="","",RANK(L88,L$2:L$151,0))</f>
        <v>39</v>
      </c>
      <c r="N88" s="6" t="n">
        <v>157</v>
      </c>
      <c r="O88" s="5" t="n">
        <f aca="false">IF(N88="","",RANK(N88,N$2:N$151,0))</f>
        <v>145</v>
      </c>
      <c r="P88" s="6" t="n">
        <v>45</v>
      </c>
      <c r="Q88" s="5" t="n">
        <f aca="false">IF(P88="","",RANK(P88,P$2:P$151,0))</f>
        <v>148</v>
      </c>
      <c r="R88" s="6" t="n">
        <f aca="false">I88-YEAR(H88)</f>
        <v>23</v>
      </c>
      <c r="S88" s="5" t="n">
        <f aca="false">IF(R88="","",RANK(R88,R$2:R$151,0))</f>
        <v>5</v>
      </c>
      <c r="T88" s="6" t="n">
        <f aca="false">IF(J88="",2026,J88)-I88</f>
        <v>13</v>
      </c>
      <c r="U88" s="5" t="n">
        <f aca="false">IF(T88="","",RANK(T88,T$2:T$151,0))</f>
        <v>99</v>
      </c>
      <c r="V88" s="6" t="n">
        <v>0</v>
      </c>
      <c r="W88" s="5" t="n">
        <f aca="false">IF(V88="","",RANK(V88,V$2:V$151,0))</f>
        <v>82</v>
      </c>
      <c r="X88" s="6" t="n">
        <v>0</v>
      </c>
      <c r="Y88" s="5" t="n">
        <f aca="false">IF(X88="","",RANK(X88,X$2:X$151,0))</f>
        <v>65</v>
      </c>
      <c r="Z88" s="6" t="n">
        <v>0</v>
      </c>
      <c r="AA88" s="5" t="n">
        <f aca="false">IF(Z88="","",RANK(Z88,Z$2:Z$151,0))</f>
        <v>53</v>
      </c>
      <c r="AB88" s="6" t="n">
        <v>0</v>
      </c>
      <c r="AC88" s="5" t="n">
        <f aca="false">IF(AB88="","",RANK(AB88,AB$2:AB$151,0))</f>
        <v>135</v>
      </c>
      <c r="AD88" s="6" t="str">
        <f aca="false">IF(K88="","",K88-YEAR(H88))</f>
        <v/>
      </c>
      <c r="AE88" s="5" t="str">
        <f aca="false">IF(AD88="","",RANK(AD88,AD$2:AD$151,0))</f>
        <v/>
      </c>
      <c r="AF88" s="7" t="n">
        <v>60</v>
      </c>
      <c r="AG88" s="5" t="n">
        <f aca="false">IF(AF88="","",RANK(AF88,AF$2:AF$151,0))</f>
        <v>86</v>
      </c>
      <c r="AH88" s="7" t="n">
        <v>80</v>
      </c>
      <c r="AI88" s="5" t="n">
        <f aca="false">IF(AH88="","",RANK(AH88,AH$2:AH$151,0))</f>
        <v>78</v>
      </c>
      <c r="AJ88" s="4" t="n">
        <v>1</v>
      </c>
      <c r="AK88" s="5" t="n">
        <f aca="false">IF(AJ88="","",RANK(AJ88,AJ$2:AJ$151,0))</f>
        <v>117</v>
      </c>
      <c r="AL88" s="6" t="n">
        <v>0</v>
      </c>
      <c r="AM88" s="5" t="n">
        <f aca="false">IF(AL88="","",RANK(AL88,AL$2:AL$151,0))</f>
        <v>95</v>
      </c>
      <c r="AN88" s="6" t="n">
        <v>0</v>
      </c>
      <c r="AO88" s="5" t="n">
        <f aca="false">IF(AN88="","",RANK(AN88,AN$2:AN$151,0))</f>
        <v>22</v>
      </c>
    </row>
    <row r="89" customFormat="false" ht="15" hidden="false" customHeight="false" outlineLevel="0" collapsed="false">
      <c r="A89" s="2" t="n">
        <v>88</v>
      </c>
      <c r="B89" s="2" t="s">
        <v>216</v>
      </c>
      <c r="C89" s="2" t="s">
        <v>217</v>
      </c>
      <c r="D89" s="2" t="s">
        <v>86</v>
      </c>
      <c r="E89" s="2" t="s">
        <v>30</v>
      </c>
      <c r="F89" s="2" t="s">
        <v>67</v>
      </c>
      <c r="G89" s="2" t="s">
        <v>218</v>
      </c>
      <c r="H89" s="3" t="n">
        <v>28902</v>
      </c>
      <c r="I89" s="2" t="n">
        <v>1996</v>
      </c>
      <c r="J89" s="2" t="n">
        <v>2021</v>
      </c>
      <c r="K89" s="2" t="n">
        <v>2001</v>
      </c>
      <c r="L89" s="4" t="n">
        <f aca="false">ROUND((DATE(2026,9,1)-H89)/365.25,1)</f>
        <v>47.5</v>
      </c>
      <c r="M89" s="5" t="n">
        <f aca="false">IF(L89="","",RANK(L89,L$2:L$151,0))</f>
        <v>29</v>
      </c>
      <c r="N89" s="6" t="n">
        <v>182</v>
      </c>
      <c r="O89" s="5" t="n">
        <f aca="false">IF(N89="","",RANK(N89,N$2:N$151,0))</f>
        <v>76</v>
      </c>
      <c r="P89" s="6" t="n">
        <v>67</v>
      </c>
      <c r="Q89" s="5" t="n">
        <f aca="false">IF(P89="","",RANK(P89,P$2:P$151,0))</f>
        <v>116</v>
      </c>
      <c r="R89" s="6" t="n">
        <f aca="false">I89-YEAR(H89)</f>
        <v>17</v>
      </c>
      <c r="S89" s="5" t="n">
        <f aca="false">IF(R89="","",RANK(R89,R$2:R$151,0))</f>
        <v>82</v>
      </c>
      <c r="T89" s="6" t="n">
        <f aca="false">IF(J89="",2026,J89)-I89</f>
        <v>25</v>
      </c>
      <c r="U89" s="5" t="n">
        <f aca="false">IF(T89="","",RANK(T89,T$2:T$151,0))</f>
        <v>11</v>
      </c>
      <c r="V89" s="6" t="n">
        <v>0</v>
      </c>
      <c r="W89" s="5" t="n">
        <f aca="false">IF(V89="","",RANK(V89,V$2:V$151,0))</f>
        <v>82</v>
      </c>
      <c r="X89" s="6" t="n">
        <v>0</v>
      </c>
      <c r="Y89" s="5" t="n">
        <f aca="false">IF(X89="","",RANK(X89,X$2:X$151,0))</f>
        <v>65</v>
      </c>
      <c r="Z89" s="6" t="n">
        <v>0</v>
      </c>
      <c r="AA89" s="5" t="n">
        <f aca="false">IF(Z89="","",RANK(Z89,Z$2:Z$151,0))</f>
        <v>53</v>
      </c>
      <c r="AB89" s="6" t="n">
        <v>7</v>
      </c>
      <c r="AC89" s="5" t="n">
        <f aca="false">IF(AB89="","",RANK(AB89,AB$2:AB$151,0))</f>
        <v>24</v>
      </c>
      <c r="AD89" s="6" t="n">
        <f aca="false">IF(K89="","",K89-YEAR(H89))</f>
        <v>22</v>
      </c>
      <c r="AE89" s="5" t="n">
        <f aca="false">IF(AD89="","",RANK(AD89,AD$2:AD$151,0))</f>
        <v>71</v>
      </c>
      <c r="AF89" s="7" t="n">
        <v>400</v>
      </c>
      <c r="AG89" s="5" t="n">
        <f aca="false">IF(AF89="","",RANK(AF89,AF$2:AF$151,0))</f>
        <v>17</v>
      </c>
      <c r="AH89" s="7" t="n">
        <v>200</v>
      </c>
      <c r="AI89" s="5" t="n">
        <f aca="false">IF(AH89="","",RANK(AH89,AH$2:AH$151,0))</f>
        <v>29</v>
      </c>
      <c r="AJ89" s="4" t="n">
        <v>16</v>
      </c>
      <c r="AK89" s="5" t="n">
        <f aca="false">IF(AJ89="","",RANK(AJ89,AJ$2:AJ$151,0))</f>
        <v>42</v>
      </c>
      <c r="AL89" s="6" t="n">
        <v>2</v>
      </c>
      <c r="AM89" s="5" t="n">
        <f aca="false">IF(AL89="","",RANK(AL89,AL$2:AL$151,0))</f>
        <v>49</v>
      </c>
      <c r="AN89" s="6" t="n">
        <v>0</v>
      </c>
      <c r="AO89" s="5" t="n">
        <f aca="false">IF(AN89="","",RANK(AN89,AN$2:AN$151,0))</f>
        <v>22</v>
      </c>
    </row>
    <row r="90" customFormat="false" ht="15" hidden="false" customHeight="false" outlineLevel="0" collapsed="false">
      <c r="A90" s="2" t="n">
        <v>89</v>
      </c>
      <c r="B90" s="2" t="s">
        <v>219</v>
      </c>
      <c r="C90" s="2" t="s">
        <v>217</v>
      </c>
      <c r="D90" s="2" t="s">
        <v>46</v>
      </c>
      <c r="E90" s="2" t="s">
        <v>30</v>
      </c>
      <c r="F90" s="2" t="s">
        <v>31</v>
      </c>
      <c r="G90" s="2" t="s">
        <v>220</v>
      </c>
      <c r="H90" s="3" t="n">
        <v>34017</v>
      </c>
      <c r="I90" s="2" t="n">
        <v>2008</v>
      </c>
      <c r="J90" s="2"/>
      <c r="K90" s="2" t="n">
        <v>2013</v>
      </c>
      <c r="L90" s="4" t="n">
        <f aca="false">ROUND((DATE(2026,9,1)-H90)/365.25,1)</f>
        <v>33.5</v>
      </c>
      <c r="M90" s="5" t="n">
        <f aca="false">IF(L90="","",RANK(L90,L$2:L$151,0))</f>
        <v>95</v>
      </c>
      <c r="N90" s="6" t="n">
        <v>169</v>
      </c>
      <c r="O90" s="5" t="n">
        <f aca="false">IF(N90="","",RANK(N90,N$2:N$151,0))</f>
        <v>135</v>
      </c>
      <c r="P90" s="6" t="n">
        <v>59</v>
      </c>
      <c r="Q90" s="5" t="n">
        <f aca="false">IF(P90="","",RANK(P90,P$2:P$151,0))</f>
        <v>137</v>
      </c>
      <c r="R90" s="6" t="n">
        <f aca="false">I90-YEAR(H90)</f>
        <v>15</v>
      </c>
      <c r="S90" s="5" t="n">
        <f aca="false">IF(R90="","",RANK(R90,R$2:R$151,0))</f>
        <v>130</v>
      </c>
      <c r="T90" s="6" t="n">
        <f aca="false">IF(J90="",2026,J90)-I90</f>
        <v>18</v>
      </c>
      <c r="U90" s="5" t="n">
        <f aca="false">IF(T90="","",RANK(T90,T$2:T$151,0))</f>
        <v>61</v>
      </c>
      <c r="V90" s="6" t="n">
        <v>0</v>
      </c>
      <c r="W90" s="5" t="n">
        <f aca="false">IF(V90="","",RANK(V90,V$2:V$151,0))</f>
        <v>82</v>
      </c>
      <c r="X90" s="6" t="n">
        <v>0</v>
      </c>
      <c r="Y90" s="5" t="n">
        <f aca="false">IF(X90="","",RANK(X90,X$2:X$151,0))</f>
        <v>65</v>
      </c>
      <c r="Z90" s="6" t="n">
        <v>0</v>
      </c>
      <c r="AA90" s="5" t="n">
        <f aca="false">IF(Z90="","",RANK(Z90,Z$2:Z$151,0))</f>
        <v>53</v>
      </c>
      <c r="AB90" s="6" t="n">
        <v>7</v>
      </c>
      <c r="AC90" s="5" t="n">
        <f aca="false">IF(AB90="","",RANK(AB90,AB$2:AB$151,0))</f>
        <v>24</v>
      </c>
      <c r="AD90" s="6" t="n">
        <f aca="false">IF(K90="","",K90-YEAR(H90))</f>
        <v>20</v>
      </c>
      <c r="AE90" s="5" t="n">
        <f aca="false">IF(AD90="","",RANK(AD90,AD$2:AD$151,0))</f>
        <v>99</v>
      </c>
      <c r="AF90" s="7" t="n">
        <v>200</v>
      </c>
      <c r="AG90" s="5" t="n">
        <f aca="false">IF(AF90="","",RANK(AF90,AF$2:AF$151,0))</f>
        <v>44</v>
      </c>
      <c r="AH90" s="7" t="n">
        <v>100</v>
      </c>
      <c r="AI90" s="5" t="n">
        <f aca="false">IF(AH90="","",RANK(AH90,AH$2:AH$151,0))</f>
        <v>61</v>
      </c>
      <c r="AJ90" s="4" t="n">
        <v>10</v>
      </c>
      <c r="AK90" s="5" t="n">
        <f aca="false">IF(AJ90="","",RANK(AJ90,AJ$2:AJ$151,0))</f>
        <v>61</v>
      </c>
      <c r="AL90" s="6" t="n">
        <v>0</v>
      </c>
      <c r="AM90" s="5" t="n">
        <f aca="false">IF(AL90="","",RANK(AL90,AL$2:AL$151,0))</f>
        <v>95</v>
      </c>
      <c r="AN90" s="6" t="n">
        <v>0</v>
      </c>
      <c r="AO90" s="5" t="n">
        <f aca="false">IF(AN90="","",RANK(AN90,AN$2:AN$151,0))</f>
        <v>22</v>
      </c>
    </row>
    <row r="91" customFormat="false" ht="15" hidden="false" customHeight="false" outlineLevel="0" collapsed="false">
      <c r="A91" s="2" t="n">
        <v>90</v>
      </c>
      <c r="B91" s="2" t="s">
        <v>221</v>
      </c>
      <c r="C91" s="2" t="s">
        <v>222</v>
      </c>
      <c r="D91" s="2" t="s">
        <v>223</v>
      </c>
      <c r="E91" s="2" t="s">
        <v>30</v>
      </c>
      <c r="F91" s="2" t="s">
        <v>67</v>
      </c>
      <c r="G91" s="2" t="s">
        <v>224</v>
      </c>
      <c r="H91" s="3" t="n">
        <v>31645</v>
      </c>
      <c r="I91" s="2" t="n">
        <v>2002</v>
      </c>
      <c r="J91" s="2" t="n">
        <v>2017</v>
      </c>
      <c r="K91" s="2" t="n">
        <v>2008</v>
      </c>
      <c r="L91" s="4" t="n">
        <f aca="false">ROUND((DATE(2026,9,1)-H91)/365.25,1)</f>
        <v>40</v>
      </c>
      <c r="M91" s="5" t="n">
        <f aca="false">IF(L91="","",RANK(L91,L$2:L$151,0))</f>
        <v>60</v>
      </c>
      <c r="N91" s="6" t="n">
        <v>195</v>
      </c>
      <c r="O91" s="5" t="n">
        <f aca="false">IF(N91="","",RANK(N91,N$2:N$151,0))</f>
        <v>19</v>
      </c>
      <c r="P91" s="6" t="n">
        <v>94</v>
      </c>
      <c r="Q91" s="5" t="n">
        <f aca="false">IF(P91="","",RANK(P91,P$2:P$151,0))</f>
        <v>32</v>
      </c>
      <c r="R91" s="6" t="n">
        <f aca="false">I91-YEAR(H91)</f>
        <v>16</v>
      </c>
      <c r="S91" s="5" t="n">
        <f aca="false">IF(R91="","",RANK(R91,R$2:R$151,0))</f>
        <v>109</v>
      </c>
      <c r="T91" s="6" t="n">
        <f aca="false">IF(J91="",2026,J91)-I91</f>
        <v>15</v>
      </c>
      <c r="U91" s="5" t="n">
        <f aca="false">IF(T91="","",RANK(T91,T$2:T$151,0))</f>
        <v>85</v>
      </c>
      <c r="V91" s="6" t="n">
        <v>4</v>
      </c>
      <c r="W91" s="5" t="n">
        <f aca="false">IF(V91="","",RANK(V91,V$2:V$151,0))</f>
        <v>14</v>
      </c>
      <c r="X91" s="6" t="n">
        <v>8</v>
      </c>
      <c r="Y91" s="5" t="n">
        <f aca="false">IF(X91="","",RANK(X91,X$2:X$151,0))</f>
        <v>7</v>
      </c>
      <c r="Z91" s="6" t="n">
        <v>8</v>
      </c>
      <c r="AA91" s="5" t="n">
        <f aca="false">IF(Z91="","",RANK(Z91,Z$2:Z$151,0))</f>
        <v>3</v>
      </c>
      <c r="AB91" s="6" t="n">
        <v>19</v>
      </c>
      <c r="AC91" s="5" t="n">
        <f aca="false">IF(AB91="","",RANK(AB91,AB$2:AB$151,0))</f>
        <v>10</v>
      </c>
      <c r="AD91" s="6" t="n">
        <f aca="false">IF(K91="","",K91-YEAR(H91))</f>
        <v>22</v>
      </c>
      <c r="AE91" s="5" t="n">
        <f aca="false">IF(AD91="","",RANK(AD91,AD$2:AD$151,0))</f>
        <v>71</v>
      </c>
      <c r="AF91" s="7" t="n">
        <v>30</v>
      </c>
      <c r="AG91" s="5" t="n">
        <f aca="false">IF(AF91="","",RANK(AF91,AF$2:AF$151,0))</f>
        <v>103</v>
      </c>
      <c r="AH91" s="7" t="n">
        <v>90</v>
      </c>
      <c r="AI91" s="5" t="n">
        <f aca="false">IF(AH91="","",RANK(AH91,AH$2:AH$151,0))</f>
        <v>75</v>
      </c>
      <c r="AJ91" s="4" t="n">
        <v>12</v>
      </c>
      <c r="AK91" s="5" t="n">
        <f aca="false">IF(AJ91="","",RANK(AJ91,AJ$2:AJ$151,0))</f>
        <v>56</v>
      </c>
      <c r="AL91" s="6" t="n">
        <v>3</v>
      </c>
      <c r="AM91" s="5" t="n">
        <f aca="false">IF(AL91="","",RANK(AL91,AL$2:AL$151,0))</f>
        <v>27</v>
      </c>
      <c r="AN91" s="6" t="n">
        <v>4</v>
      </c>
      <c r="AO91" s="5" t="n">
        <f aca="false">IF(AN91="","",RANK(AN91,AN$2:AN$151,0))</f>
        <v>4</v>
      </c>
    </row>
    <row r="92" customFormat="false" ht="15" hidden="false" customHeight="false" outlineLevel="0" collapsed="false">
      <c r="A92" s="2" t="n">
        <v>91</v>
      </c>
      <c r="B92" s="2" t="s">
        <v>225</v>
      </c>
      <c r="C92" s="2" t="s">
        <v>222</v>
      </c>
      <c r="D92" s="2" t="s">
        <v>66</v>
      </c>
      <c r="E92" s="2" t="s">
        <v>30</v>
      </c>
      <c r="F92" s="2" t="s">
        <v>31</v>
      </c>
      <c r="G92" s="2" t="s">
        <v>226</v>
      </c>
      <c r="H92" s="3" t="n">
        <v>36474</v>
      </c>
      <c r="I92" s="2" t="n">
        <v>2015</v>
      </c>
      <c r="J92" s="2"/>
      <c r="K92" s="2" t="n">
        <v>2021</v>
      </c>
      <c r="L92" s="4" t="n">
        <f aca="false">ROUND((DATE(2026,9,1)-H92)/365.25,1)</f>
        <v>26.8</v>
      </c>
      <c r="M92" s="5" t="n">
        <f aca="false">IF(L92="","",RANK(L92,L$2:L$151,0))</f>
        <v>133</v>
      </c>
      <c r="N92" s="6" t="n">
        <v>181</v>
      </c>
      <c r="O92" s="5" t="n">
        <f aca="false">IF(N92="","",RANK(N92,N$2:N$151,0))</f>
        <v>79</v>
      </c>
      <c r="P92" s="6" t="n">
        <v>79</v>
      </c>
      <c r="Q92" s="5" t="n">
        <f aca="false">IF(P92="","",RANK(P92,P$2:P$151,0))</f>
        <v>69</v>
      </c>
      <c r="R92" s="6" t="n">
        <f aca="false">I92-YEAR(H92)</f>
        <v>16</v>
      </c>
      <c r="S92" s="5" t="n">
        <f aca="false">IF(R92="","",RANK(R92,R$2:R$151,0))</f>
        <v>109</v>
      </c>
      <c r="T92" s="6" t="n">
        <f aca="false">IF(J92="",2026,J92)-I92</f>
        <v>11</v>
      </c>
      <c r="U92" s="5" t="n">
        <f aca="false">IF(T92="","",RANK(T92,T$2:T$151,0))</f>
        <v>110</v>
      </c>
      <c r="V92" s="6" t="n">
        <v>2</v>
      </c>
      <c r="W92" s="5" t="n">
        <f aca="false">IF(V92="","",RANK(V92,V$2:V$151,0))</f>
        <v>33</v>
      </c>
      <c r="X92" s="6" t="n">
        <v>2</v>
      </c>
      <c r="Y92" s="5" t="n">
        <f aca="false">IF(X92="","",RANK(X92,X$2:X$151,0))</f>
        <v>31</v>
      </c>
      <c r="Z92" s="6" t="n">
        <v>2</v>
      </c>
      <c r="AA92" s="5" t="n">
        <f aca="false">IF(Z92="","",RANK(Z92,Z$2:Z$151,0))</f>
        <v>21</v>
      </c>
      <c r="AB92" s="6" t="n">
        <v>5</v>
      </c>
      <c r="AC92" s="5" t="n">
        <f aca="false">IF(AB92="","",RANK(AB92,AB$2:AB$151,0))</f>
        <v>39</v>
      </c>
      <c r="AD92" s="6" t="n">
        <f aca="false">IF(K92="","",K92-YEAR(H92))</f>
        <v>22</v>
      </c>
      <c r="AE92" s="5" t="n">
        <f aca="false">IF(AD92="","",RANK(AD92,AD$2:AD$151,0))</f>
        <v>71</v>
      </c>
      <c r="AF92" s="7" t="n">
        <v>20</v>
      </c>
      <c r="AG92" s="5" t="n">
        <f aca="false">IF(AF92="","",RANK(AF92,AF$2:AF$151,0))</f>
        <v>109</v>
      </c>
      <c r="AH92" s="7" t="n">
        <v>20</v>
      </c>
      <c r="AI92" s="5" t="n">
        <f aca="false">IF(AH92="","",RANK(AH92,AH$2:AH$151,0))</f>
        <v>111</v>
      </c>
      <c r="AJ92" s="4" t="n">
        <v>1.5</v>
      </c>
      <c r="AK92" s="5" t="n">
        <f aca="false">IF(AJ92="","",RANK(AJ92,AJ$2:AJ$151,0))</f>
        <v>105</v>
      </c>
      <c r="AL92" s="6" t="n">
        <v>0</v>
      </c>
      <c r="AM92" s="5" t="n">
        <f aca="false">IF(AL92="","",RANK(AL92,AL$2:AL$151,0))</f>
        <v>95</v>
      </c>
      <c r="AN92" s="6" t="n">
        <v>1</v>
      </c>
      <c r="AO92" s="5" t="n">
        <f aca="false">IF(AN92="","",RANK(AN92,AN$2:AN$151,0))</f>
        <v>11</v>
      </c>
    </row>
    <row r="93" customFormat="false" ht="15" hidden="false" customHeight="false" outlineLevel="0" collapsed="false">
      <c r="A93" s="2" t="n">
        <v>92</v>
      </c>
      <c r="B93" s="2" t="s">
        <v>227</v>
      </c>
      <c r="C93" s="2" t="s">
        <v>222</v>
      </c>
      <c r="D93" s="2" t="s">
        <v>108</v>
      </c>
      <c r="E93" s="2" t="s">
        <v>30</v>
      </c>
      <c r="F93" s="2" t="s">
        <v>31</v>
      </c>
      <c r="G93" s="2" t="s">
        <v>228</v>
      </c>
      <c r="H93" s="3" t="n">
        <v>35629</v>
      </c>
      <c r="I93" s="2" t="n">
        <v>2016</v>
      </c>
      <c r="J93" s="2"/>
      <c r="K93" s="2" t="n">
        <v>2019</v>
      </c>
      <c r="L93" s="4" t="n">
        <f aca="false">ROUND((DATE(2026,9,1)-H93)/365.25,1)</f>
        <v>29.1</v>
      </c>
      <c r="M93" s="5" t="n">
        <f aca="false">IF(L93="","",RANK(L93,L$2:L$151,0))</f>
        <v>119</v>
      </c>
      <c r="N93" s="6" t="n">
        <v>180</v>
      </c>
      <c r="O93" s="5" t="n">
        <f aca="false">IF(N93="","",RANK(N93,N$2:N$151,0))</f>
        <v>83</v>
      </c>
      <c r="P93" s="6" t="n">
        <v>70</v>
      </c>
      <c r="Q93" s="5" t="n">
        <f aca="false">IF(P93="","",RANK(P93,P$2:P$151,0))</f>
        <v>98</v>
      </c>
      <c r="R93" s="6" t="n">
        <f aca="false">I93-YEAR(H93)</f>
        <v>19</v>
      </c>
      <c r="S93" s="5" t="n">
        <f aca="false">IF(R93="","",RANK(R93,R$2:R$151,0))</f>
        <v>43</v>
      </c>
      <c r="T93" s="6" t="n">
        <f aca="false">IF(J93="",2026,J93)-I93</f>
        <v>10</v>
      </c>
      <c r="U93" s="5" t="n">
        <f aca="false">IF(T93="","",RANK(T93,T$2:T$151,0))</f>
        <v>117</v>
      </c>
      <c r="V93" s="6" t="n">
        <v>2</v>
      </c>
      <c r="W93" s="5" t="n">
        <f aca="false">IF(V93="","",RANK(V93,V$2:V$151,0))</f>
        <v>33</v>
      </c>
      <c r="X93" s="6" t="n">
        <v>3</v>
      </c>
      <c r="Y93" s="5" t="n">
        <f aca="false">IF(X93="","",RANK(X93,X$2:X$151,0))</f>
        <v>23</v>
      </c>
      <c r="Z93" s="6" t="n">
        <v>1</v>
      </c>
      <c r="AA93" s="5" t="n">
        <f aca="false">IF(Z93="","",RANK(Z93,Z$2:Z$151,0))</f>
        <v>32</v>
      </c>
      <c r="AB93" s="6" t="n">
        <v>8</v>
      </c>
      <c r="AC93" s="5" t="n">
        <f aca="false">IF(AB93="","",RANK(AB93,AB$2:AB$151,0))</f>
        <v>20</v>
      </c>
      <c r="AD93" s="6" t="n">
        <f aca="false">IF(K93="","",K93-YEAR(H93))</f>
        <v>22</v>
      </c>
      <c r="AE93" s="5" t="n">
        <f aca="false">IF(AD93="","",RANK(AD93,AD$2:AD$151,0))</f>
        <v>71</v>
      </c>
      <c r="AF93" s="7" t="n">
        <v>5</v>
      </c>
      <c r="AG93" s="5" t="n">
        <f aca="false">IF(AF93="","",RANK(AF93,AF$2:AF$151,0))</f>
        <v>127</v>
      </c>
      <c r="AH93" s="7" t="n">
        <v>10</v>
      </c>
      <c r="AI93" s="5" t="n">
        <f aca="false">IF(AH93="","",RANK(AH93,AH$2:AH$151,0))</f>
        <v>121</v>
      </c>
      <c r="AJ93" s="4" t="n">
        <v>1.2</v>
      </c>
      <c r="AK93" s="5" t="n">
        <f aca="false">IF(AJ93="","",RANK(AJ93,AJ$2:AJ$151,0))</f>
        <v>114</v>
      </c>
      <c r="AL93" s="6" t="n">
        <v>0</v>
      </c>
      <c r="AM93" s="5" t="n">
        <f aca="false">IF(AL93="","",RANK(AL93,AL$2:AL$151,0))</f>
        <v>95</v>
      </c>
      <c r="AN93" s="6" t="n">
        <v>0</v>
      </c>
      <c r="AO93" s="5" t="n">
        <f aca="false">IF(AN93="","",RANK(AN93,AN$2:AN$151,0))</f>
        <v>22</v>
      </c>
    </row>
    <row r="94" customFormat="false" ht="15" hidden="false" customHeight="false" outlineLevel="0" collapsed="false">
      <c r="A94" s="2" t="n">
        <v>93</v>
      </c>
      <c r="B94" s="2" t="s">
        <v>229</v>
      </c>
      <c r="C94" s="2" t="s">
        <v>222</v>
      </c>
      <c r="D94" s="2" t="s">
        <v>43</v>
      </c>
      <c r="E94" s="2" t="s">
        <v>30</v>
      </c>
      <c r="F94" s="2" t="s">
        <v>31</v>
      </c>
      <c r="G94" s="2" t="s">
        <v>230</v>
      </c>
      <c r="H94" s="3" t="n">
        <v>36788</v>
      </c>
      <c r="I94" s="2" t="n">
        <v>2016</v>
      </c>
      <c r="J94" s="2"/>
      <c r="K94" s="2" t="n">
        <v>2021</v>
      </c>
      <c r="L94" s="4" t="n">
        <f aca="false">ROUND((DATE(2026,9,1)-H94)/365.25,1)</f>
        <v>25.9</v>
      </c>
      <c r="M94" s="5" t="n">
        <f aca="false">IF(L94="","",RANK(L94,L$2:L$151,0))</f>
        <v>137</v>
      </c>
      <c r="N94" s="6" t="n">
        <v>186</v>
      </c>
      <c r="O94" s="5" t="n">
        <f aca="false">IF(N94="","",RANK(N94,N$2:N$151,0))</f>
        <v>51</v>
      </c>
      <c r="P94" s="6" t="n">
        <v>68</v>
      </c>
      <c r="Q94" s="5" t="n">
        <f aca="false">IF(P94="","",RANK(P94,P$2:P$151,0))</f>
        <v>109</v>
      </c>
      <c r="R94" s="6" t="n">
        <f aca="false">I94-YEAR(H94)</f>
        <v>16</v>
      </c>
      <c r="S94" s="5" t="n">
        <f aca="false">IF(R94="","",RANK(R94,R$2:R$151,0))</f>
        <v>109</v>
      </c>
      <c r="T94" s="6" t="n">
        <f aca="false">IF(J94="",2026,J94)-I94</f>
        <v>10</v>
      </c>
      <c r="U94" s="5" t="n">
        <f aca="false">IF(T94="","",RANK(T94,T$2:T$151,0))</f>
        <v>117</v>
      </c>
      <c r="V94" s="6" t="n">
        <v>2</v>
      </c>
      <c r="W94" s="5" t="n">
        <f aca="false">IF(V94="","",RANK(V94,V$2:V$151,0))</f>
        <v>33</v>
      </c>
      <c r="X94" s="6" t="n">
        <v>2</v>
      </c>
      <c r="Y94" s="5" t="n">
        <f aca="false">IF(X94="","",RANK(X94,X$2:X$151,0))</f>
        <v>31</v>
      </c>
      <c r="Z94" s="6" t="n">
        <v>2</v>
      </c>
      <c r="AA94" s="5" t="n">
        <f aca="false">IF(Z94="","",RANK(Z94,Z$2:Z$151,0))</f>
        <v>21</v>
      </c>
      <c r="AB94" s="6" t="n">
        <v>5</v>
      </c>
      <c r="AC94" s="5" t="n">
        <f aca="false">IF(AB94="","",RANK(AB94,AB$2:AB$151,0))</f>
        <v>39</v>
      </c>
      <c r="AD94" s="6" t="n">
        <f aca="false">IF(K94="","",K94-YEAR(H94))</f>
        <v>21</v>
      </c>
      <c r="AE94" s="5" t="n">
        <f aca="false">IF(AD94="","",RANK(AD94,AD$2:AD$151,0))</f>
        <v>91</v>
      </c>
      <c r="AF94" s="7" t="n">
        <v>8</v>
      </c>
      <c r="AG94" s="5" t="n">
        <f aca="false">IF(AF94="","",RANK(AF94,AF$2:AF$151,0))</f>
        <v>122</v>
      </c>
      <c r="AH94" s="7" t="n">
        <v>10</v>
      </c>
      <c r="AI94" s="5" t="n">
        <f aca="false">IF(AH94="","",RANK(AH94,AH$2:AH$151,0))</f>
        <v>121</v>
      </c>
      <c r="AJ94" s="4" t="n">
        <v>0.2</v>
      </c>
      <c r="AK94" s="5" t="n">
        <f aca="false">IF(AJ94="","",RANK(AJ94,AJ$2:AJ$151,0))</f>
        <v>134</v>
      </c>
      <c r="AL94" s="6" t="n">
        <v>2</v>
      </c>
      <c r="AM94" s="5" t="n">
        <f aca="false">IF(AL94="","",RANK(AL94,AL$2:AL$151,0))</f>
        <v>49</v>
      </c>
      <c r="AN94" s="6" t="n">
        <v>0</v>
      </c>
      <c r="AO94" s="5" t="n">
        <f aca="false">IF(AN94="","",RANK(AN94,AN$2:AN$151,0))</f>
        <v>22</v>
      </c>
    </row>
    <row r="95" customFormat="false" ht="15" hidden="false" customHeight="false" outlineLevel="0" collapsed="false">
      <c r="A95" s="2" t="n">
        <v>94</v>
      </c>
      <c r="B95" s="2" t="s">
        <v>231</v>
      </c>
      <c r="C95" s="2" t="s">
        <v>222</v>
      </c>
      <c r="D95" s="2" t="s">
        <v>232</v>
      </c>
      <c r="E95" s="2" t="s">
        <v>30</v>
      </c>
      <c r="F95" s="2" t="s">
        <v>31</v>
      </c>
      <c r="G95" s="2" t="s">
        <v>233</v>
      </c>
      <c r="H95" s="3" t="n">
        <v>30991</v>
      </c>
      <c r="I95" s="2" t="n">
        <v>2003</v>
      </c>
      <c r="J95" s="2"/>
      <c r="K95" s="2" t="n">
        <v>2003</v>
      </c>
      <c r="L95" s="4" t="n">
        <f aca="false">ROUND((DATE(2026,9,1)-H95)/365.25,1)</f>
        <v>41.8</v>
      </c>
      <c r="M95" s="5" t="n">
        <f aca="false">IF(L95="","",RANK(L95,L$2:L$151,0))</f>
        <v>47</v>
      </c>
      <c r="N95" s="6" t="n">
        <v>167</v>
      </c>
      <c r="O95" s="5" t="n">
        <f aca="false">IF(N95="","",RANK(N95,N$2:N$151,0))</f>
        <v>138</v>
      </c>
      <c r="P95" s="6" t="n">
        <v>52</v>
      </c>
      <c r="Q95" s="5" t="n">
        <f aca="false">IF(P95="","",RANK(P95,P$2:P$151,0))</f>
        <v>144</v>
      </c>
      <c r="R95" s="6" t="n">
        <f aca="false">I95-YEAR(H95)</f>
        <v>19</v>
      </c>
      <c r="S95" s="5" t="n">
        <f aca="false">IF(R95="","",RANK(R95,R$2:R$151,0))</f>
        <v>43</v>
      </c>
      <c r="T95" s="6" t="n">
        <f aca="false">IF(J95="",2026,J95)-I95</f>
        <v>23</v>
      </c>
      <c r="U95" s="5" t="n">
        <f aca="false">IF(T95="","",RANK(T95,T$2:T$151,0))</f>
        <v>20</v>
      </c>
      <c r="V95" s="6" t="n">
        <v>5</v>
      </c>
      <c r="W95" s="5" t="n">
        <f aca="false">IF(V95="","",RANK(V95,V$2:V$151,0))</f>
        <v>3</v>
      </c>
      <c r="X95" s="6" t="n">
        <v>4</v>
      </c>
      <c r="Y95" s="5" t="n">
        <f aca="false">IF(X95="","",RANK(X95,X$2:X$151,0))</f>
        <v>14</v>
      </c>
      <c r="Z95" s="6" t="n">
        <v>2</v>
      </c>
      <c r="AA95" s="5" t="n">
        <f aca="false">IF(Z95="","",RANK(Z95,Z$2:Z$151,0))</f>
        <v>21</v>
      </c>
      <c r="AB95" s="6" t="n">
        <v>3</v>
      </c>
      <c r="AC95" s="5" t="n">
        <f aca="false">IF(AB95="","",RANK(AB95,AB$2:AB$151,0))</f>
        <v>69</v>
      </c>
      <c r="AD95" s="6" t="n">
        <f aca="false">IF(K95="","",K95-YEAR(H95))</f>
        <v>19</v>
      </c>
      <c r="AE95" s="5" t="n">
        <f aca="false">IF(AD95="","",RANK(AD95,AD$2:AD$151,0))</f>
        <v>109</v>
      </c>
      <c r="AF95" s="7" t="n">
        <v>15</v>
      </c>
      <c r="AG95" s="5" t="n">
        <f aca="false">IF(AF95="","",RANK(AF95,AF$2:AF$151,0))</f>
        <v>114</v>
      </c>
      <c r="AH95" s="7" t="n">
        <v>10</v>
      </c>
      <c r="AI95" s="5" t="n">
        <f aca="false">IF(AH95="","",RANK(AH95,AH$2:AH$151,0))</f>
        <v>121</v>
      </c>
      <c r="AJ95" s="4" t="n">
        <v>0.7</v>
      </c>
      <c r="AK95" s="5" t="n">
        <f aca="false">IF(AJ95="","",RANK(AJ95,AJ$2:AJ$151,0))</f>
        <v>125</v>
      </c>
      <c r="AL95" s="6" t="n">
        <v>3</v>
      </c>
      <c r="AM95" s="5" t="n">
        <f aca="false">IF(AL95="","",RANK(AL95,AL$2:AL$151,0))</f>
        <v>27</v>
      </c>
      <c r="AN95" s="6" t="n">
        <v>0</v>
      </c>
      <c r="AO95" s="5" t="n">
        <f aca="false">IF(AN95="","",RANK(AN95,AN$2:AN$151,0))</f>
        <v>22</v>
      </c>
    </row>
    <row r="96" customFormat="false" ht="15" hidden="false" customHeight="false" outlineLevel="0" collapsed="false">
      <c r="A96" s="2" t="n">
        <v>95</v>
      </c>
      <c r="B96" s="2" t="s">
        <v>234</v>
      </c>
      <c r="C96" s="2" t="s">
        <v>222</v>
      </c>
      <c r="D96" s="2" t="s">
        <v>158</v>
      </c>
      <c r="E96" s="2" t="s">
        <v>30</v>
      </c>
      <c r="F96" s="2" t="s">
        <v>67</v>
      </c>
      <c r="G96" s="2" t="s">
        <v>235</v>
      </c>
      <c r="H96" s="3" t="n">
        <v>30398</v>
      </c>
      <c r="I96" s="2" t="n">
        <v>2001</v>
      </c>
      <c r="J96" s="2" t="n">
        <v>2023</v>
      </c>
      <c r="K96" s="2" t="n">
        <v>2011</v>
      </c>
      <c r="L96" s="4" t="n">
        <f aca="false">ROUND((DATE(2026,9,1)-H96)/365.25,1)</f>
        <v>43.4</v>
      </c>
      <c r="M96" s="5" t="n">
        <f aca="false">IF(L96="","",RANK(L96,L$2:L$151,0))</f>
        <v>43</v>
      </c>
      <c r="N96" s="6" t="n">
        <v>175</v>
      </c>
      <c r="O96" s="5" t="n">
        <f aca="false">IF(N96="","",RANK(N96,N$2:N$151,0))</f>
        <v>102</v>
      </c>
      <c r="P96" s="6" t="n">
        <v>58</v>
      </c>
      <c r="Q96" s="5" t="n">
        <f aca="false">IF(P96="","",RANK(P96,P$2:P$151,0))</f>
        <v>140</v>
      </c>
      <c r="R96" s="6" t="n">
        <f aca="false">I96-YEAR(H96)</f>
        <v>18</v>
      </c>
      <c r="S96" s="5" t="n">
        <f aca="false">IF(R96="","",RANK(R96,R$2:R$151,0))</f>
        <v>56</v>
      </c>
      <c r="T96" s="6" t="n">
        <f aca="false">IF(J96="",2026,J96)-I96</f>
        <v>22</v>
      </c>
      <c r="U96" s="5" t="n">
        <f aca="false">IF(T96="","",RANK(T96,T$2:T$151,0))</f>
        <v>25</v>
      </c>
      <c r="V96" s="6" t="n">
        <v>3</v>
      </c>
      <c r="W96" s="5" t="n">
        <f aca="false">IF(V96="","",RANK(V96,V$2:V$151,0))</f>
        <v>22</v>
      </c>
      <c r="X96" s="6" t="n">
        <v>4</v>
      </c>
      <c r="Y96" s="5" t="n">
        <f aca="false">IF(X96="","",RANK(X96,X$2:X$151,0))</f>
        <v>14</v>
      </c>
      <c r="Z96" s="6" t="n">
        <v>4</v>
      </c>
      <c r="AA96" s="5" t="n">
        <f aca="false">IF(Z96="","",RANK(Z96,Z$2:Z$151,0))</f>
        <v>9</v>
      </c>
      <c r="AB96" s="6" t="n">
        <v>10</v>
      </c>
      <c r="AC96" s="5" t="n">
        <f aca="false">IF(AB96="","",RANK(AB96,AB$2:AB$151,0))</f>
        <v>18</v>
      </c>
      <c r="AD96" s="6" t="n">
        <f aca="false">IF(K96="","",K96-YEAR(H96))</f>
        <v>28</v>
      </c>
      <c r="AE96" s="5" t="n">
        <f aca="false">IF(AD96="","",RANK(AD96,AD$2:AD$151,0))</f>
        <v>16</v>
      </c>
      <c r="AF96" s="7" t="n">
        <v>10</v>
      </c>
      <c r="AG96" s="5" t="n">
        <f aca="false">IF(AF96="","",RANK(AF96,AF$2:AF$151,0))</f>
        <v>117</v>
      </c>
      <c r="AH96" s="7" t="n">
        <v>10</v>
      </c>
      <c r="AI96" s="5" t="n">
        <f aca="false">IF(AH96="","",RANK(AH96,AH$2:AH$151,0))</f>
        <v>121</v>
      </c>
      <c r="AJ96" s="4" t="n">
        <v>1.4</v>
      </c>
      <c r="AK96" s="5" t="n">
        <f aca="false">IF(AJ96="","",RANK(AJ96,AJ$2:AJ$151,0))</f>
        <v>110</v>
      </c>
      <c r="AL96" s="6" t="n">
        <v>4</v>
      </c>
      <c r="AM96" s="5" t="n">
        <f aca="false">IF(AL96="","",RANK(AL96,AL$2:AL$151,0))</f>
        <v>12</v>
      </c>
      <c r="AN96" s="6" t="n">
        <v>0</v>
      </c>
      <c r="AO96" s="5" t="n">
        <f aca="false">IF(AN96="","",RANK(AN96,AN$2:AN$151,0))</f>
        <v>22</v>
      </c>
    </row>
    <row r="97" customFormat="false" ht="15" hidden="false" customHeight="false" outlineLevel="0" collapsed="false">
      <c r="A97" s="2" t="n">
        <v>96</v>
      </c>
      <c r="B97" s="2" t="s">
        <v>236</v>
      </c>
      <c r="C97" s="2" t="s">
        <v>222</v>
      </c>
      <c r="D97" s="2" t="s">
        <v>223</v>
      </c>
      <c r="E97" s="2" t="s">
        <v>105</v>
      </c>
      <c r="F97" s="2" t="s">
        <v>67</v>
      </c>
      <c r="G97" s="2" t="s">
        <v>237</v>
      </c>
      <c r="H97" s="3" t="n">
        <v>31773</v>
      </c>
      <c r="I97" s="2" t="n">
        <v>2005</v>
      </c>
      <c r="J97" s="2" t="n">
        <v>2025</v>
      </c>
      <c r="K97" s="2" t="n">
        <v>2008</v>
      </c>
      <c r="L97" s="4" t="n">
        <f aca="false">ROUND((DATE(2026,9,1)-H97)/365.25,1)</f>
        <v>39.7</v>
      </c>
      <c r="M97" s="5" t="n">
        <f aca="false">IF(L97="","",RANK(L97,L$2:L$151,0))</f>
        <v>62</v>
      </c>
      <c r="N97" s="6" t="n">
        <v>152</v>
      </c>
      <c r="O97" s="5" t="n">
        <f aca="false">IF(N97="","",RANK(N97,N$2:N$151,0))</f>
        <v>148</v>
      </c>
      <c r="P97" s="6" t="n">
        <v>52</v>
      </c>
      <c r="Q97" s="5" t="n">
        <f aca="false">IF(P97="","",RANK(P97,P$2:P$151,0))</f>
        <v>144</v>
      </c>
      <c r="R97" s="6" t="n">
        <f aca="false">I97-YEAR(H97)</f>
        <v>19</v>
      </c>
      <c r="S97" s="5" t="n">
        <f aca="false">IF(R97="","",RANK(R97,R$2:R$151,0))</f>
        <v>43</v>
      </c>
      <c r="T97" s="6" t="n">
        <f aca="false">IF(J97="",2026,J97)-I97</f>
        <v>20</v>
      </c>
      <c r="U97" s="5" t="n">
        <f aca="false">IF(T97="","",RANK(T97,T$2:T$151,0))</f>
        <v>42</v>
      </c>
      <c r="V97" s="6" t="n">
        <v>5</v>
      </c>
      <c r="W97" s="5" t="n">
        <f aca="false">IF(V97="","",RANK(V97,V$2:V$151,0))</f>
        <v>3</v>
      </c>
      <c r="X97" s="6" t="n">
        <v>8</v>
      </c>
      <c r="Y97" s="5" t="n">
        <f aca="false">IF(X97="","",RANK(X97,X$2:X$151,0))</f>
        <v>7</v>
      </c>
      <c r="Z97" s="6" t="n">
        <v>3</v>
      </c>
      <c r="AA97" s="5" t="n">
        <f aca="false">IF(Z97="","",RANK(Z97,Z$2:Z$151,0))</f>
        <v>15</v>
      </c>
      <c r="AB97" s="6" t="n">
        <v>13</v>
      </c>
      <c r="AC97" s="5" t="n">
        <f aca="false">IF(AB97="","",RANK(AB97,AB$2:AB$151,0))</f>
        <v>15</v>
      </c>
      <c r="AD97" s="6" t="n">
        <f aca="false">IF(K97="","",K97-YEAR(H97))</f>
        <v>22</v>
      </c>
      <c r="AE97" s="5" t="n">
        <f aca="false">IF(AD97="","",RANK(AD97,AD$2:AD$151,0))</f>
        <v>71</v>
      </c>
      <c r="AF97" s="7" t="n">
        <v>10</v>
      </c>
      <c r="AG97" s="5" t="n">
        <f aca="false">IF(AF97="","",RANK(AF97,AF$2:AF$151,0))</f>
        <v>117</v>
      </c>
      <c r="AH97" s="7" t="n">
        <v>10</v>
      </c>
      <c r="AI97" s="5" t="n">
        <f aca="false">IF(AH97="","",RANK(AH97,AH$2:AH$151,0))</f>
        <v>121</v>
      </c>
      <c r="AJ97" s="4" t="n">
        <v>1.3</v>
      </c>
      <c r="AK97" s="5" t="n">
        <f aca="false">IF(AJ97="","",RANK(AJ97,AJ$2:AJ$151,0))</f>
        <v>113</v>
      </c>
      <c r="AL97" s="6" t="n">
        <v>1</v>
      </c>
      <c r="AM97" s="5" t="n">
        <f aca="false">IF(AL97="","",RANK(AL97,AL$2:AL$151,0))</f>
        <v>77</v>
      </c>
      <c r="AN97" s="6" t="n">
        <v>1</v>
      </c>
      <c r="AO97" s="5" t="n">
        <f aca="false">IF(AN97="","",RANK(AN97,AN$2:AN$151,0))</f>
        <v>11</v>
      </c>
    </row>
    <row r="98" customFormat="false" ht="15" hidden="false" customHeight="false" outlineLevel="0" collapsed="false">
      <c r="A98" s="2" t="n">
        <v>97</v>
      </c>
      <c r="B98" s="2" t="s">
        <v>238</v>
      </c>
      <c r="C98" s="2" t="s">
        <v>222</v>
      </c>
      <c r="D98" s="2" t="s">
        <v>108</v>
      </c>
      <c r="E98" s="2" t="s">
        <v>105</v>
      </c>
      <c r="F98" s="2" t="s">
        <v>67</v>
      </c>
      <c r="G98" s="2" t="s">
        <v>239</v>
      </c>
      <c r="H98" s="3" t="n">
        <v>31369</v>
      </c>
      <c r="I98" s="2" t="n">
        <v>2003</v>
      </c>
      <c r="J98" s="2" t="n">
        <v>2022</v>
      </c>
      <c r="K98" s="2" t="n">
        <v>2005</v>
      </c>
      <c r="L98" s="4" t="n">
        <f aca="false">ROUND((DATE(2026,9,1)-H98)/365.25,1)</f>
        <v>40.8</v>
      </c>
      <c r="M98" s="5" t="n">
        <f aca="false">IF(L98="","",RANK(L98,L$2:L$151,0))</f>
        <v>55</v>
      </c>
      <c r="N98" s="6" t="n">
        <v>168</v>
      </c>
      <c r="O98" s="5" t="n">
        <f aca="false">IF(N98="","",RANK(N98,N$2:N$151,0))</f>
        <v>137</v>
      </c>
      <c r="P98" s="6" t="n">
        <v>57</v>
      </c>
      <c r="Q98" s="5" t="n">
        <f aca="false">IF(P98="","",RANK(P98,P$2:P$151,0))</f>
        <v>142</v>
      </c>
      <c r="R98" s="6" t="n">
        <f aca="false">I98-YEAR(H98)</f>
        <v>18</v>
      </c>
      <c r="S98" s="5" t="n">
        <f aca="false">IF(R98="","",RANK(R98,R$2:R$151,0))</f>
        <v>56</v>
      </c>
      <c r="T98" s="6" t="n">
        <f aca="false">IF(J98="",2026,J98)-I98</f>
        <v>19</v>
      </c>
      <c r="U98" s="5" t="n">
        <f aca="false">IF(T98="","",RANK(T98,T$2:T$151,0))</f>
        <v>51</v>
      </c>
      <c r="V98" s="6" t="n">
        <v>5</v>
      </c>
      <c r="W98" s="5" t="n">
        <f aca="false">IF(V98="","",RANK(V98,V$2:V$151,0))</f>
        <v>3</v>
      </c>
      <c r="X98" s="6" t="n">
        <v>11</v>
      </c>
      <c r="Y98" s="5" t="n">
        <f aca="false">IF(X98="","",RANK(X98,X$2:X$151,0))</f>
        <v>3</v>
      </c>
      <c r="Z98" s="6" t="n">
        <v>7</v>
      </c>
      <c r="AA98" s="5" t="n">
        <f aca="false">IF(Z98="","",RANK(Z98,Z$2:Z$151,0))</f>
        <v>4</v>
      </c>
      <c r="AB98" s="6" t="n">
        <v>21</v>
      </c>
      <c r="AC98" s="5" t="n">
        <f aca="false">IF(AB98="","",RANK(AB98,AB$2:AB$151,0))</f>
        <v>8</v>
      </c>
      <c r="AD98" s="6" t="n">
        <f aca="false">IF(K98="","",K98-YEAR(H98))</f>
        <v>20</v>
      </c>
      <c r="AE98" s="5" t="n">
        <f aca="false">IF(AD98="","",RANK(AD98,AD$2:AD$151,0))</f>
        <v>99</v>
      </c>
      <c r="AF98" s="7" t="n">
        <v>5</v>
      </c>
      <c r="AG98" s="5" t="n">
        <f aca="false">IF(AF98="","",RANK(AF98,AF$2:AF$151,0))</f>
        <v>127</v>
      </c>
      <c r="AH98" s="7" t="n">
        <v>5</v>
      </c>
      <c r="AI98" s="5" t="n">
        <f aca="false">IF(AH98="","",RANK(AH98,AH$2:AH$151,0))</f>
        <v>137</v>
      </c>
      <c r="AJ98" s="4" t="n">
        <v>0.6</v>
      </c>
      <c r="AK98" s="5" t="n">
        <f aca="false">IF(AJ98="","",RANK(AJ98,AJ$2:AJ$151,0))</f>
        <v>126</v>
      </c>
      <c r="AL98" s="6" t="n">
        <v>2</v>
      </c>
      <c r="AM98" s="5" t="n">
        <f aca="false">IF(AL98="","",RANK(AL98,AL$2:AL$151,0))</f>
        <v>49</v>
      </c>
      <c r="AN98" s="6" t="n">
        <v>0</v>
      </c>
      <c r="AO98" s="5" t="n">
        <f aca="false">IF(AN98="","",RANK(AN98,AN$2:AN$151,0))</f>
        <v>22</v>
      </c>
    </row>
    <row r="99" customFormat="false" ht="15" hidden="false" customHeight="false" outlineLevel="0" collapsed="false">
      <c r="A99" s="2" t="n">
        <v>98</v>
      </c>
      <c r="B99" s="2" t="s">
        <v>240</v>
      </c>
      <c r="C99" s="2" t="s">
        <v>222</v>
      </c>
      <c r="D99" s="2" t="s">
        <v>108</v>
      </c>
      <c r="E99" s="2" t="s">
        <v>105</v>
      </c>
      <c r="F99" s="2" t="s">
        <v>31</v>
      </c>
      <c r="G99" s="2" t="s">
        <v>241</v>
      </c>
      <c r="H99" s="3" t="n">
        <v>36379</v>
      </c>
      <c r="I99" s="2" t="n">
        <v>2016</v>
      </c>
      <c r="J99" s="2"/>
      <c r="K99" s="2" t="n">
        <v>2021</v>
      </c>
      <c r="L99" s="4" t="n">
        <f aca="false">ROUND((DATE(2026,9,1)-H99)/365.25,1)</f>
        <v>27.1</v>
      </c>
      <c r="M99" s="5" t="n">
        <f aca="false">IF(L99="","",RANK(L99,L$2:L$151,0))</f>
        <v>132</v>
      </c>
      <c r="N99" s="6" t="n">
        <v>175</v>
      </c>
      <c r="O99" s="5" t="n">
        <f aca="false">IF(N99="","",RANK(N99,N$2:N$151,0))</f>
        <v>102</v>
      </c>
      <c r="P99" s="6" t="n">
        <v>60</v>
      </c>
      <c r="Q99" s="5" t="n">
        <f aca="false">IF(P99="","",RANK(P99,P$2:P$151,0))</f>
        <v>131</v>
      </c>
      <c r="R99" s="6" t="n">
        <f aca="false">I99-YEAR(H99)</f>
        <v>17</v>
      </c>
      <c r="S99" s="5" t="n">
        <f aca="false">IF(R99="","",RANK(R99,R$2:R$151,0))</f>
        <v>82</v>
      </c>
      <c r="T99" s="6" t="n">
        <f aca="false">IF(J99="",2026,J99)-I99</f>
        <v>10</v>
      </c>
      <c r="U99" s="5" t="n">
        <f aca="false">IF(T99="","",RANK(T99,T$2:T$151,0))</f>
        <v>117</v>
      </c>
      <c r="V99" s="6" t="n">
        <v>3</v>
      </c>
      <c r="W99" s="5" t="n">
        <f aca="false">IF(V99="","",RANK(V99,V$2:V$151,0))</f>
        <v>22</v>
      </c>
      <c r="X99" s="6" t="n">
        <v>4</v>
      </c>
      <c r="Y99" s="5" t="n">
        <f aca="false">IF(X99="","",RANK(X99,X$2:X$151,0))</f>
        <v>14</v>
      </c>
      <c r="Z99" s="6" t="n">
        <v>4</v>
      </c>
      <c r="AA99" s="5" t="n">
        <f aca="false">IF(Z99="","",RANK(Z99,Z$2:Z$151,0))</f>
        <v>9</v>
      </c>
      <c r="AB99" s="6" t="n">
        <v>7</v>
      </c>
      <c r="AC99" s="5" t="n">
        <f aca="false">IF(AB99="","",RANK(AB99,AB$2:AB$151,0))</f>
        <v>24</v>
      </c>
      <c r="AD99" s="6" t="n">
        <f aca="false">IF(K99="","",K99-YEAR(H99))</f>
        <v>22</v>
      </c>
      <c r="AE99" s="5" t="n">
        <f aca="false">IF(AD99="","",RANK(AD99,AD$2:AD$151,0))</f>
        <v>71</v>
      </c>
      <c r="AF99" s="7" t="n">
        <v>5</v>
      </c>
      <c r="AG99" s="5" t="n">
        <f aca="false">IF(AF99="","",RANK(AF99,AF$2:AF$151,0))</f>
        <v>127</v>
      </c>
      <c r="AH99" s="7" t="n">
        <v>5</v>
      </c>
      <c r="AI99" s="5" t="n">
        <f aca="false">IF(AH99="","",RANK(AH99,AH$2:AH$151,0))</f>
        <v>137</v>
      </c>
      <c r="AJ99" s="4" t="n">
        <v>0.6</v>
      </c>
      <c r="AK99" s="5" t="n">
        <f aca="false">IF(AJ99="","",RANK(AJ99,AJ$2:AJ$151,0))</f>
        <v>126</v>
      </c>
      <c r="AL99" s="6" t="n">
        <v>0</v>
      </c>
      <c r="AM99" s="5" t="n">
        <f aca="false">IF(AL99="","",RANK(AL99,AL$2:AL$151,0))</f>
        <v>95</v>
      </c>
      <c r="AN99" s="6" t="n">
        <v>0</v>
      </c>
      <c r="AO99" s="5" t="n">
        <f aca="false">IF(AN99="","",RANK(AN99,AN$2:AN$151,0))</f>
        <v>22</v>
      </c>
    </row>
    <row r="100" customFormat="false" ht="15" hidden="false" customHeight="false" outlineLevel="0" collapsed="false">
      <c r="A100" s="2" t="n">
        <v>99</v>
      </c>
      <c r="B100" s="2" t="s">
        <v>242</v>
      </c>
      <c r="C100" s="2" t="s">
        <v>222</v>
      </c>
      <c r="D100" s="2" t="s">
        <v>232</v>
      </c>
      <c r="E100" s="2" t="s">
        <v>105</v>
      </c>
      <c r="F100" s="2" t="s">
        <v>31</v>
      </c>
      <c r="G100" s="2" t="s">
        <v>243</v>
      </c>
      <c r="H100" s="3" t="n">
        <v>34344</v>
      </c>
      <c r="I100" s="2" t="n">
        <v>2011</v>
      </c>
      <c r="J100" s="2"/>
      <c r="K100" s="2" t="n">
        <v>2016</v>
      </c>
      <c r="L100" s="4" t="n">
        <f aca="false">ROUND((DATE(2026,9,1)-H100)/365.25,1)</f>
        <v>32.6</v>
      </c>
      <c r="M100" s="5" t="n">
        <f aca="false">IF(L100="","",RANK(L100,L$2:L$151,0))</f>
        <v>100</v>
      </c>
      <c r="N100" s="6" t="n">
        <v>157</v>
      </c>
      <c r="O100" s="5" t="n">
        <f aca="false">IF(N100="","",RANK(N100,N$2:N$151,0))</f>
        <v>145</v>
      </c>
      <c r="P100" s="6" t="n">
        <v>42</v>
      </c>
      <c r="Q100" s="5" t="n">
        <f aca="false">IF(P100="","",RANK(P100,P$2:P$151,0))</f>
        <v>150</v>
      </c>
      <c r="R100" s="6" t="n">
        <f aca="false">I100-YEAR(H100)</f>
        <v>17</v>
      </c>
      <c r="S100" s="5" t="n">
        <f aca="false">IF(R100="","",RANK(R100,R$2:R$151,0))</f>
        <v>82</v>
      </c>
      <c r="T100" s="6" t="n">
        <f aca="false">IF(J100="",2026,J100)-I100</f>
        <v>15</v>
      </c>
      <c r="U100" s="5" t="n">
        <f aca="false">IF(T100="","",RANK(T100,T$2:T$151,0))</f>
        <v>85</v>
      </c>
      <c r="V100" s="6" t="n">
        <v>4</v>
      </c>
      <c r="W100" s="5" t="n">
        <f aca="false">IF(V100="","",RANK(V100,V$2:V$151,0))</f>
        <v>14</v>
      </c>
      <c r="X100" s="6" t="n">
        <v>4</v>
      </c>
      <c r="Y100" s="5" t="n">
        <f aca="false">IF(X100="","",RANK(X100,X$2:X$151,0))</f>
        <v>14</v>
      </c>
      <c r="Z100" s="6" t="n">
        <v>3</v>
      </c>
      <c r="AA100" s="5" t="n">
        <f aca="false">IF(Z100="","",RANK(Z100,Z$2:Z$151,0))</f>
        <v>15</v>
      </c>
      <c r="AB100" s="6" t="n">
        <v>9</v>
      </c>
      <c r="AC100" s="5" t="n">
        <f aca="false">IF(AB100="","",RANK(AB100,AB$2:AB$151,0))</f>
        <v>19</v>
      </c>
      <c r="AD100" s="6" t="n">
        <f aca="false">IF(K100="","",K100-YEAR(H100))</f>
        <v>22</v>
      </c>
      <c r="AE100" s="5" t="n">
        <f aca="false">IF(AD100="","",RANK(AD100,AD$2:AD$151,0))</f>
        <v>71</v>
      </c>
      <c r="AF100" s="7" t="n">
        <v>5</v>
      </c>
      <c r="AG100" s="5" t="n">
        <f aca="false">IF(AF100="","",RANK(AF100,AF$2:AF$151,0))</f>
        <v>127</v>
      </c>
      <c r="AH100" s="7" t="n">
        <v>3</v>
      </c>
      <c r="AI100" s="5" t="n">
        <f aca="false">IF(AH100="","",RANK(AH100,AH$2:AH$151,0))</f>
        <v>145</v>
      </c>
      <c r="AJ100" s="4" t="n">
        <v>0.1</v>
      </c>
      <c r="AK100" s="5" t="n">
        <f aca="false">IF(AJ100="","",RANK(AJ100,AJ$2:AJ$151,0))</f>
        <v>137</v>
      </c>
      <c r="AL100" s="6" t="n">
        <v>1</v>
      </c>
      <c r="AM100" s="5" t="n">
        <f aca="false">IF(AL100="","",RANK(AL100,AL$2:AL$151,0))</f>
        <v>77</v>
      </c>
      <c r="AN100" s="6" t="n">
        <v>0</v>
      </c>
      <c r="AO100" s="5" t="n">
        <f aca="false">IF(AN100="","",RANK(AN100,AN$2:AN$151,0))</f>
        <v>22</v>
      </c>
    </row>
    <row r="101" customFormat="false" ht="15" hidden="false" customHeight="false" outlineLevel="0" collapsed="false">
      <c r="A101" s="2" t="n">
        <v>100</v>
      </c>
      <c r="B101" s="2" t="s">
        <v>244</v>
      </c>
      <c r="C101" s="2" t="s">
        <v>245</v>
      </c>
      <c r="D101" s="2" t="s">
        <v>108</v>
      </c>
      <c r="E101" s="2" t="s">
        <v>30</v>
      </c>
      <c r="F101" s="2" t="s">
        <v>67</v>
      </c>
      <c r="G101" s="2" t="s">
        <v>246</v>
      </c>
      <c r="H101" s="3" t="n">
        <v>31228</v>
      </c>
      <c r="I101" s="2" t="n">
        <v>2000</v>
      </c>
      <c r="J101" s="2" t="n">
        <v>2016</v>
      </c>
      <c r="K101" s="2" t="n">
        <v>2001</v>
      </c>
      <c r="L101" s="4" t="n">
        <f aca="false">ROUND((DATE(2026,9,1)-H101)/365.25,1)</f>
        <v>41.2</v>
      </c>
      <c r="M101" s="5" t="n">
        <f aca="false">IF(L101="","",RANK(L101,L$2:L$151,0))</f>
        <v>51</v>
      </c>
      <c r="N101" s="6" t="n">
        <v>193</v>
      </c>
      <c r="O101" s="5" t="n">
        <f aca="false">IF(N101="","",RANK(N101,N$2:N$151,0))</f>
        <v>23</v>
      </c>
      <c r="P101" s="6" t="n">
        <v>88</v>
      </c>
      <c r="Q101" s="5" t="n">
        <f aca="false">IF(P101="","",RANK(P101,P$2:P$151,0))</f>
        <v>42</v>
      </c>
      <c r="R101" s="6" t="n">
        <f aca="false">I101-YEAR(H101)</f>
        <v>15</v>
      </c>
      <c r="S101" s="5" t="n">
        <f aca="false">IF(R101="","",RANK(R101,R$2:R$151,0))</f>
        <v>130</v>
      </c>
      <c r="T101" s="6" t="n">
        <f aca="false">IF(J101="",2026,J101)-I101</f>
        <v>16</v>
      </c>
      <c r="U101" s="5" t="n">
        <f aca="false">IF(T101="","",RANK(T101,T$2:T$151,0))</f>
        <v>80</v>
      </c>
      <c r="V101" s="6" t="n">
        <v>5</v>
      </c>
      <c r="W101" s="5" t="n">
        <f aca="false">IF(V101="","",RANK(V101,V$2:V$151,0))</f>
        <v>3</v>
      </c>
      <c r="X101" s="6" t="n">
        <v>28</v>
      </c>
      <c r="Y101" s="5" t="n">
        <f aca="false">IF(X101="","",RANK(X101,X$2:X$151,0))</f>
        <v>1</v>
      </c>
      <c r="Z101" s="6" t="n">
        <v>23</v>
      </c>
      <c r="AA101" s="5" t="n">
        <f aca="false">IF(Z101="","",RANK(Z101,Z$2:Z$151,0))</f>
        <v>1</v>
      </c>
      <c r="AB101" s="6" t="n">
        <v>49</v>
      </c>
      <c r="AC101" s="5" t="n">
        <f aca="false">IF(AB101="","",RANK(AB101,AB$2:AB$151,0))</f>
        <v>1</v>
      </c>
      <c r="AD101" s="6" t="n">
        <f aca="false">IF(K101="","",K101-YEAR(H101))</f>
        <v>16</v>
      </c>
      <c r="AE101" s="5" t="n">
        <f aca="false">IF(AD101="","",RANK(AD101,AD$2:AD$151,0))</f>
        <v>128</v>
      </c>
      <c r="AF101" s="7" t="n">
        <v>20</v>
      </c>
      <c r="AG101" s="5" t="n">
        <f aca="false">IF(AF101="","",RANK(AF101,AF$2:AF$151,0))</f>
        <v>109</v>
      </c>
      <c r="AH101" s="7" t="n">
        <v>100</v>
      </c>
      <c r="AI101" s="5" t="n">
        <f aca="false">IF(AH101="","",RANK(AH101,AH$2:AH$151,0))</f>
        <v>61</v>
      </c>
      <c r="AJ101" s="4" t="n">
        <v>4.5</v>
      </c>
      <c r="AK101" s="5" t="n">
        <f aca="false">IF(AJ101="","",RANK(AJ101,AJ$2:AJ$151,0))</f>
        <v>74</v>
      </c>
      <c r="AL101" s="6" t="n">
        <v>4</v>
      </c>
      <c r="AM101" s="5" t="n">
        <f aca="false">IF(AL101="","",RANK(AL101,AL$2:AL$151,0))</f>
        <v>12</v>
      </c>
      <c r="AN101" s="6" t="n">
        <v>0</v>
      </c>
      <c r="AO101" s="5" t="n">
        <f aca="false">IF(AN101="","",RANK(AN101,AN$2:AN$151,0))</f>
        <v>22</v>
      </c>
    </row>
    <row r="102" customFormat="false" ht="15" hidden="false" customHeight="false" outlineLevel="0" collapsed="false">
      <c r="A102" s="2" t="n">
        <v>101</v>
      </c>
      <c r="B102" s="2" t="s">
        <v>247</v>
      </c>
      <c r="C102" s="2" t="s">
        <v>245</v>
      </c>
      <c r="D102" s="2" t="s">
        <v>115</v>
      </c>
      <c r="E102" s="2" t="s">
        <v>30</v>
      </c>
      <c r="F102" s="2" t="s">
        <v>67</v>
      </c>
      <c r="G102" s="2" t="s">
        <v>41</v>
      </c>
      <c r="H102" s="3" t="n">
        <v>30237</v>
      </c>
      <c r="I102" s="2" t="n">
        <v>1997</v>
      </c>
      <c r="J102" s="2" t="n">
        <v>2012</v>
      </c>
      <c r="K102" s="2" t="n">
        <v>1998</v>
      </c>
      <c r="L102" s="4" t="n">
        <f aca="false">ROUND((DATE(2026,9,1)-H102)/365.25,1)</f>
        <v>43.9</v>
      </c>
      <c r="M102" s="5" t="n">
        <f aca="false">IF(L102="","",RANK(L102,L$2:L$151,0))</f>
        <v>42</v>
      </c>
      <c r="N102" s="6" t="n">
        <v>196</v>
      </c>
      <c r="O102" s="5" t="n">
        <f aca="false">IF(N102="","",RANK(N102,N$2:N$151,0))</f>
        <v>15</v>
      </c>
      <c r="P102" s="6" t="n">
        <v>104</v>
      </c>
      <c r="Q102" s="5" t="n">
        <f aca="false">IF(P102="","",RANK(P102,P$2:P$151,0))</f>
        <v>16</v>
      </c>
      <c r="R102" s="6" t="n">
        <f aca="false">I102-YEAR(H102)</f>
        <v>15</v>
      </c>
      <c r="S102" s="5" t="n">
        <f aca="false">IF(R102="","",RANK(R102,R$2:R$151,0))</f>
        <v>130</v>
      </c>
      <c r="T102" s="6" t="n">
        <f aca="false">IF(J102="",2026,J102)-I102</f>
        <v>15</v>
      </c>
      <c r="U102" s="5" t="n">
        <f aca="false">IF(T102="","",RANK(T102,T$2:T$151,0))</f>
        <v>85</v>
      </c>
      <c r="V102" s="6" t="n">
        <v>2</v>
      </c>
      <c r="W102" s="5" t="n">
        <f aca="false">IF(V102="","",RANK(V102,V$2:V$151,0))</f>
        <v>33</v>
      </c>
      <c r="X102" s="6" t="n">
        <v>9</v>
      </c>
      <c r="Y102" s="5" t="n">
        <f aca="false">IF(X102="","",RANK(X102,X$2:X$151,0))</f>
        <v>5</v>
      </c>
      <c r="Z102" s="6" t="n">
        <v>5</v>
      </c>
      <c r="AA102" s="5" t="n">
        <f aca="false">IF(Z102="","",RANK(Z102,Z$2:Z$151,0))</f>
        <v>7</v>
      </c>
      <c r="AB102" s="6" t="n">
        <v>16</v>
      </c>
      <c r="AC102" s="5" t="n">
        <f aca="false">IF(AB102="","",RANK(AB102,AB$2:AB$151,0))</f>
        <v>12</v>
      </c>
      <c r="AD102" s="6" t="n">
        <f aca="false">IF(K102="","",K102-YEAR(H102))</f>
        <v>16</v>
      </c>
      <c r="AE102" s="5" t="n">
        <f aca="false">IF(AD102="","",RANK(AD102,AD$2:AD$151,0))</f>
        <v>128</v>
      </c>
      <c r="AF102" s="7" t="n">
        <v>5</v>
      </c>
      <c r="AG102" s="5" t="n">
        <f aca="false">IF(AF102="","",RANK(AF102,AF$2:AF$151,0))</f>
        <v>127</v>
      </c>
      <c r="AH102" s="7" t="n">
        <v>30</v>
      </c>
      <c r="AI102" s="5" t="n">
        <f aca="false">IF(AH102="","",RANK(AH102,AH$2:AH$151,0))</f>
        <v>104</v>
      </c>
      <c r="AJ102" s="4" t="n">
        <v>0.2</v>
      </c>
      <c r="AK102" s="5" t="n">
        <f aca="false">IF(AJ102="","",RANK(AJ102,AJ$2:AJ$151,0))</f>
        <v>134</v>
      </c>
      <c r="AL102" s="6" t="n">
        <v>0</v>
      </c>
      <c r="AM102" s="5" t="n">
        <f aca="false">IF(AL102="","",RANK(AL102,AL$2:AL$151,0))</f>
        <v>95</v>
      </c>
      <c r="AN102" s="6" t="n">
        <v>0</v>
      </c>
      <c r="AO102" s="5" t="n">
        <f aca="false">IF(AN102="","",RANK(AN102,AN$2:AN$151,0))</f>
        <v>22</v>
      </c>
    </row>
    <row r="103" customFormat="false" ht="15" hidden="false" customHeight="false" outlineLevel="0" collapsed="false">
      <c r="A103" s="2" t="n">
        <v>102</v>
      </c>
      <c r="B103" s="2" t="s">
        <v>248</v>
      </c>
      <c r="C103" s="2" t="s">
        <v>245</v>
      </c>
      <c r="D103" s="2" t="s">
        <v>40</v>
      </c>
      <c r="E103" s="2" t="s">
        <v>30</v>
      </c>
      <c r="F103" s="2" t="s">
        <v>31</v>
      </c>
      <c r="G103" s="2" t="s">
        <v>41</v>
      </c>
      <c r="H103" s="3" t="n">
        <v>37393</v>
      </c>
      <c r="I103" s="2" t="n">
        <v>2020</v>
      </c>
      <c r="J103" s="2"/>
      <c r="K103" s="2" t="n">
        <v>2022</v>
      </c>
      <c r="L103" s="4" t="n">
        <f aca="false">ROUND((DATE(2026,9,1)-H103)/365.25,1)</f>
        <v>24.3</v>
      </c>
      <c r="M103" s="5" t="n">
        <f aca="false">IF(L103="","",RANK(L103,L$2:L$151,0))</f>
        <v>141</v>
      </c>
      <c r="N103" s="6" t="n">
        <v>187</v>
      </c>
      <c r="O103" s="5" t="n">
        <f aca="false">IF(N103="","",RANK(N103,N$2:N$151,0))</f>
        <v>49</v>
      </c>
      <c r="P103" s="6" t="n">
        <v>77</v>
      </c>
      <c r="Q103" s="5" t="n">
        <f aca="false">IF(P103="","",RANK(P103,P$2:P$151,0))</f>
        <v>71</v>
      </c>
      <c r="R103" s="6" t="n">
        <f aca="false">I103-YEAR(H103)</f>
        <v>18</v>
      </c>
      <c r="S103" s="5" t="n">
        <f aca="false">IF(R103="","",RANK(R103,R$2:R$151,0))</f>
        <v>56</v>
      </c>
      <c r="T103" s="6" t="n">
        <f aca="false">IF(J103="",2026,J103)-I103</f>
        <v>6</v>
      </c>
      <c r="U103" s="5" t="n">
        <f aca="false">IF(T103="","",RANK(T103,T$2:T$151,0))</f>
        <v>145</v>
      </c>
      <c r="V103" s="6" t="n">
        <v>2</v>
      </c>
      <c r="W103" s="5" t="n">
        <f aca="false">IF(V103="","",RANK(V103,V$2:V$151,0))</f>
        <v>33</v>
      </c>
      <c r="X103" s="6" t="n">
        <v>5</v>
      </c>
      <c r="Y103" s="5" t="n">
        <f aca="false">IF(X103="","",RANK(X103,X$2:X$151,0))</f>
        <v>11</v>
      </c>
      <c r="Z103" s="6" t="n">
        <v>4</v>
      </c>
      <c r="AA103" s="5" t="n">
        <f aca="false">IF(Z103="","",RANK(Z103,Z$2:Z$151,0))</f>
        <v>9</v>
      </c>
      <c r="AB103" s="6" t="n">
        <v>8</v>
      </c>
      <c r="AC103" s="5" t="n">
        <f aca="false">IF(AB103="","",RANK(AB103,AB$2:AB$151,0))</f>
        <v>20</v>
      </c>
      <c r="AD103" s="6" t="n">
        <f aca="false">IF(K103="","",K103-YEAR(H103))</f>
        <v>20</v>
      </c>
      <c r="AE103" s="5" t="n">
        <f aca="false">IF(AD103="","",RANK(AD103,AD$2:AD$151,0))</f>
        <v>99</v>
      </c>
      <c r="AF103" s="7" t="n">
        <v>3</v>
      </c>
      <c r="AG103" s="5" t="n">
        <f aca="false">IF(AF103="","",RANK(AF103,AF$2:AF$151,0))</f>
        <v>138</v>
      </c>
      <c r="AH103" s="7" t="n">
        <v>5</v>
      </c>
      <c r="AI103" s="5" t="n">
        <f aca="false">IF(AH103="","",RANK(AH103,AH$2:AH$151,0))</f>
        <v>137</v>
      </c>
      <c r="AJ103" s="4" t="n">
        <v>1.2</v>
      </c>
      <c r="AK103" s="5" t="n">
        <f aca="false">IF(AJ103="","",RANK(AJ103,AJ$2:AJ$151,0))</f>
        <v>114</v>
      </c>
      <c r="AL103" s="6" t="n">
        <v>0</v>
      </c>
      <c r="AM103" s="5" t="n">
        <f aca="false">IF(AL103="","",RANK(AL103,AL$2:AL$151,0))</f>
        <v>95</v>
      </c>
      <c r="AN103" s="6" t="n">
        <v>0</v>
      </c>
      <c r="AO103" s="5" t="n">
        <f aca="false">IF(AN103="","",RANK(AN103,AN$2:AN$151,0))</f>
        <v>22</v>
      </c>
    </row>
    <row r="104" customFormat="false" ht="15" hidden="false" customHeight="false" outlineLevel="0" collapsed="false">
      <c r="A104" s="2" t="n">
        <v>103</v>
      </c>
      <c r="B104" s="2" t="s">
        <v>249</v>
      </c>
      <c r="C104" s="2" t="s">
        <v>245</v>
      </c>
      <c r="D104" s="2" t="s">
        <v>108</v>
      </c>
      <c r="E104" s="2" t="s">
        <v>105</v>
      </c>
      <c r="F104" s="2" t="s">
        <v>31</v>
      </c>
      <c r="G104" s="2" t="s">
        <v>41</v>
      </c>
      <c r="H104" s="3" t="n">
        <v>35506</v>
      </c>
      <c r="I104" s="2" t="n">
        <v>2012</v>
      </c>
      <c r="J104" s="2"/>
      <c r="K104" s="2" t="n">
        <v>2012</v>
      </c>
      <c r="L104" s="4" t="n">
        <f aca="false">ROUND((DATE(2026,9,1)-H104)/365.25,1)</f>
        <v>29.5</v>
      </c>
      <c r="M104" s="5" t="n">
        <f aca="false">IF(L104="","",RANK(L104,L$2:L$151,0))</f>
        <v>116</v>
      </c>
      <c r="N104" s="6" t="n">
        <v>183</v>
      </c>
      <c r="O104" s="5" t="n">
        <f aca="false">IF(N104="","",RANK(N104,N$2:N$151,0))</f>
        <v>66</v>
      </c>
      <c r="P104" s="6" t="n">
        <v>73</v>
      </c>
      <c r="Q104" s="5" t="n">
        <f aca="false">IF(P104="","",RANK(P104,P$2:P$151,0))</f>
        <v>82</v>
      </c>
      <c r="R104" s="6" t="n">
        <f aca="false">I104-YEAR(H104)</f>
        <v>15</v>
      </c>
      <c r="S104" s="5" t="n">
        <f aca="false">IF(R104="","",RANK(R104,R$2:R$151,0))</f>
        <v>130</v>
      </c>
      <c r="T104" s="6" t="n">
        <f aca="false">IF(J104="",2026,J104)-I104</f>
        <v>14</v>
      </c>
      <c r="U104" s="5" t="n">
        <f aca="false">IF(T104="","",RANK(T104,T$2:T$151,0))</f>
        <v>94</v>
      </c>
      <c r="V104" s="6" t="n">
        <v>4</v>
      </c>
      <c r="W104" s="5" t="n">
        <f aca="false">IF(V104="","",RANK(V104,V$2:V$151,0))</f>
        <v>14</v>
      </c>
      <c r="X104" s="6" t="n">
        <v>14</v>
      </c>
      <c r="Y104" s="5" t="n">
        <f aca="false">IF(X104="","",RANK(X104,X$2:X$151,0))</f>
        <v>2</v>
      </c>
      <c r="Z104" s="6" t="n">
        <v>9</v>
      </c>
      <c r="AA104" s="5" t="n">
        <f aca="false">IF(Z104="","",RANK(Z104,Z$2:Z$151,0))</f>
        <v>2</v>
      </c>
      <c r="AB104" s="6" t="n">
        <v>32</v>
      </c>
      <c r="AC104" s="5" t="n">
        <f aca="false">IF(AB104="","",RANK(AB104,AB$2:AB$151,0))</f>
        <v>2</v>
      </c>
      <c r="AD104" s="6" t="n">
        <f aca="false">IF(K104="","",K104-YEAR(H104))</f>
        <v>15</v>
      </c>
      <c r="AE104" s="5" t="n">
        <f aca="false">IF(AD104="","",RANK(AD104,AD$2:AD$151,0))</f>
        <v>132</v>
      </c>
      <c r="AF104" s="7" t="n">
        <v>5</v>
      </c>
      <c r="AG104" s="5" t="n">
        <f aca="false">IF(AF104="","",RANK(AF104,AF$2:AF$151,0))</f>
        <v>127</v>
      </c>
      <c r="AH104" s="7" t="n">
        <v>5</v>
      </c>
      <c r="AI104" s="5" t="n">
        <f aca="false">IF(AH104="","",RANK(AH104,AH$2:AH$151,0))</f>
        <v>137</v>
      </c>
      <c r="AJ104" s="4" t="n">
        <v>0.9</v>
      </c>
      <c r="AK104" s="5" t="n">
        <f aca="false">IF(AJ104="","",RANK(AJ104,AJ$2:AJ$151,0))</f>
        <v>120</v>
      </c>
      <c r="AL104" s="6" t="n">
        <v>0</v>
      </c>
      <c r="AM104" s="5" t="n">
        <f aca="false">IF(AL104="","",RANK(AL104,AL$2:AL$151,0))</f>
        <v>95</v>
      </c>
      <c r="AN104" s="6" t="n">
        <v>0</v>
      </c>
      <c r="AO104" s="5" t="n">
        <f aca="false">IF(AN104="","",RANK(AN104,AN$2:AN$151,0))</f>
        <v>22</v>
      </c>
    </row>
    <row r="105" customFormat="false" ht="15" hidden="false" customHeight="false" outlineLevel="0" collapsed="false">
      <c r="A105" s="2" t="n">
        <v>104</v>
      </c>
      <c r="B105" s="2" t="s">
        <v>250</v>
      </c>
      <c r="C105" s="2" t="s">
        <v>245</v>
      </c>
      <c r="D105" s="2" t="s">
        <v>251</v>
      </c>
      <c r="E105" s="2" t="s">
        <v>105</v>
      </c>
      <c r="F105" s="2" t="s">
        <v>31</v>
      </c>
      <c r="G105" s="2" t="s">
        <v>41</v>
      </c>
      <c r="H105" s="3" t="n">
        <v>38947</v>
      </c>
      <c r="I105" s="2" t="n">
        <v>2021</v>
      </c>
      <c r="J105" s="2"/>
      <c r="K105" s="2" t="n">
        <v>2022</v>
      </c>
      <c r="L105" s="4" t="n">
        <f aca="false">ROUND((DATE(2026,9,1)-H105)/365.25,1)</f>
        <v>20</v>
      </c>
      <c r="M105" s="5" t="n">
        <f aca="false">IF(L105="","",RANK(L105,L$2:L$151,0))</f>
        <v>148</v>
      </c>
      <c r="N105" s="6" t="n">
        <v>173</v>
      </c>
      <c r="O105" s="5" t="n">
        <f aca="false">IF(N105="","",RANK(N105,N$2:N$151,0))</f>
        <v>119</v>
      </c>
      <c r="P105" s="6" t="n">
        <v>64</v>
      </c>
      <c r="Q105" s="5" t="n">
        <f aca="false">IF(P105="","",RANK(P105,P$2:P$151,0))</f>
        <v>122</v>
      </c>
      <c r="R105" s="6" t="n">
        <f aca="false">I105-YEAR(H105)</f>
        <v>15</v>
      </c>
      <c r="S105" s="5" t="n">
        <f aca="false">IF(R105="","",RANK(R105,R$2:R$151,0))</f>
        <v>130</v>
      </c>
      <c r="T105" s="6" t="n">
        <f aca="false">IF(J105="",2026,J105)-I105</f>
        <v>5</v>
      </c>
      <c r="U105" s="5" t="n">
        <f aca="false">IF(T105="","",RANK(T105,T$2:T$151,0))</f>
        <v>146</v>
      </c>
      <c r="V105" s="6" t="n">
        <v>2</v>
      </c>
      <c r="W105" s="5" t="n">
        <f aca="false">IF(V105="","",RANK(V105,V$2:V$151,0))</f>
        <v>33</v>
      </c>
      <c r="X105" s="6" t="n">
        <v>4</v>
      </c>
      <c r="Y105" s="5" t="n">
        <f aca="false">IF(X105="","",RANK(X105,X$2:X$151,0))</f>
        <v>14</v>
      </c>
      <c r="Z105" s="6" t="n">
        <v>3</v>
      </c>
      <c r="AA105" s="5" t="n">
        <f aca="false">IF(Z105="","",RANK(Z105,Z$2:Z$151,0))</f>
        <v>15</v>
      </c>
      <c r="AB105" s="6" t="n">
        <v>11</v>
      </c>
      <c r="AC105" s="5" t="n">
        <f aca="false">IF(AB105="","",RANK(AB105,AB$2:AB$151,0))</f>
        <v>16</v>
      </c>
      <c r="AD105" s="6" t="n">
        <f aca="false">IF(K105="","",K105-YEAR(H105))</f>
        <v>16</v>
      </c>
      <c r="AE105" s="5" t="n">
        <f aca="false">IF(AD105="","",RANK(AD105,AD$2:AD$151,0))</f>
        <v>128</v>
      </c>
      <c r="AF105" s="7" t="n">
        <v>1</v>
      </c>
      <c r="AG105" s="5" t="n">
        <f aca="false">IF(AF105="","",RANK(AF105,AF$2:AF$151,0))</f>
        <v>146</v>
      </c>
      <c r="AH105" s="7" t="n">
        <v>2</v>
      </c>
      <c r="AI105" s="5" t="n">
        <f aca="false">IF(AH105="","",RANK(AH105,AH$2:AH$151,0))</f>
        <v>149</v>
      </c>
      <c r="AJ105" s="4" t="n">
        <v>0.2</v>
      </c>
      <c r="AK105" s="5" t="n">
        <f aca="false">IF(AJ105="","",RANK(AJ105,AJ$2:AJ$151,0))</f>
        <v>134</v>
      </c>
      <c r="AL105" s="6" t="n">
        <v>0</v>
      </c>
      <c r="AM105" s="5" t="n">
        <f aca="false">IF(AL105="","",RANK(AL105,AL$2:AL$151,0))</f>
        <v>95</v>
      </c>
      <c r="AN105" s="6" t="n">
        <v>0</v>
      </c>
      <c r="AO105" s="5" t="n">
        <f aca="false">IF(AN105="","",RANK(AN105,AN$2:AN$151,0))</f>
        <v>22</v>
      </c>
    </row>
    <row r="106" customFormat="false" ht="15" hidden="false" customHeight="false" outlineLevel="0" collapsed="false">
      <c r="A106" s="2" t="n">
        <v>105</v>
      </c>
      <c r="B106" s="2" t="s">
        <v>252</v>
      </c>
      <c r="C106" s="2" t="s">
        <v>253</v>
      </c>
      <c r="D106" s="2" t="s">
        <v>158</v>
      </c>
      <c r="E106" s="2" t="s">
        <v>30</v>
      </c>
      <c r="F106" s="2" t="s">
        <v>67</v>
      </c>
      <c r="G106" s="2" t="s">
        <v>254</v>
      </c>
      <c r="H106" s="3" t="n">
        <v>34475</v>
      </c>
      <c r="I106" s="2" t="n">
        <v>2006</v>
      </c>
      <c r="J106" s="2" t="n">
        <v>2024</v>
      </c>
      <c r="K106" s="2" t="n">
        <v>2009</v>
      </c>
      <c r="L106" s="4" t="n">
        <f aca="false">ROUND((DATE(2026,9,1)-H106)/365.25,1)</f>
        <v>32.3</v>
      </c>
      <c r="M106" s="5" t="n">
        <f aca="false">IF(L106="","",RANK(L106,L$2:L$151,0))</f>
        <v>102</v>
      </c>
      <c r="N106" s="6" t="n">
        <v>177</v>
      </c>
      <c r="O106" s="5" t="n">
        <f aca="false">IF(N106="","",RANK(N106,N$2:N$151,0))</f>
        <v>96</v>
      </c>
      <c r="P106" s="6" t="n">
        <v>70</v>
      </c>
      <c r="Q106" s="5" t="n">
        <f aca="false">IF(P106="","",RANK(P106,P$2:P$151,0))</f>
        <v>98</v>
      </c>
      <c r="R106" s="6" t="n">
        <f aca="false">I106-YEAR(H106)</f>
        <v>12</v>
      </c>
      <c r="S106" s="5" t="n">
        <f aca="false">IF(R106="","",RANK(R106,R$2:R$151,0))</f>
        <v>150</v>
      </c>
      <c r="T106" s="6" t="n">
        <f aca="false">IF(J106="",2026,J106)-I106</f>
        <v>18</v>
      </c>
      <c r="U106" s="5" t="n">
        <f aca="false">IF(T106="","",RANK(T106,T$2:T$151,0))</f>
        <v>61</v>
      </c>
      <c r="V106" s="6" t="n">
        <v>5</v>
      </c>
      <c r="W106" s="5" t="n">
        <f aca="false">IF(V106="","",RANK(V106,V$2:V$151,0))</f>
        <v>3</v>
      </c>
      <c r="X106" s="6" t="n">
        <v>5</v>
      </c>
      <c r="Y106" s="5" t="n">
        <f aca="false">IF(X106="","",RANK(X106,X$2:X$151,0))</f>
        <v>11</v>
      </c>
      <c r="Z106" s="6" t="n">
        <v>1</v>
      </c>
      <c r="AA106" s="5" t="n">
        <f aca="false">IF(Z106="","",RANK(Z106,Z$2:Z$151,0))</f>
        <v>32</v>
      </c>
      <c r="AB106" s="6" t="n">
        <v>4</v>
      </c>
      <c r="AC106" s="5" t="n">
        <f aca="false">IF(AB106="","",RANK(AB106,AB$2:AB$151,0))</f>
        <v>52</v>
      </c>
      <c r="AD106" s="6" t="n">
        <f aca="false">IF(K106="","",K106-YEAR(H106))</f>
        <v>15</v>
      </c>
      <c r="AE106" s="5" t="n">
        <f aca="false">IF(AD106="","",RANK(AD106,AD$2:AD$151,0))</f>
        <v>132</v>
      </c>
      <c r="AF106" s="7" t="n">
        <v>1</v>
      </c>
      <c r="AG106" s="5" t="n">
        <f aca="false">IF(AF106="","",RANK(AF106,AF$2:AF$151,0))</f>
        <v>146</v>
      </c>
      <c r="AH106" s="7" t="n">
        <v>10</v>
      </c>
      <c r="AI106" s="5" t="n">
        <f aca="false">IF(AH106="","",RANK(AH106,AH$2:AH$151,0))</f>
        <v>121</v>
      </c>
      <c r="AJ106" s="4" t="n">
        <v>2</v>
      </c>
      <c r="AK106" s="5" t="n">
        <f aca="false">IF(AJ106="","",RANK(AJ106,AJ$2:AJ$151,0))</f>
        <v>94</v>
      </c>
      <c r="AL106" s="6" t="n">
        <v>2</v>
      </c>
      <c r="AM106" s="5" t="n">
        <f aca="false">IF(AL106="","",RANK(AL106,AL$2:AL$151,0))</f>
        <v>49</v>
      </c>
      <c r="AN106" s="6" t="n">
        <v>0</v>
      </c>
      <c r="AO106" s="5" t="n">
        <f aca="false">IF(AN106="","",RANK(AN106,AN$2:AN$151,0))</f>
        <v>22</v>
      </c>
    </row>
    <row r="107" customFormat="false" ht="15" hidden="false" customHeight="false" outlineLevel="0" collapsed="false">
      <c r="A107" s="2" t="n">
        <v>106</v>
      </c>
      <c r="B107" s="2" t="s">
        <v>255</v>
      </c>
      <c r="C107" s="2" t="s">
        <v>256</v>
      </c>
      <c r="D107" s="2" t="s">
        <v>108</v>
      </c>
      <c r="E107" s="2" t="s">
        <v>105</v>
      </c>
      <c r="F107" s="2" t="s">
        <v>31</v>
      </c>
      <c r="G107" s="2" t="s">
        <v>257</v>
      </c>
      <c r="H107" s="3" t="n">
        <v>35503</v>
      </c>
      <c r="I107" s="2" t="n">
        <v>2013</v>
      </c>
      <c r="J107" s="2"/>
      <c r="K107" s="2" t="n">
        <v>2013</v>
      </c>
      <c r="L107" s="4" t="n">
        <f aca="false">ROUND((DATE(2026,9,1)-H107)/365.25,1)</f>
        <v>29.5</v>
      </c>
      <c r="M107" s="5" t="n">
        <f aca="false">IF(L107="","",RANK(L107,L$2:L$151,0))</f>
        <v>116</v>
      </c>
      <c r="N107" s="6" t="n">
        <v>142</v>
      </c>
      <c r="O107" s="5" t="n">
        <f aca="false">IF(N107="","",RANK(N107,N$2:N$151,0))</f>
        <v>150</v>
      </c>
      <c r="P107" s="6" t="n">
        <v>47</v>
      </c>
      <c r="Q107" s="5" t="n">
        <f aca="false">IF(P107="","",RANK(P107,P$2:P$151,0))</f>
        <v>147</v>
      </c>
      <c r="R107" s="6" t="n">
        <f aca="false">I107-YEAR(H107)</f>
        <v>16</v>
      </c>
      <c r="S107" s="5" t="n">
        <f aca="false">IF(R107="","",RANK(R107,R$2:R$151,0))</f>
        <v>109</v>
      </c>
      <c r="T107" s="6" t="n">
        <f aca="false">IF(J107="",2026,J107)-I107</f>
        <v>13</v>
      </c>
      <c r="U107" s="5" t="n">
        <f aca="false">IF(T107="","",RANK(T107,T$2:T$151,0))</f>
        <v>99</v>
      </c>
      <c r="V107" s="6" t="n">
        <v>3</v>
      </c>
      <c r="W107" s="5" t="n">
        <f aca="false">IF(V107="","",RANK(V107,V$2:V$151,0))</f>
        <v>22</v>
      </c>
      <c r="X107" s="6" t="n">
        <v>11</v>
      </c>
      <c r="Y107" s="5" t="n">
        <f aca="false">IF(X107="","",RANK(X107,X$2:X$151,0))</f>
        <v>3</v>
      </c>
      <c r="Z107" s="6" t="n">
        <v>7</v>
      </c>
      <c r="AA107" s="5" t="n">
        <f aca="false">IF(Z107="","",RANK(Z107,Z$2:Z$151,0))</f>
        <v>4</v>
      </c>
      <c r="AB107" s="6" t="n">
        <v>30</v>
      </c>
      <c r="AC107" s="5" t="n">
        <f aca="false">IF(AB107="","",RANK(AB107,AB$2:AB$151,0))</f>
        <v>3</v>
      </c>
      <c r="AD107" s="6" t="n">
        <f aca="false">IF(K107="","",K107-YEAR(H107))</f>
        <v>16</v>
      </c>
      <c r="AE107" s="5" t="n">
        <f aca="false">IF(AD107="","",RANK(AD107,AD$2:AD$151,0))</f>
        <v>128</v>
      </c>
      <c r="AF107" s="7" t="n">
        <v>5</v>
      </c>
      <c r="AG107" s="5" t="n">
        <f aca="false">IF(AF107="","",RANK(AF107,AF$2:AF$151,0))</f>
        <v>127</v>
      </c>
      <c r="AH107" s="7" t="n">
        <v>30</v>
      </c>
      <c r="AI107" s="5" t="n">
        <f aca="false">IF(AH107="","",RANK(AH107,AH$2:AH$151,0))</f>
        <v>104</v>
      </c>
      <c r="AJ107" s="4" t="n">
        <v>12</v>
      </c>
      <c r="AK107" s="5" t="n">
        <f aca="false">IF(AJ107="","",RANK(AJ107,AJ$2:AJ$151,0))</f>
        <v>56</v>
      </c>
      <c r="AL107" s="6" t="n">
        <v>0</v>
      </c>
      <c r="AM107" s="5" t="n">
        <f aca="false">IF(AL107="","",RANK(AL107,AL$2:AL$151,0))</f>
        <v>95</v>
      </c>
      <c r="AN107" s="6" t="n">
        <v>5</v>
      </c>
      <c r="AO107" s="5" t="n">
        <f aca="false">IF(AN107="","",RANK(AN107,AN$2:AN$151,0))</f>
        <v>2</v>
      </c>
    </row>
    <row r="108" customFormat="false" ht="15" hidden="false" customHeight="false" outlineLevel="0" collapsed="false">
      <c r="A108" s="2" t="n">
        <v>107</v>
      </c>
      <c r="B108" s="2" t="s">
        <v>258</v>
      </c>
      <c r="C108" s="2" t="s">
        <v>256</v>
      </c>
      <c r="D108" s="2" t="s">
        <v>259</v>
      </c>
      <c r="E108" s="2" t="s">
        <v>105</v>
      </c>
      <c r="F108" s="2" t="s">
        <v>67</v>
      </c>
      <c r="G108" s="2" t="s">
        <v>260</v>
      </c>
      <c r="H108" s="3" t="n">
        <v>22597</v>
      </c>
      <c r="I108" s="2" t="n">
        <v>1975</v>
      </c>
      <c r="J108" s="2" t="n">
        <v>1984</v>
      </c>
      <c r="K108" s="2" t="n">
        <v>1976</v>
      </c>
      <c r="L108" s="4" t="n">
        <f aca="false">ROUND((DATE(2026,9,1)-H108)/365.25,1)</f>
        <v>64.8</v>
      </c>
      <c r="M108" s="5" t="n">
        <f aca="false">IF(L108="","",RANK(L108,L$2:L$151,0))</f>
        <v>4</v>
      </c>
      <c r="N108" s="6" t="n">
        <v>152</v>
      </c>
      <c r="O108" s="5" t="n">
        <f aca="false">IF(N108="","",RANK(N108,N$2:N$151,0))</f>
        <v>148</v>
      </c>
      <c r="P108" s="6" t="n">
        <v>45</v>
      </c>
      <c r="Q108" s="5" t="n">
        <f aca="false">IF(P108="","",RANK(P108,P$2:P$151,0))</f>
        <v>148</v>
      </c>
      <c r="R108" s="6" t="n">
        <f aca="false">I108-YEAR(H108)</f>
        <v>14</v>
      </c>
      <c r="S108" s="5" t="n">
        <f aca="false">IF(R108="","",RANK(R108,R$2:R$151,0))</f>
        <v>142</v>
      </c>
      <c r="T108" s="6" t="n">
        <f aca="false">IF(J108="",2026,J108)-I108</f>
        <v>9</v>
      </c>
      <c r="U108" s="5" t="n">
        <f aca="false">IF(T108="","",RANK(T108,T$2:T$151,0))</f>
        <v>129</v>
      </c>
      <c r="V108" s="6" t="n">
        <v>2</v>
      </c>
      <c r="W108" s="5" t="n">
        <f aca="false">IF(V108="","",RANK(V108,V$2:V$151,0))</f>
        <v>33</v>
      </c>
      <c r="X108" s="6" t="n">
        <v>9</v>
      </c>
      <c r="Y108" s="5" t="n">
        <f aca="false">IF(X108="","",RANK(X108,X$2:X$151,0))</f>
        <v>5</v>
      </c>
      <c r="Z108" s="6" t="n">
        <v>5</v>
      </c>
      <c r="AA108" s="5" t="n">
        <f aca="false">IF(Z108="","",RANK(Z108,Z$2:Z$151,0))</f>
        <v>7</v>
      </c>
      <c r="AB108" s="6" t="n">
        <v>7</v>
      </c>
      <c r="AC108" s="5" t="n">
        <f aca="false">IF(AB108="","",RANK(AB108,AB$2:AB$151,0))</f>
        <v>24</v>
      </c>
      <c r="AD108" s="6" t="n">
        <f aca="false">IF(K108="","",K108-YEAR(H108))</f>
        <v>15</v>
      </c>
      <c r="AE108" s="5" t="n">
        <f aca="false">IF(AD108="","",RANK(AD108,AD$2:AD$151,0))</f>
        <v>132</v>
      </c>
      <c r="AF108" s="7" t="n">
        <v>0</v>
      </c>
      <c r="AG108" s="5" t="n">
        <f aca="false">IF(AF108="","",RANK(AF108,AF$2:AF$151,0))</f>
        <v>150</v>
      </c>
      <c r="AH108" s="7" t="n">
        <v>10</v>
      </c>
      <c r="AI108" s="5" t="n">
        <f aca="false">IF(AH108="","",RANK(AH108,AH$2:AH$151,0))</f>
        <v>121</v>
      </c>
      <c r="AJ108" s="4"/>
      <c r="AK108" s="5" t="str">
        <f aca="false">IF(AJ108="","",RANK(AJ108,AJ$2:AJ$151,0))</f>
        <v/>
      </c>
      <c r="AL108" s="6" t="n">
        <v>1</v>
      </c>
      <c r="AM108" s="5" t="n">
        <f aca="false">IF(AL108="","",RANK(AL108,AL$2:AL$151,0))</f>
        <v>77</v>
      </c>
      <c r="AN108" s="6" t="n">
        <v>0</v>
      </c>
      <c r="AO108" s="5" t="n">
        <f aca="false">IF(AN108="","",RANK(AN108,AN$2:AN$151,0))</f>
        <v>22</v>
      </c>
    </row>
    <row r="109" customFormat="false" ht="15" hidden="false" customHeight="false" outlineLevel="0" collapsed="false">
      <c r="A109" s="2" t="n">
        <v>108</v>
      </c>
      <c r="B109" s="2" t="s">
        <v>261</v>
      </c>
      <c r="C109" s="2" t="s">
        <v>256</v>
      </c>
      <c r="D109" s="2" t="s">
        <v>37</v>
      </c>
      <c r="E109" s="2" t="s">
        <v>105</v>
      </c>
      <c r="F109" s="2" t="s">
        <v>31</v>
      </c>
      <c r="G109" s="2" t="s">
        <v>41</v>
      </c>
      <c r="H109" s="3" t="n">
        <v>36288</v>
      </c>
      <c r="I109" s="2" t="n">
        <v>2012</v>
      </c>
      <c r="J109" s="2"/>
      <c r="K109" s="2" t="n">
        <v>2021</v>
      </c>
      <c r="L109" s="4" t="n">
        <f aca="false">ROUND((DATE(2026,9,1)-H109)/365.25,1)</f>
        <v>27.3</v>
      </c>
      <c r="M109" s="5" t="n">
        <f aca="false">IF(L109="","",RANK(L109,L$2:L$151,0))</f>
        <v>131</v>
      </c>
      <c r="N109" s="6" t="n">
        <v>155</v>
      </c>
      <c r="O109" s="5" t="n">
        <f aca="false">IF(N109="","",RANK(N109,N$2:N$151,0))</f>
        <v>147</v>
      </c>
      <c r="P109" s="6" t="n">
        <v>50</v>
      </c>
      <c r="Q109" s="5" t="n">
        <f aca="false">IF(P109="","",RANK(P109,P$2:P$151,0))</f>
        <v>146</v>
      </c>
      <c r="R109" s="6" t="n">
        <f aca="false">I109-YEAR(H109)</f>
        <v>13</v>
      </c>
      <c r="S109" s="5" t="n">
        <f aca="false">IF(R109="","",RANK(R109,R$2:R$151,0))</f>
        <v>148</v>
      </c>
      <c r="T109" s="6" t="n">
        <f aca="false">IF(J109="",2026,J109)-I109</f>
        <v>14</v>
      </c>
      <c r="U109" s="5" t="n">
        <f aca="false">IF(T109="","",RANK(T109,T$2:T$151,0))</f>
        <v>94</v>
      </c>
      <c r="V109" s="6" t="n">
        <v>3</v>
      </c>
      <c r="W109" s="5" t="n">
        <f aca="false">IF(V109="","",RANK(V109,V$2:V$151,0))</f>
        <v>22</v>
      </c>
      <c r="X109" s="6" t="n">
        <v>6</v>
      </c>
      <c r="Y109" s="5" t="n">
        <f aca="false">IF(X109="","",RANK(X109,X$2:X$151,0))</f>
        <v>9</v>
      </c>
      <c r="Z109" s="6" t="n">
        <v>2</v>
      </c>
      <c r="AA109" s="5" t="n">
        <f aca="false">IF(Z109="","",RANK(Z109,Z$2:Z$151,0))</f>
        <v>21</v>
      </c>
      <c r="AB109" s="6" t="n">
        <v>5</v>
      </c>
      <c r="AC109" s="5" t="n">
        <f aca="false">IF(AB109="","",RANK(AB109,AB$2:AB$151,0))</f>
        <v>39</v>
      </c>
      <c r="AD109" s="6" t="n">
        <f aca="false">IF(K109="","",K109-YEAR(H109))</f>
        <v>22</v>
      </c>
      <c r="AE109" s="5" t="n">
        <f aca="false">IF(AD109="","",RANK(AD109,AD$2:AD$151,0))</f>
        <v>71</v>
      </c>
      <c r="AF109" s="7" t="n">
        <v>1</v>
      </c>
      <c r="AG109" s="5" t="n">
        <f aca="false">IF(AF109="","",RANK(AF109,AF$2:AF$151,0))</f>
        <v>146</v>
      </c>
      <c r="AH109" s="7" t="n">
        <v>2</v>
      </c>
      <c r="AI109" s="5" t="n">
        <f aca="false">IF(AH109="","",RANK(AH109,AH$2:AH$151,0))</f>
        <v>149</v>
      </c>
      <c r="AJ109" s="4" t="n">
        <v>5</v>
      </c>
      <c r="AK109" s="5" t="n">
        <f aca="false">IF(AJ109="","",RANK(AJ109,AJ$2:AJ$151,0))</f>
        <v>71</v>
      </c>
      <c r="AL109" s="6" t="n">
        <v>0</v>
      </c>
      <c r="AM109" s="5" t="n">
        <f aca="false">IF(AL109="","",RANK(AL109,AL$2:AL$151,0))</f>
        <v>95</v>
      </c>
      <c r="AN109" s="6" t="n">
        <v>1</v>
      </c>
      <c r="AO109" s="5" t="n">
        <f aca="false">IF(AN109="","",RANK(AN109,AN$2:AN$151,0))</f>
        <v>11</v>
      </c>
    </row>
    <row r="110" customFormat="false" ht="15" hidden="false" customHeight="false" outlineLevel="0" collapsed="false">
      <c r="A110" s="2" t="n">
        <v>109</v>
      </c>
      <c r="B110" s="2" t="s">
        <v>262</v>
      </c>
      <c r="C110" s="2" t="s">
        <v>263</v>
      </c>
      <c r="D110" s="2" t="s">
        <v>108</v>
      </c>
      <c r="E110" s="2" t="s">
        <v>30</v>
      </c>
      <c r="F110" s="2" t="s">
        <v>67</v>
      </c>
      <c r="G110" s="2" t="s">
        <v>41</v>
      </c>
      <c r="H110" s="3" t="n">
        <v>28340</v>
      </c>
      <c r="I110" s="2" t="n">
        <v>2000</v>
      </c>
      <c r="J110" s="2" t="n">
        <v>2022</v>
      </c>
      <c r="K110" s="2" t="n">
        <v>2002</v>
      </c>
      <c r="L110" s="4" t="n">
        <f aca="false">ROUND((DATE(2026,9,1)-H110)/365.25,1)</f>
        <v>49.1</v>
      </c>
      <c r="M110" s="5" t="n">
        <f aca="false">IF(L110="","",RANK(L110,L$2:L$151,0))</f>
        <v>24</v>
      </c>
      <c r="N110" s="6" t="n">
        <v>193</v>
      </c>
      <c r="O110" s="5" t="n">
        <f aca="false">IF(N110="","",RANK(N110,N$2:N$151,0))</f>
        <v>23</v>
      </c>
      <c r="P110" s="6" t="n">
        <v>102</v>
      </c>
      <c r="Q110" s="5" t="n">
        <f aca="false">IF(P110="","",RANK(P110,P$2:P$151,0))</f>
        <v>21</v>
      </c>
      <c r="R110" s="6" t="n">
        <f aca="false">I110-YEAR(H110)</f>
        <v>23</v>
      </c>
      <c r="S110" s="5" t="n">
        <f aca="false">IF(R110="","",RANK(R110,R$2:R$151,0))</f>
        <v>5</v>
      </c>
      <c r="T110" s="6" t="n">
        <f aca="false">IF(J110="",2026,J110)-I110</f>
        <v>22</v>
      </c>
      <c r="U110" s="5" t="n">
        <f aca="false">IF(T110="","",RANK(T110,T$2:T$151,0))</f>
        <v>25</v>
      </c>
      <c r="V110" s="6" t="n">
        <v>0</v>
      </c>
      <c r="W110" s="5" t="n">
        <f aca="false">IF(V110="","",RANK(V110,V$2:V$151,0))</f>
        <v>82</v>
      </c>
      <c r="X110" s="6" t="n">
        <v>0</v>
      </c>
      <c r="Y110" s="5" t="n">
        <f aca="false">IF(X110="","",RANK(X110,X$2:X$151,0))</f>
        <v>65</v>
      </c>
      <c r="Z110" s="6" t="n">
        <v>0</v>
      </c>
      <c r="AA110" s="5" t="n">
        <f aca="false">IF(Z110="","",RANK(Z110,Z$2:Z$151,0))</f>
        <v>53</v>
      </c>
      <c r="AB110" s="6" t="n">
        <v>7</v>
      </c>
      <c r="AC110" s="5" t="n">
        <f aca="false">IF(AB110="","",RANK(AB110,AB$2:AB$151,0))</f>
        <v>24</v>
      </c>
      <c r="AD110" s="6" t="n">
        <f aca="false">IF(K110="","",K110-YEAR(H110))</f>
        <v>25</v>
      </c>
      <c r="AE110" s="5" t="n">
        <f aca="false">IF(AD110="","",RANK(AD110,AD$2:AD$151,0))</f>
        <v>47</v>
      </c>
      <c r="AF110" s="7" t="n">
        <v>333</v>
      </c>
      <c r="AG110" s="5" t="n">
        <f aca="false">IF(AF110="","",RANK(AF110,AF$2:AF$151,0))</f>
        <v>23</v>
      </c>
      <c r="AH110" s="7" t="n">
        <v>300</v>
      </c>
      <c r="AI110" s="5" t="n">
        <f aca="false">IF(AH110="","",RANK(AH110,AH$2:AH$151,0))</f>
        <v>17</v>
      </c>
      <c r="AJ110" s="4" t="n">
        <v>15</v>
      </c>
      <c r="AK110" s="5" t="n">
        <f aca="false">IF(AJ110="","",RANK(AJ110,AJ$2:AJ$151,0))</f>
        <v>48</v>
      </c>
      <c r="AL110" s="6" t="n">
        <v>3</v>
      </c>
      <c r="AM110" s="5" t="n">
        <f aca="false">IF(AL110="","",RANK(AL110,AL$2:AL$151,0))</f>
        <v>27</v>
      </c>
      <c r="AN110" s="6" t="n">
        <v>0</v>
      </c>
      <c r="AO110" s="5" t="n">
        <f aca="false">IF(AN110="","",RANK(AN110,AN$2:AN$151,0))</f>
        <v>22</v>
      </c>
    </row>
    <row r="111" customFormat="false" ht="15" hidden="false" customHeight="false" outlineLevel="0" collapsed="false">
      <c r="A111" s="2" t="n">
        <v>110</v>
      </c>
      <c r="B111" s="2" t="s">
        <v>264</v>
      </c>
      <c r="C111" s="2" t="s">
        <v>263</v>
      </c>
      <c r="D111" s="2" t="s">
        <v>108</v>
      </c>
      <c r="E111" s="2" t="s">
        <v>30</v>
      </c>
      <c r="F111" s="2" t="s">
        <v>67</v>
      </c>
      <c r="G111" s="2" t="s">
        <v>265</v>
      </c>
      <c r="H111" s="3" t="n">
        <v>27843</v>
      </c>
      <c r="I111" s="2" t="n">
        <v>1998</v>
      </c>
      <c r="J111" s="2" t="n">
        <v>2016</v>
      </c>
      <c r="K111" s="2" t="n">
        <v>2007</v>
      </c>
      <c r="L111" s="4" t="n">
        <f aca="false">ROUND((DATE(2026,9,1)-H111)/365.25,1)</f>
        <v>50.4</v>
      </c>
      <c r="M111" s="5" t="n">
        <f aca="false">IF(L111="","",RANK(L111,L$2:L$151,0))</f>
        <v>21</v>
      </c>
      <c r="N111" s="6" t="n">
        <v>196</v>
      </c>
      <c r="O111" s="5" t="n">
        <f aca="false">IF(N111="","",RANK(N111,N$2:N$151,0))</f>
        <v>15</v>
      </c>
      <c r="P111" s="6" t="n">
        <v>104</v>
      </c>
      <c r="Q111" s="5" t="n">
        <f aca="false">IF(P111="","",RANK(P111,P$2:P$151,0))</f>
        <v>16</v>
      </c>
      <c r="R111" s="6" t="n">
        <f aca="false">I111-YEAR(H111)</f>
        <v>22</v>
      </c>
      <c r="S111" s="5" t="n">
        <f aca="false">IF(R111="","",RANK(R111,R$2:R$151,0))</f>
        <v>9</v>
      </c>
      <c r="T111" s="6" t="n">
        <f aca="false">IF(J111="",2026,J111)-I111</f>
        <v>18</v>
      </c>
      <c r="U111" s="5" t="n">
        <f aca="false">IF(T111="","",RANK(T111,T$2:T$151,0))</f>
        <v>61</v>
      </c>
      <c r="V111" s="6" t="n">
        <v>0</v>
      </c>
      <c r="W111" s="5" t="n">
        <f aca="false">IF(V111="","",RANK(V111,V$2:V$151,0))</f>
        <v>82</v>
      </c>
      <c r="X111" s="6" t="n">
        <v>0</v>
      </c>
      <c r="Y111" s="5" t="n">
        <f aca="false">IF(X111="","",RANK(X111,X$2:X$151,0))</f>
        <v>65</v>
      </c>
      <c r="Z111" s="6" t="n">
        <v>0</v>
      </c>
      <c r="AA111" s="5" t="n">
        <f aca="false">IF(Z111="","",RANK(Z111,Z$2:Z$151,0))</f>
        <v>53</v>
      </c>
      <c r="AB111" s="6" t="n">
        <v>2</v>
      </c>
      <c r="AC111" s="5" t="n">
        <f aca="false">IF(AB111="","",RANK(AB111,AB$2:AB$151,0))</f>
        <v>85</v>
      </c>
      <c r="AD111" s="6" t="n">
        <f aca="false">IF(K111="","",K111-YEAR(H111))</f>
        <v>31</v>
      </c>
      <c r="AE111" s="5" t="n">
        <f aca="false">IF(AD111="","",RANK(AD111,AD$2:AD$151,0))</f>
        <v>8</v>
      </c>
      <c r="AF111" s="7" t="n">
        <v>249</v>
      </c>
      <c r="AG111" s="5" t="n">
        <f aca="false">IF(AF111="","",RANK(AF111,AF$2:AF$151,0))</f>
        <v>43</v>
      </c>
      <c r="AH111" s="7" t="n">
        <v>250</v>
      </c>
      <c r="AI111" s="5" t="n">
        <f aca="false">IF(AH111="","",RANK(AH111,AH$2:AH$151,0))</f>
        <v>22</v>
      </c>
      <c r="AJ111" s="4"/>
      <c r="AK111" s="5" t="str">
        <f aca="false">IF(AJ111="","",RANK(AJ111,AJ$2:AJ$151,0))</f>
        <v/>
      </c>
      <c r="AL111" s="6" t="n">
        <v>2</v>
      </c>
      <c r="AM111" s="5" t="n">
        <f aca="false">IF(AL111="","",RANK(AL111,AL$2:AL$151,0))</f>
        <v>49</v>
      </c>
      <c r="AN111" s="6" t="n">
        <v>0</v>
      </c>
      <c r="AO111" s="5" t="n">
        <f aca="false">IF(AN111="","",RANK(AN111,AN$2:AN$151,0))</f>
        <v>22</v>
      </c>
    </row>
    <row r="112" customFormat="false" ht="15" hidden="false" customHeight="false" outlineLevel="0" collapsed="false">
      <c r="A112" s="2" t="n">
        <v>111</v>
      </c>
      <c r="B112" s="2" t="s">
        <v>266</v>
      </c>
      <c r="C112" s="2" t="s">
        <v>263</v>
      </c>
      <c r="D112" s="2" t="s">
        <v>108</v>
      </c>
      <c r="E112" s="2" t="s">
        <v>30</v>
      </c>
      <c r="F112" s="2" t="s">
        <v>67</v>
      </c>
      <c r="G112" s="2" t="s">
        <v>41</v>
      </c>
      <c r="H112" s="3" t="n">
        <v>22932</v>
      </c>
      <c r="I112" s="2" t="n">
        <v>1985</v>
      </c>
      <c r="J112" s="2" t="n">
        <v>2004</v>
      </c>
      <c r="K112" s="2" t="n">
        <v>1989</v>
      </c>
      <c r="L112" s="4" t="n">
        <f aca="false">ROUND((DATE(2026,9,1)-H112)/365.25,1)</f>
        <v>63.9</v>
      </c>
      <c r="M112" s="5" t="n">
        <f aca="false">IF(L112="","",RANK(L112,L$2:L$151,0))</f>
        <v>5</v>
      </c>
      <c r="N112" s="6" t="n">
        <v>188</v>
      </c>
      <c r="O112" s="5" t="n">
        <f aca="false">IF(N112="","",RANK(N112,N$2:N$151,0))</f>
        <v>40</v>
      </c>
      <c r="P112" s="6" t="n">
        <v>91</v>
      </c>
      <c r="Q112" s="5" t="n">
        <f aca="false">IF(P112="","",RANK(P112,P$2:P$151,0))</f>
        <v>38</v>
      </c>
      <c r="R112" s="6" t="n">
        <f aca="false">I112-YEAR(H112)</f>
        <v>23</v>
      </c>
      <c r="S112" s="5" t="n">
        <f aca="false">IF(R112="","",RANK(R112,R$2:R$151,0))</f>
        <v>5</v>
      </c>
      <c r="T112" s="6" t="n">
        <f aca="false">IF(J112="",2026,J112)-I112</f>
        <v>19</v>
      </c>
      <c r="U112" s="5" t="n">
        <f aca="false">IF(T112="","",RANK(T112,T$2:T$151,0))</f>
        <v>51</v>
      </c>
      <c r="V112" s="6" t="n">
        <v>0</v>
      </c>
      <c r="W112" s="5" t="n">
        <f aca="false">IF(V112="","",RANK(V112,V$2:V$151,0))</f>
        <v>82</v>
      </c>
      <c r="X112" s="6" t="n">
        <v>0</v>
      </c>
      <c r="Y112" s="5" t="n">
        <f aca="false">IF(X112="","",RANK(X112,X$2:X$151,0))</f>
        <v>65</v>
      </c>
      <c r="Z112" s="6" t="n">
        <v>0</v>
      </c>
      <c r="AA112" s="5" t="n">
        <f aca="false">IF(Z112="","",RANK(Z112,Z$2:Z$151,0))</f>
        <v>53</v>
      </c>
      <c r="AB112" s="6" t="n">
        <v>3</v>
      </c>
      <c r="AC112" s="5" t="n">
        <f aca="false">IF(AB112="","",RANK(AB112,AB$2:AB$151,0))</f>
        <v>69</v>
      </c>
      <c r="AD112" s="6" t="n">
        <f aca="false">IF(K112="","",K112-YEAR(H112))</f>
        <v>27</v>
      </c>
      <c r="AE112" s="5" t="n">
        <f aca="false">IF(AD112="","",RANK(AD112,AD$2:AD$151,0))</f>
        <v>27</v>
      </c>
      <c r="AF112" s="7" t="n">
        <v>40</v>
      </c>
      <c r="AG112" s="5" t="n">
        <f aca="false">IF(AF112="","",RANK(AF112,AF$2:AF$151,0))</f>
        <v>95</v>
      </c>
      <c r="AH112" s="7" t="n">
        <v>60</v>
      </c>
      <c r="AI112" s="5" t="n">
        <f aca="false">IF(AH112="","",RANK(AH112,AH$2:AH$151,0))</f>
        <v>85</v>
      </c>
      <c r="AJ112" s="4" t="n">
        <v>0.5</v>
      </c>
      <c r="AK112" s="5" t="n">
        <f aca="false">IF(AJ112="","",RANK(AJ112,AJ$2:AJ$151,0))</f>
        <v>129</v>
      </c>
      <c r="AL112" s="6" t="n">
        <v>3</v>
      </c>
      <c r="AM112" s="5" t="n">
        <f aca="false">IF(AL112="","",RANK(AL112,AL$2:AL$151,0))</f>
        <v>27</v>
      </c>
      <c r="AN112" s="6" t="n">
        <v>0</v>
      </c>
      <c r="AO112" s="5" t="n">
        <f aca="false">IF(AN112="","",RANK(AN112,AN$2:AN$151,0))</f>
        <v>22</v>
      </c>
    </row>
    <row r="113" customFormat="false" ht="15" hidden="false" customHeight="false" outlineLevel="0" collapsed="false">
      <c r="A113" s="2" t="n">
        <v>112</v>
      </c>
      <c r="B113" s="2" t="s">
        <v>267</v>
      </c>
      <c r="C113" s="2" t="s">
        <v>263</v>
      </c>
      <c r="D113" s="2" t="s">
        <v>108</v>
      </c>
      <c r="E113" s="2" t="s">
        <v>30</v>
      </c>
      <c r="F113" s="2" t="s">
        <v>31</v>
      </c>
      <c r="G113" s="2" t="s">
        <v>268</v>
      </c>
      <c r="H113" s="3" t="n">
        <v>34959</v>
      </c>
      <c r="I113" s="2" t="n">
        <v>2017</v>
      </c>
      <c r="J113" s="2"/>
      <c r="K113" s="2" t="n">
        <v>2020</v>
      </c>
      <c r="L113" s="4" t="n">
        <f aca="false">ROUND((DATE(2026,9,1)-H113)/365.25,1)</f>
        <v>31</v>
      </c>
      <c r="M113" s="5" t="n">
        <f aca="false">IF(L113="","",RANK(L113,L$2:L$151,0))</f>
        <v>110</v>
      </c>
      <c r="N113" s="6" t="n">
        <v>188</v>
      </c>
      <c r="O113" s="5" t="n">
        <f aca="false">IF(N113="","",RANK(N113,N$2:N$151,0))</f>
        <v>40</v>
      </c>
      <c r="P113" s="6" t="n">
        <v>102</v>
      </c>
      <c r="Q113" s="5" t="n">
        <f aca="false">IF(P113="","",RANK(P113,P$2:P$151,0))</f>
        <v>21</v>
      </c>
      <c r="R113" s="6" t="n">
        <f aca="false">I113-YEAR(H113)</f>
        <v>22</v>
      </c>
      <c r="S113" s="5" t="n">
        <f aca="false">IF(R113="","",RANK(R113,R$2:R$151,0))</f>
        <v>9</v>
      </c>
      <c r="T113" s="6" t="n">
        <f aca="false">IF(J113="",2026,J113)-I113</f>
        <v>9</v>
      </c>
      <c r="U113" s="5" t="n">
        <f aca="false">IF(T113="","",RANK(T113,T$2:T$151,0))</f>
        <v>129</v>
      </c>
      <c r="V113" s="6" t="n">
        <v>0</v>
      </c>
      <c r="W113" s="5" t="n">
        <f aca="false">IF(V113="","",RANK(V113,V$2:V$151,0))</f>
        <v>82</v>
      </c>
      <c r="X113" s="6" t="n">
        <v>0</v>
      </c>
      <c r="Y113" s="5" t="n">
        <f aca="false">IF(X113="","",RANK(X113,X$2:X$151,0))</f>
        <v>65</v>
      </c>
      <c r="Z113" s="6" t="n">
        <v>0</v>
      </c>
      <c r="AA113" s="5" t="n">
        <f aca="false">IF(Z113="","",RANK(Z113,Z$2:Z$151,0))</f>
        <v>53</v>
      </c>
      <c r="AB113" s="6" t="n">
        <v>3</v>
      </c>
      <c r="AC113" s="5" t="n">
        <f aca="false">IF(AB113="","",RANK(AB113,AB$2:AB$151,0))</f>
        <v>69</v>
      </c>
      <c r="AD113" s="6" t="n">
        <f aca="false">IF(K113="","",K113-YEAR(H113))</f>
        <v>25</v>
      </c>
      <c r="AE113" s="5" t="n">
        <f aca="false">IF(AD113="","",RANK(AD113,AD$2:AD$151,0))</f>
        <v>47</v>
      </c>
      <c r="AF113" s="7" t="n">
        <v>250</v>
      </c>
      <c r="AG113" s="5" t="n">
        <f aca="false">IF(AF113="","",RANK(AF113,AF$2:AF$151,0))</f>
        <v>34</v>
      </c>
      <c r="AH113" s="7" t="n">
        <v>100</v>
      </c>
      <c r="AI113" s="5" t="n">
        <f aca="false">IF(AH113="","",RANK(AH113,AH$2:AH$151,0))</f>
        <v>61</v>
      </c>
      <c r="AJ113" s="4" t="n">
        <v>7</v>
      </c>
      <c r="AK113" s="5" t="n">
        <f aca="false">IF(AJ113="","",RANK(AJ113,AJ$2:AJ$151,0))</f>
        <v>66</v>
      </c>
      <c r="AL113" s="6" t="n">
        <v>3</v>
      </c>
      <c r="AM113" s="5" t="n">
        <f aca="false">IF(AL113="","",RANK(AL113,AL$2:AL$151,0))</f>
        <v>27</v>
      </c>
      <c r="AN113" s="6" t="n">
        <v>0</v>
      </c>
      <c r="AO113" s="5" t="n">
        <f aca="false">IF(AN113="","",RANK(AN113,AN$2:AN$151,0))</f>
        <v>22</v>
      </c>
    </row>
    <row r="114" customFormat="false" ht="15" hidden="false" customHeight="false" outlineLevel="0" collapsed="false">
      <c r="A114" s="2" t="n">
        <v>113</v>
      </c>
      <c r="B114" s="2" t="s">
        <v>269</v>
      </c>
      <c r="C114" s="2" t="s">
        <v>263</v>
      </c>
      <c r="D114" s="2" t="s">
        <v>108</v>
      </c>
      <c r="E114" s="2" t="s">
        <v>30</v>
      </c>
      <c r="F114" s="2" t="s">
        <v>31</v>
      </c>
      <c r="G114" s="2" t="s">
        <v>270</v>
      </c>
      <c r="H114" s="3" t="n">
        <v>32786</v>
      </c>
      <c r="I114" s="2" t="n">
        <v>2013</v>
      </c>
      <c r="J114" s="2"/>
      <c r="K114" s="2" t="n">
        <v>2020</v>
      </c>
      <c r="L114" s="4" t="n">
        <f aca="false">ROUND((DATE(2026,9,1)-H114)/365.25,1)</f>
        <v>36.9</v>
      </c>
      <c r="M114" s="5" t="n">
        <f aca="false">IF(L114="","",RANK(L114,L$2:L$151,0))</f>
        <v>83</v>
      </c>
      <c r="N114" s="6" t="n">
        <v>196</v>
      </c>
      <c r="O114" s="5" t="n">
        <f aca="false">IF(N114="","",RANK(N114,N$2:N$151,0))</f>
        <v>15</v>
      </c>
      <c r="P114" s="6" t="n">
        <v>113</v>
      </c>
      <c r="Q114" s="5" t="n">
        <f aca="false">IF(P114="","",RANK(P114,P$2:P$151,0))</f>
        <v>6</v>
      </c>
      <c r="R114" s="6" t="n">
        <f aca="false">I114-YEAR(H114)</f>
        <v>24</v>
      </c>
      <c r="S114" s="5" t="n">
        <f aca="false">IF(R114="","",RANK(R114,R$2:R$151,0))</f>
        <v>1</v>
      </c>
      <c r="T114" s="6" t="n">
        <f aca="false">IF(J114="",2026,J114)-I114</f>
        <v>13</v>
      </c>
      <c r="U114" s="5" t="n">
        <f aca="false">IF(T114="","",RANK(T114,T$2:T$151,0))</f>
        <v>99</v>
      </c>
      <c r="V114" s="6" t="n">
        <v>0</v>
      </c>
      <c r="W114" s="5" t="n">
        <f aca="false">IF(V114="","",RANK(V114,V$2:V$151,0))</f>
        <v>82</v>
      </c>
      <c r="X114" s="6" t="n">
        <v>0</v>
      </c>
      <c r="Y114" s="5" t="n">
        <f aca="false">IF(X114="","",RANK(X114,X$2:X$151,0))</f>
        <v>65</v>
      </c>
      <c r="Z114" s="6" t="n">
        <v>0</v>
      </c>
      <c r="AA114" s="5" t="n">
        <f aca="false">IF(Z114="","",RANK(Z114,Z$2:Z$151,0))</f>
        <v>53</v>
      </c>
      <c r="AB114" s="6" t="n">
        <v>3</v>
      </c>
      <c r="AC114" s="5" t="n">
        <f aca="false">IF(AB114="","",RANK(AB114,AB$2:AB$151,0))</f>
        <v>69</v>
      </c>
      <c r="AD114" s="6" t="n">
        <f aca="false">IF(K114="","",K114-YEAR(H114))</f>
        <v>31</v>
      </c>
      <c r="AE114" s="5" t="n">
        <f aca="false">IF(AD114="","",RANK(AD114,AD$2:AD$151,0))</f>
        <v>8</v>
      </c>
      <c r="AF114" s="7" t="n">
        <v>120</v>
      </c>
      <c r="AG114" s="5" t="n">
        <f aca="false">IF(AF114="","",RANK(AF114,AF$2:AF$151,0))</f>
        <v>69</v>
      </c>
      <c r="AH114" s="7" t="n">
        <v>90</v>
      </c>
      <c r="AI114" s="5" t="n">
        <f aca="false">IF(AH114="","",RANK(AH114,AH$2:AH$151,0))</f>
        <v>75</v>
      </c>
      <c r="AJ114" s="4" t="n">
        <v>7</v>
      </c>
      <c r="AK114" s="5" t="n">
        <f aca="false">IF(AJ114="","",RANK(AJ114,AJ$2:AJ$151,0))</f>
        <v>66</v>
      </c>
      <c r="AL114" s="6" t="n">
        <v>0</v>
      </c>
      <c r="AM114" s="5" t="n">
        <f aca="false">IF(AL114="","",RANK(AL114,AL$2:AL$151,0))</f>
        <v>95</v>
      </c>
      <c r="AN114" s="6" t="n">
        <v>0</v>
      </c>
      <c r="AO114" s="5" t="n">
        <f aca="false">IF(AN114="","",RANK(AN114,AN$2:AN$151,0))</f>
        <v>22</v>
      </c>
    </row>
    <row r="115" customFormat="false" ht="15" hidden="false" customHeight="false" outlineLevel="0" collapsed="false">
      <c r="A115" s="2" t="n">
        <v>114</v>
      </c>
      <c r="B115" s="2" t="s">
        <v>271</v>
      </c>
      <c r="C115" s="2" t="s">
        <v>263</v>
      </c>
      <c r="D115" s="2" t="s">
        <v>108</v>
      </c>
      <c r="E115" s="2" t="s">
        <v>30</v>
      </c>
      <c r="F115" s="2" t="s">
        <v>31</v>
      </c>
      <c r="G115" s="2" t="s">
        <v>272</v>
      </c>
      <c r="H115" s="3" t="n">
        <v>30652</v>
      </c>
      <c r="I115" s="2" t="n">
        <v>2005</v>
      </c>
      <c r="J115" s="2"/>
      <c r="K115" s="2" t="n">
        <v>2011</v>
      </c>
      <c r="L115" s="4" t="n">
        <f aca="false">ROUND((DATE(2026,9,1)-H115)/365.25,1)</f>
        <v>42.7</v>
      </c>
      <c r="M115" s="5" t="n">
        <f aca="false">IF(L115="","",RANK(L115,L$2:L$151,0))</f>
        <v>44</v>
      </c>
      <c r="N115" s="6" t="n">
        <v>188</v>
      </c>
      <c r="O115" s="5" t="n">
        <f aca="false">IF(N115="","",RANK(N115,N$2:N$151,0))</f>
        <v>40</v>
      </c>
      <c r="P115" s="6" t="n">
        <v>102</v>
      </c>
      <c r="Q115" s="5" t="n">
        <f aca="false">IF(P115="","",RANK(P115,P$2:P$151,0))</f>
        <v>21</v>
      </c>
      <c r="R115" s="6" t="n">
        <f aca="false">I115-YEAR(H115)</f>
        <v>22</v>
      </c>
      <c r="S115" s="5" t="n">
        <f aca="false">IF(R115="","",RANK(R115,R$2:R$151,0))</f>
        <v>9</v>
      </c>
      <c r="T115" s="6" t="n">
        <f aca="false">IF(J115="",2026,J115)-I115</f>
        <v>21</v>
      </c>
      <c r="U115" s="5" t="n">
        <f aca="false">IF(T115="","",RANK(T115,T$2:T$151,0))</f>
        <v>33</v>
      </c>
      <c r="V115" s="6" t="n">
        <v>0</v>
      </c>
      <c r="W115" s="5" t="n">
        <f aca="false">IF(V115="","",RANK(V115,V$2:V$151,0))</f>
        <v>82</v>
      </c>
      <c r="X115" s="6" t="n">
        <v>0</v>
      </c>
      <c r="Y115" s="5" t="n">
        <f aca="false">IF(X115="","",RANK(X115,X$2:X$151,0))</f>
        <v>65</v>
      </c>
      <c r="Z115" s="6" t="n">
        <v>0</v>
      </c>
      <c r="AA115" s="5" t="n">
        <f aca="false">IF(Z115="","",RANK(Z115,Z$2:Z$151,0))</f>
        <v>53</v>
      </c>
      <c r="AB115" s="6" t="n">
        <v>1</v>
      </c>
      <c r="AC115" s="5" t="n">
        <f aca="false">IF(AB115="","",RANK(AB115,AB$2:AB$151,0))</f>
        <v>106</v>
      </c>
      <c r="AD115" s="6" t="n">
        <f aca="false">IF(K115="","",K115-YEAR(H115))</f>
        <v>28</v>
      </c>
      <c r="AE115" s="5" t="n">
        <f aca="false">IF(AD115="","",RANK(AD115,AD$2:AD$151,0))</f>
        <v>16</v>
      </c>
      <c r="AF115" s="7" t="n">
        <v>350</v>
      </c>
      <c r="AG115" s="5" t="n">
        <f aca="false">IF(AF115="","",RANK(AF115,AF$2:AF$151,0))</f>
        <v>18</v>
      </c>
      <c r="AH115" s="7" t="n">
        <v>200</v>
      </c>
      <c r="AI115" s="5" t="n">
        <f aca="false">IF(AH115="","",RANK(AH115,AH$2:AH$151,0))</f>
        <v>29</v>
      </c>
      <c r="AJ115" s="4"/>
      <c r="AK115" s="5" t="str">
        <f aca="false">IF(AJ115="","",RANK(AJ115,AJ$2:AJ$151,0))</f>
        <v/>
      </c>
      <c r="AL115" s="6" t="n">
        <v>0</v>
      </c>
      <c r="AM115" s="5" t="n">
        <f aca="false">IF(AL115="","",RANK(AL115,AL$2:AL$151,0))</f>
        <v>95</v>
      </c>
      <c r="AN115" s="6" t="n">
        <v>0</v>
      </c>
      <c r="AO115" s="5" t="n">
        <f aca="false">IF(AN115="","",RANK(AN115,AN$2:AN$151,0))</f>
        <v>22</v>
      </c>
    </row>
    <row r="116" customFormat="false" ht="15" hidden="false" customHeight="false" outlineLevel="0" collapsed="false">
      <c r="A116" s="2" t="n">
        <v>115</v>
      </c>
      <c r="B116" s="2" t="s">
        <v>273</v>
      </c>
      <c r="C116" s="2" t="s">
        <v>263</v>
      </c>
      <c r="D116" s="2" t="s">
        <v>108</v>
      </c>
      <c r="E116" s="2" t="s">
        <v>30</v>
      </c>
      <c r="F116" s="2" t="s">
        <v>31</v>
      </c>
      <c r="G116" s="2" t="s">
        <v>274</v>
      </c>
      <c r="H116" s="3" t="n">
        <v>35206</v>
      </c>
      <c r="I116" s="2" t="n">
        <v>2018</v>
      </c>
      <c r="J116" s="2"/>
      <c r="K116" s="2"/>
      <c r="L116" s="4" t="n">
        <f aca="false">ROUND((DATE(2026,9,1)-H116)/365.25,1)</f>
        <v>30.3</v>
      </c>
      <c r="M116" s="5" t="n">
        <f aca="false">IF(L116="","",RANK(L116,L$2:L$151,0))</f>
        <v>111</v>
      </c>
      <c r="N116" s="6" t="n">
        <v>196</v>
      </c>
      <c r="O116" s="5" t="n">
        <f aca="false">IF(N116="","",RANK(N116,N$2:N$151,0))</f>
        <v>15</v>
      </c>
      <c r="P116" s="6" t="n">
        <v>107</v>
      </c>
      <c r="Q116" s="5" t="n">
        <f aca="false">IF(P116="","",RANK(P116,P$2:P$151,0))</f>
        <v>13</v>
      </c>
      <c r="R116" s="6" t="n">
        <f aca="false">I116-YEAR(H116)</f>
        <v>22</v>
      </c>
      <c r="S116" s="5" t="n">
        <f aca="false">IF(R116="","",RANK(R116,R$2:R$151,0))</f>
        <v>9</v>
      </c>
      <c r="T116" s="6" t="n">
        <f aca="false">IF(J116="",2026,J116)-I116</f>
        <v>8</v>
      </c>
      <c r="U116" s="5" t="n">
        <f aca="false">IF(T116="","",RANK(T116,T$2:T$151,0))</f>
        <v>132</v>
      </c>
      <c r="V116" s="6" t="n">
        <v>0</v>
      </c>
      <c r="W116" s="5" t="n">
        <f aca="false">IF(V116="","",RANK(V116,V$2:V$151,0))</f>
        <v>82</v>
      </c>
      <c r="X116" s="6" t="n">
        <v>0</v>
      </c>
      <c r="Y116" s="5" t="n">
        <f aca="false">IF(X116="","",RANK(X116,X$2:X$151,0))</f>
        <v>65</v>
      </c>
      <c r="Z116" s="6" t="n">
        <v>0</v>
      </c>
      <c r="AA116" s="5" t="n">
        <f aca="false">IF(Z116="","",RANK(Z116,Z$2:Z$151,0))</f>
        <v>53</v>
      </c>
      <c r="AB116" s="6" t="n">
        <v>0</v>
      </c>
      <c r="AC116" s="5" t="n">
        <f aca="false">IF(AB116="","",RANK(AB116,AB$2:AB$151,0))</f>
        <v>135</v>
      </c>
      <c r="AD116" s="6" t="str">
        <f aca="false">IF(K116="","",K116-YEAR(H116))</f>
        <v/>
      </c>
      <c r="AE116" s="5" t="str">
        <f aca="false">IF(AD116="","",RANK(AD116,AD$2:AD$151,0))</f>
        <v/>
      </c>
      <c r="AF116" s="7" t="n">
        <v>150</v>
      </c>
      <c r="AG116" s="5" t="n">
        <f aca="false">IF(AF116="","",RANK(AF116,AF$2:AF$151,0))</f>
        <v>56</v>
      </c>
      <c r="AH116" s="7" t="n">
        <v>60</v>
      </c>
      <c r="AI116" s="5" t="n">
        <f aca="false">IF(AH116="","",RANK(AH116,AH$2:AH$151,0))</f>
        <v>85</v>
      </c>
      <c r="AJ116" s="4" t="n">
        <v>1.5</v>
      </c>
      <c r="AK116" s="5" t="n">
        <f aca="false">IF(AJ116="","",RANK(AJ116,AJ$2:AJ$151,0))</f>
        <v>105</v>
      </c>
      <c r="AL116" s="6" t="n">
        <v>0</v>
      </c>
      <c r="AM116" s="5" t="n">
        <f aca="false">IF(AL116="","",RANK(AL116,AL$2:AL$151,0))</f>
        <v>95</v>
      </c>
      <c r="AN116" s="6" t="n">
        <v>0</v>
      </c>
      <c r="AO116" s="5" t="n">
        <f aca="false">IF(AN116="","",RANK(AN116,AN$2:AN$151,0))</f>
        <v>22</v>
      </c>
    </row>
    <row r="117" customFormat="false" ht="15" hidden="false" customHeight="false" outlineLevel="0" collapsed="false">
      <c r="A117" s="2" t="n">
        <v>116</v>
      </c>
      <c r="B117" s="2" t="s">
        <v>275</v>
      </c>
      <c r="C117" s="2" t="s">
        <v>276</v>
      </c>
      <c r="D117" s="2" t="s">
        <v>251</v>
      </c>
      <c r="E117" s="2" t="s">
        <v>30</v>
      </c>
      <c r="F117" s="2" t="s">
        <v>67</v>
      </c>
      <c r="G117" s="2" t="s">
        <v>277</v>
      </c>
      <c r="H117" s="3" t="n">
        <v>22307</v>
      </c>
      <c r="I117" s="2" t="n">
        <v>1978</v>
      </c>
      <c r="J117" s="2" t="n">
        <v>1999</v>
      </c>
      <c r="K117" s="2" t="n">
        <v>1984</v>
      </c>
      <c r="L117" s="4" t="n">
        <f aca="false">ROUND((DATE(2026,9,1)-H117)/365.25,1)</f>
        <v>65.6</v>
      </c>
      <c r="M117" s="5" t="n">
        <f aca="false">IF(L117="","",RANK(L117,L$2:L$151,0))</f>
        <v>3</v>
      </c>
      <c r="N117" s="6" t="n">
        <v>183</v>
      </c>
      <c r="O117" s="5" t="n">
        <f aca="false">IF(N117="","",RANK(N117,N$2:N$151,0))</f>
        <v>66</v>
      </c>
      <c r="P117" s="6" t="n">
        <v>84</v>
      </c>
      <c r="Q117" s="5" t="n">
        <f aca="false">IF(P117="","",RANK(P117,P$2:P$151,0))</f>
        <v>52</v>
      </c>
      <c r="R117" s="6" t="n">
        <f aca="false">I117-YEAR(H117)</f>
        <v>17</v>
      </c>
      <c r="S117" s="5" t="n">
        <f aca="false">IF(R117="","",RANK(R117,R$2:R$151,0))</f>
        <v>82</v>
      </c>
      <c r="T117" s="6" t="n">
        <f aca="false">IF(J117="",2026,J117)-I117</f>
        <v>21</v>
      </c>
      <c r="U117" s="5" t="n">
        <f aca="false">IF(T117="","",RANK(T117,T$2:T$151,0))</f>
        <v>33</v>
      </c>
      <c r="V117" s="6" t="n">
        <v>1</v>
      </c>
      <c r="W117" s="5" t="n">
        <f aca="false">IF(V117="","",RANK(V117,V$2:V$151,0))</f>
        <v>54</v>
      </c>
      <c r="X117" s="6" t="n">
        <v>0</v>
      </c>
      <c r="Y117" s="5" t="n">
        <f aca="false">IF(X117="","",RANK(X117,X$2:X$151,0))</f>
        <v>65</v>
      </c>
      <c r="Z117" s="6" t="n">
        <v>0</v>
      </c>
      <c r="AA117" s="5" t="n">
        <f aca="false">IF(Z117="","",RANK(Z117,Z$2:Z$151,0))</f>
        <v>53</v>
      </c>
      <c r="AB117" s="6" t="n">
        <v>4</v>
      </c>
      <c r="AC117" s="5" t="n">
        <f aca="false">IF(AB117="","",RANK(AB117,AB$2:AB$151,0))</f>
        <v>52</v>
      </c>
      <c r="AD117" s="6" t="n">
        <f aca="false">IF(K117="","",K117-YEAR(H117))</f>
        <v>23</v>
      </c>
      <c r="AE117" s="5" t="n">
        <f aca="false">IF(AD117="","",RANK(AD117,AD$2:AD$151,0))</f>
        <v>61</v>
      </c>
      <c r="AF117" s="7" t="n">
        <v>46</v>
      </c>
      <c r="AG117" s="5" t="n">
        <f aca="false">IF(AF117="","",RANK(AF117,AF$2:AF$151,0))</f>
        <v>90</v>
      </c>
      <c r="AH117" s="7" t="n">
        <v>250</v>
      </c>
      <c r="AI117" s="5" t="n">
        <f aca="false">IF(AH117="","",RANK(AH117,AH$2:AH$151,0))</f>
        <v>22</v>
      </c>
      <c r="AJ117" s="4"/>
      <c r="AK117" s="5" t="str">
        <f aca="false">IF(AJ117="","",RANK(AJ117,AJ$2:AJ$151,0))</f>
        <v/>
      </c>
      <c r="AL117" s="6" t="n">
        <v>5</v>
      </c>
      <c r="AM117" s="5" t="n">
        <f aca="false">IF(AL117="","",RANK(AL117,AL$2:AL$151,0))</f>
        <v>4</v>
      </c>
      <c r="AN117" s="6" t="n">
        <v>0</v>
      </c>
      <c r="AO117" s="5" t="n">
        <f aca="false">IF(AN117="","",RANK(AN117,AN$2:AN$151,0))</f>
        <v>22</v>
      </c>
    </row>
    <row r="118" customFormat="false" ht="15" hidden="false" customHeight="false" outlineLevel="0" collapsed="false">
      <c r="A118" s="2" t="n">
        <v>117</v>
      </c>
      <c r="B118" s="2" t="s">
        <v>278</v>
      </c>
      <c r="C118" s="2" t="s">
        <v>276</v>
      </c>
      <c r="D118" s="2" t="s">
        <v>279</v>
      </c>
      <c r="E118" s="2" t="s">
        <v>30</v>
      </c>
      <c r="F118" s="2" t="s">
        <v>31</v>
      </c>
      <c r="G118" s="2" t="s">
        <v>41</v>
      </c>
      <c r="H118" s="3" t="n">
        <v>26344</v>
      </c>
      <c r="I118" s="2" t="n">
        <v>1988</v>
      </c>
      <c r="J118" s="2"/>
      <c r="K118" s="2" t="n">
        <v>1991</v>
      </c>
      <c r="L118" s="4" t="n">
        <f aca="false">ROUND((DATE(2026,9,1)-H118)/365.25,1)</f>
        <v>54.5</v>
      </c>
      <c r="M118" s="5" t="n">
        <f aca="false">IF(L118="","",RANK(L118,L$2:L$151,0))</f>
        <v>13</v>
      </c>
      <c r="N118" s="6" t="n">
        <v>191</v>
      </c>
      <c r="O118" s="5" t="n">
        <f aca="false">IF(N118="","",RANK(N118,N$2:N$151,0))</f>
        <v>30</v>
      </c>
      <c r="P118" s="6" t="n">
        <v>104</v>
      </c>
      <c r="Q118" s="5" t="n">
        <f aca="false">IF(P118="","",RANK(P118,P$2:P$151,0))</f>
        <v>16</v>
      </c>
      <c r="R118" s="6" t="n">
        <f aca="false">I118-YEAR(H118)</f>
        <v>16</v>
      </c>
      <c r="S118" s="5" t="n">
        <f aca="false">IF(R118="","",RANK(R118,R$2:R$151,0))</f>
        <v>109</v>
      </c>
      <c r="T118" s="6" t="n">
        <f aca="false">IF(J118="",2026,J118)-I118</f>
        <v>38</v>
      </c>
      <c r="U118" s="5" t="n">
        <f aca="false">IF(T118="","",RANK(T118,T$2:T$151,0))</f>
        <v>2</v>
      </c>
      <c r="V118" s="6" t="n">
        <v>5</v>
      </c>
      <c r="W118" s="5" t="n">
        <f aca="false">IF(V118="","",RANK(V118,V$2:V$151,0))</f>
        <v>3</v>
      </c>
      <c r="X118" s="6" t="n">
        <v>2</v>
      </c>
      <c r="Y118" s="5" t="n">
        <f aca="false">IF(X118="","",RANK(X118,X$2:X$151,0))</f>
        <v>31</v>
      </c>
      <c r="Z118" s="6" t="n">
        <v>1</v>
      </c>
      <c r="AA118" s="5" t="n">
        <f aca="false">IF(Z118="","",RANK(Z118,Z$2:Z$151,0))</f>
        <v>32</v>
      </c>
      <c r="AB118" s="6" t="n">
        <v>2</v>
      </c>
      <c r="AC118" s="5" t="n">
        <f aca="false">IF(AB118="","",RANK(AB118,AB$2:AB$151,0))</f>
        <v>85</v>
      </c>
      <c r="AD118" s="6" t="n">
        <f aca="false">IF(K118="","",K118-YEAR(H118))</f>
        <v>19</v>
      </c>
      <c r="AE118" s="5" t="n">
        <f aca="false">IF(AD118="","",RANK(AD118,AD$2:AD$151,0))</f>
        <v>109</v>
      </c>
      <c r="AF118" s="7" t="n">
        <v>90</v>
      </c>
      <c r="AG118" s="5" t="n">
        <f aca="false">IF(AF118="","",RANK(AF118,AF$2:AF$151,0))</f>
        <v>80</v>
      </c>
      <c r="AH118" s="7" t="n">
        <v>80</v>
      </c>
      <c r="AI118" s="5" t="n">
        <f aca="false">IF(AH118="","",RANK(AH118,AH$2:AH$151,0))</f>
        <v>78</v>
      </c>
      <c r="AJ118" s="4" t="n">
        <v>0.4</v>
      </c>
      <c r="AK118" s="5" t="n">
        <f aca="false">IF(AJ118="","",RANK(AJ118,AJ$2:AJ$151,0))</f>
        <v>132</v>
      </c>
      <c r="AL118" s="6" t="n">
        <v>0</v>
      </c>
      <c r="AM118" s="5" t="n">
        <f aca="false">IF(AL118="","",RANK(AL118,AL$2:AL$151,0))</f>
        <v>95</v>
      </c>
      <c r="AN118" s="6" t="n">
        <v>0</v>
      </c>
      <c r="AO118" s="5" t="n">
        <f aca="false">IF(AN118="","",RANK(AN118,AN$2:AN$151,0))</f>
        <v>22</v>
      </c>
    </row>
    <row r="119" customFormat="false" ht="15" hidden="false" customHeight="false" outlineLevel="0" collapsed="false">
      <c r="A119" s="2" t="n">
        <v>118</v>
      </c>
      <c r="B119" s="2" t="s">
        <v>280</v>
      </c>
      <c r="C119" s="2" t="s">
        <v>276</v>
      </c>
      <c r="D119" s="2" t="s">
        <v>169</v>
      </c>
      <c r="E119" s="2" t="s">
        <v>30</v>
      </c>
      <c r="F119" s="2" t="s">
        <v>31</v>
      </c>
      <c r="G119" s="2" t="s">
        <v>281</v>
      </c>
      <c r="H119" s="3" t="n">
        <v>31307</v>
      </c>
      <c r="I119" s="2" t="n">
        <v>2001</v>
      </c>
      <c r="J119" s="2"/>
      <c r="K119" s="2" t="n">
        <v>2018</v>
      </c>
      <c r="L119" s="4" t="n">
        <f aca="false">ROUND((DATE(2026,9,1)-H119)/365.25,1)</f>
        <v>41</v>
      </c>
      <c r="M119" s="5" t="n">
        <f aca="false">IF(L119="","",RANK(L119,L$2:L$151,0))</f>
        <v>53</v>
      </c>
      <c r="N119" s="6" t="n">
        <v>191</v>
      </c>
      <c r="O119" s="5" t="n">
        <f aca="false">IF(N119="","",RANK(N119,N$2:N$151,0))</f>
        <v>30</v>
      </c>
      <c r="P119" s="6" t="n">
        <v>108</v>
      </c>
      <c r="Q119" s="5" t="n">
        <f aca="false">IF(P119="","",RANK(P119,P$2:P$151,0))</f>
        <v>12</v>
      </c>
      <c r="R119" s="6" t="n">
        <f aca="false">I119-YEAR(H119)</f>
        <v>16</v>
      </c>
      <c r="S119" s="5" t="n">
        <f aca="false">IF(R119="","",RANK(R119,R$2:R$151,0))</f>
        <v>109</v>
      </c>
      <c r="T119" s="6" t="n">
        <f aca="false">IF(J119="",2026,J119)-I119</f>
        <v>25</v>
      </c>
      <c r="U119" s="5" t="n">
        <f aca="false">IF(T119="","",RANK(T119,T$2:T$151,0))</f>
        <v>11</v>
      </c>
      <c r="V119" s="6" t="n">
        <v>3</v>
      </c>
      <c r="W119" s="5" t="n">
        <f aca="false">IF(V119="","",RANK(V119,V$2:V$151,0))</f>
        <v>22</v>
      </c>
      <c r="X119" s="6" t="n">
        <v>0</v>
      </c>
      <c r="Y119" s="5" t="n">
        <f aca="false">IF(X119="","",RANK(X119,X$2:X$151,0))</f>
        <v>65</v>
      </c>
      <c r="Z119" s="6" t="n">
        <v>0</v>
      </c>
      <c r="AA119" s="5" t="n">
        <f aca="false">IF(Z119="","",RANK(Z119,Z$2:Z$151,0))</f>
        <v>53</v>
      </c>
      <c r="AB119" s="6" t="n">
        <v>1</v>
      </c>
      <c r="AC119" s="5" t="n">
        <f aca="false">IF(AB119="","",RANK(AB119,AB$2:AB$151,0))</f>
        <v>106</v>
      </c>
      <c r="AD119" s="6" t="n">
        <f aca="false">IF(K119="","",K119-YEAR(H119))</f>
        <v>33</v>
      </c>
      <c r="AE119" s="5" t="n">
        <f aca="false">IF(AD119="","",RANK(AD119,AD$2:AD$151,0))</f>
        <v>4</v>
      </c>
      <c r="AF119" s="7" t="n">
        <v>150</v>
      </c>
      <c r="AG119" s="5" t="n">
        <f aca="false">IF(AF119="","",RANK(AF119,AF$2:AF$151,0))</f>
        <v>56</v>
      </c>
      <c r="AH119" s="7" t="n">
        <v>100</v>
      </c>
      <c r="AI119" s="5" t="n">
        <f aca="false">IF(AH119="","",RANK(AH119,AH$2:AH$151,0))</f>
        <v>61</v>
      </c>
      <c r="AJ119" s="4" t="n">
        <v>1.8</v>
      </c>
      <c r="AK119" s="5" t="n">
        <f aca="false">IF(AJ119="","",RANK(AJ119,AJ$2:AJ$151,0))</f>
        <v>103</v>
      </c>
      <c r="AL119" s="6" t="n">
        <v>2</v>
      </c>
      <c r="AM119" s="5" t="n">
        <f aca="false">IF(AL119="","",RANK(AL119,AL$2:AL$151,0))</f>
        <v>49</v>
      </c>
      <c r="AN119" s="6" t="n">
        <v>0</v>
      </c>
      <c r="AO119" s="5" t="n">
        <f aca="false">IF(AN119="","",RANK(AN119,AN$2:AN$151,0))</f>
        <v>22</v>
      </c>
    </row>
    <row r="120" customFormat="false" ht="15" hidden="false" customHeight="false" outlineLevel="0" collapsed="false">
      <c r="A120" s="2" t="n">
        <v>119</v>
      </c>
      <c r="B120" s="2" t="s">
        <v>282</v>
      </c>
      <c r="C120" s="2" t="s">
        <v>276</v>
      </c>
      <c r="D120" s="2" t="s">
        <v>251</v>
      </c>
      <c r="E120" s="2" t="s">
        <v>30</v>
      </c>
      <c r="F120" s="2" t="s">
        <v>31</v>
      </c>
      <c r="G120" s="2" t="s">
        <v>283</v>
      </c>
      <c r="H120" s="3" t="n">
        <v>31996</v>
      </c>
      <c r="I120" s="2" t="n">
        <v>2005</v>
      </c>
      <c r="J120" s="2"/>
      <c r="K120" s="2" t="n">
        <v>2009</v>
      </c>
      <c r="L120" s="4" t="n">
        <f aca="false">ROUND((DATE(2026,9,1)-H120)/365.25,1)</f>
        <v>39.1</v>
      </c>
      <c r="M120" s="5" t="n">
        <f aca="false">IF(L120="","",RANK(L120,L$2:L$151,0))</f>
        <v>71</v>
      </c>
      <c r="N120" s="6" t="n">
        <v>180</v>
      </c>
      <c r="O120" s="5" t="n">
        <f aca="false">IF(N120="","",RANK(N120,N$2:N$151,0))</f>
        <v>83</v>
      </c>
      <c r="P120" s="6" t="n">
        <v>91</v>
      </c>
      <c r="Q120" s="5" t="n">
        <f aca="false">IF(P120="","",RANK(P120,P$2:P$151,0))</f>
        <v>38</v>
      </c>
      <c r="R120" s="6" t="n">
        <f aca="false">I120-YEAR(H120)</f>
        <v>18</v>
      </c>
      <c r="S120" s="5" t="n">
        <f aca="false">IF(R120="","",RANK(R120,R$2:R$151,0))</f>
        <v>56</v>
      </c>
      <c r="T120" s="6" t="n">
        <f aca="false">IF(J120="",2026,J120)-I120</f>
        <v>21</v>
      </c>
      <c r="U120" s="5" t="n">
        <f aca="false">IF(T120="","",RANK(T120,T$2:T$151,0))</f>
        <v>33</v>
      </c>
      <c r="V120" s="6" t="n">
        <v>3</v>
      </c>
      <c r="W120" s="5" t="n">
        <f aca="false">IF(V120="","",RANK(V120,V$2:V$151,0))</f>
        <v>22</v>
      </c>
      <c r="X120" s="6" t="n">
        <v>3</v>
      </c>
      <c r="Y120" s="5" t="n">
        <f aca="false">IF(X120="","",RANK(X120,X$2:X$151,0))</f>
        <v>23</v>
      </c>
      <c r="Z120" s="6" t="n">
        <v>2</v>
      </c>
      <c r="AA120" s="5" t="n">
        <f aca="false">IF(Z120="","",RANK(Z120,Z$2:Z$151,0))</f>
        <v>21</v>
      </c>
      <c r="AB120" s="6" t="n">
        <v>3</v>
      </c>
      <c r="AC120" s="5" t="n">
        <f aca="false">IF(AB120="","",RANK(AB120,AB$2:AB$151,0))</f>
        <v>69</v>
      </c>
      <c r="AD120" s="6" t="n">
        <f aca="false">IF(K120="","",K120-YEAR(H120))</f>
        <v>22</v>
      </c>
      <c r="AE120" s="5" t="n">
        <f aca="false">IF(AD120="","",RANK(AD120,AD$2:AD$151,0))</f>
        <v>71</v>
      </c>
      <c r="AF120" s="7" t="n">
        <v>150</v>
      </c>
      <c r="AG120" s="5" t="n">
        <f aca="false">IF(AF120="","",RANK(AF120,AF$2:AF$151,0))</f>
        <v>56</v>
      </c>
      <c r="AH120" s="7" t="n">
        <v>100</v>
      </c>
      <c r="AI120" s="5" t="n">
        <f aca="false">IF(AH120="","",RANK(AH120,AH$2:AH$151,0))</f>
        <v>61</v>
      </c>
      <c r="AJ120" s="4"/>
      <c r="AK120" s="5" t="str">
        <f aca="false">IF(AJ120="","",RANK(AJ120,AJ$2:AJ$151,0))</f>
        <v/>
      </c>
      <c r="AL120" s="6" t="n">
        <v>0</v>
      </c>
      <c r="AM120" s="5" t="n">
        <f aca="false">IF(AL120="","",RANK(AL120,AL$2:AL$151,0))</f>
        <v>95</v>
      </c>
      <c r="AN120" s="6" t="n">
        <v>0</v>
      </c>
      <c r="AO120" s="5" t="n">
        <f aca="false">IF(AN120="","",RANK(AN120,AN$2:AN$151,0))</f>
        <v>22</v>
      </c>
    </row>
    <row r="121" customFormat="false" ht="15" hidden="false" customHeight="false" outlineLevel="0" collapsed="false">
      <c r="A121" s="2" t="n">
        <v>120</v>
      </c>
      <c r="B121" s="2" t="s">
        <v>284</v>
      </c>
      <c r="C121" s="2" t="s">
        <v>276</v>
      </c>
      <c r="D121" s="2" t="s">
        <v>251</v>
      </c>
      <c r="E121" s="2" t="s">
        <v>30</v>
      </c>
      <c r="F121" s="2" t="s">
        <v>31</v>
      </c>
      <c r="G121" s="2" t="s">
        <v>285</v>
      </c>
      <c r="H121" s="3" t="n">
        <v>35443</v>
      </c>
      <c r="I121" s="2" t="n">
        <v>2015</v>
      </c>
      <c r="J121" s="2"/>
      <c r="K121" s="2"/>
      <c r="L121" s="4" t="n">
        <f aca="false">ROUND((DATE(2026,9,1)-H121)/365.25,1)</f>
        <v>29.6</v>
      </c>
      <c r="M121" s="5" t="n">
        <f aca="false">IF(L121="","",RANK(L121,L$2:L$151,0))</f>
        <v>115</v>
      </c>
      <c r="N121" s="6" t="n">
        <v>185</v>
      </c>
      <c r="O121" s="5" t="n">
        <f aca="false">IF(N121="","",RANK(N121,N$2:N$151,0))</f>
        <v>54</v>
      </c>
      <c r="P121" s="6" t="n">
        <v>88</v>
      </c>
      <c r="Q121" s="5" t="n">
        <f aca="false">IF(P121="","",RANK(P121,P$2:P$151,0))</f>
        <v>42</v>
      </c>
      <c r="R121" s="6" t="n">
        <f aca="false">I121-YEAR(H121)</f>
        <v>18</v>
      </c>
      <c r="S121" s="5" t="n">
        <f aca="false">IF(R121="","",RANK(R121,R$2:R$151,0))</f>
        <v>56</v>
      </c>
      <c r="T121" s="6" t="n">
        <f aca="false">IF(J121="",2026,J121)-I121</f>
        <v>11</v>
      </c>
      <c r="U121" s="5" t="n">
        <f aca="false">IF(T121="","",RANK(T121,T$2:T$151,0))</f>
        <v>110</v>
      </c>
      <c r="V121" s="6" t="n">
        <v>1</v>
      </c>
      <c r="W121" s="5" t="n">
        <f aca="false">IF(V121="","",RANK(V121,V$2:V$151,0))</f>
        <v>54</v>
      </c>
      <c r="X121" s="6" t="n">
        <v>1</v>
      </c>
      <c r="Y121" s="5" t="n">
        <f aca="false">IF(X121="","",RANK(X121,X$2:X$151,0))</f>
        <v>45</v>
      </c>
      <c r="Z121" s="6" t="n">
        <v>0</v>
      </c>
      <c r="AA121" s="5" t="n">
        <f aca="false">IF(Z121="","",RANK(Z121,Z$2:Z$151,0))</f>
        <v>53</v>
      </c>
      <c r="AB121" s="6" t="n">
        <v>0</v>
      </c>
      <c r="AC121" s="5" t="n">
        <f aca="false">IF(AB121="","",RANK(AB121,AB$2:AB$151,0))</f>
        <v>135</v>
      </c>
      <c r="AD121" s="6" t="str">
        <f aca="false">IF(K121="","",K121-YEAR(H121))</f>
        <v/>
      </c>
      <c r="AE121" s="5" t="str">
        <f aca="false">IF(AD121="","",RANK(AD121,AD$2:AD$151,0))</f>
        <v/>
      </c>
      <c r="AF121" s="7" t="n">
        <v>120</v>
      </c>
      <c r="AG121" s="5" t="n">
        <f aca="false">IF(AF121="","",RANK(AF121,AF$2:AF$151,0))</f>
        <v>69</v>
      </c>
      <c r="AH121" s="7" t="n">
        <v>60</v>
      </c>
      <c r="AI121" s="5" t="n">
        <f aca="false">IF(AH121="","",RANK(AH121,AH$2:AH$151,0))</f>
        <v>85</v>
      </c>
      <c r="AJ121" s="4" t="n">
        <v>1.2</v>
      </c>
      <c r="AK121" s="5" t="n">
        <f aca="false">IF(AJ121="","",RANK(AJ121,AJ$2:AJ$151,0))</f>
        <v>114</v>
      </c>
      <c r="AL121" s="6" t="n">
        <v>0</v>
      </c>
      <c r="AM121" s="5" t="n">
        <f aca="false">IF(AL121="","",RANK(AL121,AL$2:AL$151,0))</f>
        <v>95</v>
      </c>
      <c r="AN121" s="6" t="n">
        <v>0</v>
      </c>
      <c r="AO121" s="5" t="n">
        <f aca="false">IF(AN121="","",RANK(AN121,AN$2:AN$151,0))</f>
        <v>22</v>
      </c>
    </row>
    <row r="122" customFormat="false" ht="15" hidden="false" customHeight="false" outlineLevel="0" collapsed="false">
      <c r="A122" s="2" t="n">
        <v>121</v>
      </c>
      <c r="B122" s="2" t="s">
        <v>286</v>
      </c>
      <c r="C122" s="2" t="s">
        <v>276</v>
      </c>
      <c r="D122" s="2" t="s">
        <v>108</v>
      </c>
      <c r="E122" s="2" t="s">
        <v>30</v>
      </c>
      <c r="F122" s="2" t="s">
        <v>31</v>
      </c>
      <c r="G122" s="2" t="s">
        <v>41</v>
      </c>
      <c r="H122" s="3" t="n">
        <v>35690</v>
      </c>
      <c r="I122" s="2" t="n">
        <v>2015</v>
      </c>
      <c r="J122" s="2"/>
      <c r="K122" s="2"/>
      <c r="L122" s="4" t="n">
        <f aca="false">ROUND((DATE(2026,9,1)-H122)/365.25,1)</f>
        <v>29</v>
      </c>
      <c r="M122" s="5" t="n">
        <f aca="false">IF(L122="","",RANK(L122,L$2:L$151,0))</f>
        <v>120</v>
      </c>
      <c r="N122" s="6" t="n">
        <v>191</v>
      </c>
      <c r="O122" s="5" t="n">
        <f aca="false">IF(N122="","",RANK(N122,N$2:N$151,0))</f>
        <v>30</v>
      </c>
      <c r="P122" s="6" t="n">
        <v>98</v>
      </c>
      <c r="Q122" s="5" t="n">
        <f aca="false">IF(P122="","",RANK(P122,P$2:P$151,0))</f>
        <v>27</v>
      </c>
      <c r="R122" s="6" t="n">
        <f aca="false">I122-YEAR(H122)</f>
        <v>18</v>
      </c>
      <c r="S122" s="5" t="n">
        <f aca="false">IF(R122="","",RANK(R122,R$2:R$151,0))</f>
        <v>56</v>
      </c>
      <c r="T122" s="6" t="n">
        <f aca="false">IF(J122="",2026,J122)-I122</f>
        <v>11</v>
      </c>
      <c r="U122" s="5" t="n">
        <f aca="false">IF(T122="","",RANK(T122,T$2:T$151,0))</f>
        <v>110</v>
      </c>
      <c r="V122" s="6" t="n">
        <v>1</v>
      </c>
      <c r="W122" s="5" t="n">
        <f aca="false">IF(V122="","",RANK(V122,V$2:V$151,0))</f>
        <v>54</v>
      </c>
      <c r="X122" s="6" t="n">
        <v>1</v>
      </c>
      <c r="Y122" s="5" t="n">
        <f aca="false">IF(X122="","",RANK(X122,X$2:X$151,0))</f>
        <v>45</v>
      </c>
      <c r="Z122" s="6" t="n">
        <v>1</v>
      </c>
      <c r="AA122" s="5" t="n">
        <f aca="false">IF(Z122="","",RANK(Z122,Z$2:Z$151,0))</f>
        <v>32</v>
      </c>
      <c r="AB122" s="6" t="n">
        <v>0</v>
      </c>
      <c r="AC122" s="5" t="n">
        <f aca="false">IF(AB122="","",RANK(AB122,AB$2:AB$151,0))</f>
        <v>135</v>
      </c>
      <c r="AD122" s="6" t="str">
        <f aca="false">IF(K122="","",K122-YEAR(H122))</f>
        <v/>
      </c>
      <c r="AE122" s="5" t="str">
        <f aca="false">IF(AD122="","",RANK(AD122,AD$2:AD$151,0))</f>
        <v/>
      </c>
      <c r="AF122" s="7" t="n">
        <v>110</v>
      </c>
      <c r="AG122" s="5" t="n">
        <f aca="false">IF(AF122="","",RANK(AF122,AF$2:AF$151,0))</f>
        <v>72</v>
      </c>
      <c r="AH122" s="7" t="n">
        <v>50</v>
      </c>
      <c r="AI122" s="5" t="n">
        <f aca="false">IF(AH122="","",RANK(AH122,AH$2:AH$151,0))</f>
        <v>97</v>
      </c>
      <c r="AJ122" s="4" t="n">
        <v>0.8</v>
      </c>
      <c r="AK122" s="5" t="n">
        <f aca="false">IF(AJ122="","",RANK(AJ122,AJ$2:AJ$151,0))</f>
        <v>122</v>
      </c>
      <c r="AL122" s="6" t="n">
        <v>0</v>
      </c>
      <c r="AM122" s="5" t="n">
        <f aca="false">IF(AL122="","",RANK(AL122,AL$2:AL$151,0))</f>
        <v>95</v>
      </c>
      <c r="AN122" s="6" t="n">
        <v>0</v>
      </c>
      <c r="AO122" s="5" t="n">
        <f aca="false">IF(AN122="","",RANK(AN122,AN$2:AN$151,0))</f>
        <v>22</v>
      </c>
    </row>
    <row r="123" customFormat="false" ht="15" hidden="false" customHeight="false" outlineLevel="0" collapsed="false">
      <c r="A123" s="2" t="n">
        <v>122</v>
      </c>
      <c r="B123" s="2" t="s">
        <v>287</v>
      </c>
      <c r="C123" s="2" t="s">
        <v>288</v>
      </c>
      <c r="D123" s="2" t="s">
        <v>172</v>
      </c>
      <c r="E123" s="2" t="s">
        <v>30</v>
      </c>
      <c r="F123" s="2" t="s">
        <v>31</v>
      </c>
      <c r="G123" s="2" t="s">
        <v>289</v>
      </c>
      <c r="H123" s="3" t="n">
        <v>34520</v>
      </c>
      <c r="I123" s="2" t="n">
        <v>2013</v>
      </c>
      <c r="J123" s="2"/>
      <c r="K123" s="2" t="n">
        <v>2024</v>
      </c>
      <c r="L123" s="4" t="n">
        <f aca="false">ROUND((DATE(2026,9,1)-H123)/365.25,1)</f>
        <v>32.2</v>
      </c>
      <c r="M123" s="5" t="n">
        <f aca="false">IF(L123="","",RANK(L123,L$2:L$151,0))</f>
        <v>103</v>
      </c>
      <c r="N123" s="6" t="n">
        <v>193</v>
      </c>
      <c r="O123" s="5" t="n">
        <f aca="false">IF(N123="","",RANK(N123,N$2:N$151,0))</f>
        <v>23</v>
      </c>
      <c r="P123" s="6" t="n">
        <v>95</v>
      </c>
      <c r="Q123" s="5" t="n">
        <f aca="false">IF(P123="","",RANK(P123,P$2:P$151,0))</f>
        <v>29</v>
      </c>
      <c r="R123" s="6" t="n">
        <f aca="false">I123-YEAR(H123)</f>
        <v>19</v>
      </c>
      <c r="S123" s="5" t="n">
        <f aca="false">IF(R123="","",RANK(R123,R$2:R$151,0))</f>
        <v>43</v>
      </c>
      <c r="T123" s="6" t="n">
        <f aca="false">IF(J123="",2026,J123)-I123</f>
        <v>13</v>
      </c>
      <c r="U123" s="5" t="n">
        <f aca="false">IF(T123="","",RANK(T123,T$2:T$151,0))</f>
        <v>99</v>
      </c>
      <c r="V123" s="6" t="n">
        <v>0</v>
      </c>
      <c r="W123" s="5" t="n">
        <f aca="false">IF(V123="","",RANK(V123,V$2:V$151,0))</f>
        <v>82</v>
      </c>
      <c r="X123" s="6" t="n">
        <v>0</v>
      </c>
      <c r="Y123" s="5" t="n">
        <f aca="false">IF(X123="","",RANK(X123,X$2:X$151,0))</f>
        <v>65</v>
      </c>
      <c r="Z123" s="6" t="n">
        <v>0</v>
      </c>
      <c r="AA123" s="5" t="n">
        <f aca="false">IF(Z123="","",RANK(Z123,Z$2:Z$151,0))</f>
        <v>53</v>
      </c>
      <c r="AB123" s="6" t="n">
        <v>2</v>
      </c>
      <c r="AC123" s="5" t="n">
        <f aca="false">IF(AB123="","",RANK(AB123,AB$2:AB$151,0))</f>
        <v>85</v>
      </c>
      <c r="AD123" s="6" t="n">
        <f aca="false">IF(K123="","",K123-YEAR(H123))</f>
        <v>30</v>
      </c>
      <c r="AE123" s="5" t="n">
        <f aca="false">IF(AD123="","",RANK(AD123,AD$2:AD$151,0))</f>
        <v>10</v>
      </c>
      <c r="AF123" s="7" t="n">
        <v>150</v>
      </c>
      <c r="AG123" s="5" t="n">
        <f aca="false">IF(AF123="","",RANK(AF123,AF$2:AF$151,0))</f>
        <v>56</v>
      </c>
      <c r="AH123" s="7" t="n">
        <v>200</v>
      </c>
      <c r="AI123" s="5" t="n">
        <f aca="false">IF(AH123="","",RANK(AH123,AH$2:AH$151,0))</f>
        <v>29</v>
      </c>
      <c r="AJ123" s="4" t="n">
        <v>9</v>
      </c>
      <c r="AK123" s="5" t="n">
        <f aca="false">IF(AJ123="","",RANK(AJ123,AJ$2:AJ$151,0))</f>
        <v>64</v>
      </c>
      <c r="AL123" s="6" t="n">
        <v>1</v>
      </c>
      <c r="AM123" s="5" t="n">
        <f aca="false">IF(AL123="","",RANK(AL123,AL$2:AL$151,0))</f>
        <v>77</v>
      </c>
      <c r="AN123" s="6" t="n">
        <v>0</v>
      </c>
      <c r="AO123" s="5" t="n">
        <f aca="false">IF(AN123="","",RANK(AN123,AN$2:AN$151,0))</f>
        <v>22</v>
      </c>
    </row>
    <row r="124" customFormat="false" ht="15" hidden="false" customHeight="false" outlineLevel="0" collapsed="false">
      <c r="A124" s="2" t="n">
        <v>123</v>
      </c>
      <c r="B124" s="2" t="s">
        <v>290</v>
      </c>
      <c r="C124" s="2" t="s">
        <v>288</v>
      </c>
      <c r="D124" s="2" t="s">
        <v>108</v>
      </c>
      <c r="E124" s="2" t="s">
        <v>30</v>
      </c>
      <c r="F124" s="2" t="s">
        <v>31</v>
      </c>
      <c r="G124" s="2" t="s">
        <v>291</v>
      </c>
      <c r="H124" s="3" t="n">
        <v>33720</v>
      </c>
      <c r="I124" s="2" t="n">
        <v>2016</v>
      </c>
      <c r="J124" s="2"/>
      <c r="K124" s="2"/>
      <c r="L124" s="4" t="n">
        <f aca="false">ROUND((DATE(2026,9,1)-H124)/365.25,1)</f>
        <v>34.3</v>
      </c>
      <c r="M124" s="5" t="n">
        <f aca="false">IF(L124="","",RANK(L124,L$2:L$151,0))</f>
        <v>92</v>
      </c>
      <c r="N124" s="6" t="n">
        <v>201</v>
      </c>
      <c r="O124" s="5" t="n">
        <f aca="false">IF(N124="","",RANK(N124,N$2:N$151,0))</f>
        <v>11</v>
      </c>
      <c r="P124" s="6" t="n">
        <v>128</v>
      </c>
      <c r="Q124" s="5" t="n">
        <f aca="false">IF(P124="","",RANK(P124,P$2:P$151,0))</f>
        <v>4</v>
      </c>
      <c r="R124" s="6" t="n">
        <f aca="false">I124-YEAR(H124)</f>
        <v>24</v>
      </c>
      <c r="S124" s="5" t="n">
        <f aca="false">IF(R124="","",RANK(R124,R$2:R$151,0))</f>
        <v>1</v>
      </c>
      <c r="T124" s="6" t="n">
        <f aca="false">IF(J124="",2026,J124)-I124</f>
        <v>10</v>
      </c>
      <c r="U124" s="5" t="n">
        <f aca="false">IF(T124="","",RANK(T124,T$2:T$151,0))</f>
        <v>117</v>
      </c>
      <c r="V124" s="6" t="n">
        <v>0</v>
      </c>
      <c r="W124" s="5" t="n">
        <f aca="false">IF(V124="","",RANK(V124,V$2:V$151,0))</f>
        <v>82</v>
      </c>
      <c r="X124" s="6" t="n">
        <v>0</v>
      </c>
      <c r="Y124" s="5" t="n">
        <f aca="false">IF(X124="","",RANK(X124,X$2:X$151,0))</f>
        <v>65</v>
      </c>
      <c r="Z124" s="6" t="n">
        <v>0</v>
      </c>
      <c r="AA124" s="5" t="n">
        <f aca="false">IF(Z124="","",RANK(Z124,Z$2:Z$151,0))</f>
        <v>53</v>
      </c>
      <c r="AB124" s="6" t="n">
        <v>0</v>
      </c>
      <c r="AC124" s="5" t="n">
        <f aca="false">IF(AB124="","",RANK(AB124,AB$2:AB$151,0))</f>
        <v>135</v>
      </c>
      <c r="AD124" s="6" t="str">
        <f aca="false">IF(K124="","",K124-YEAR(H124))</f>
        <v/>
      </c>
      <c r="AE124" s="5" t="str">
        <f aca="false">IF(AD124="","",RANK(AD124,AD$2:AD$151,0))</f>
        <v/>
      </c>
      <c r="AF124" s="7" t="n">
        <v>200</v>
      </c>
      <c r="AG124" s="5" t="n">
        <f aca="false">IF(AF124="","",RANK(AF124,AF$2:AF$151,0))</f>
        <v>44</v>
      </c>
      <c r="AH124" s="7" t="n">
        <v>100</v>
      </c>
      <c r="AI124" s="5" t="n">
        <f aca="false">IF(AH124="","",RANK(AH124,AH$2:AH$151,0))</f>
        <v>61</v>
      </c>
      <c r="AJ124" s="4" t="n">
        <v>2</v>
      </c>
      <c r="AK124" s="5" t="n">
        <f aca="false">IF(AJ124="","",RANK(AJ124,AJ$2:AJ$151,0))</f>
        <v>94</v>
      </c>
      <c r="AL124" s="6" t="n">
        <v>1</v>
      </c>
      <c r="AM124" s="5" t="n">
        <f aca="false">IF(AL124="","",RANK(AL124,AL$2:AL$151,0))</f>
        <v>77</v>
      </c>
      <c r="AN124" s="6" t="n">
        <v>0</v>
      </c>
      <c r="AO124" s="5" t="n">
        <f aca="false">IF(AN124="","",RANK(AN124,AN$2:AN$151,0))</f>
        <v>22</v>
      </c>
    </row>
    <row r="125" customFormat="false" ht="15" hidden="false" customHeight="false" outlineLevel="0" collapsed="false">
      <c r="A125" s="2" t="n">
        <v>124</v>
      </c>
      <c r="B125" s="2" t="s">
        <v>292</v>
      </c>
      <c r="C125" s="2" t="s">
        <v>288</v>
      </c>
      <c r="D125" s="2" t="s">
        <v>108</v>
      </c>
      <c r="E125" s="2" t="s">
        <v>30</v>
      </c>
      <c r="F125" s="2" t="s">
        <v>67</v>
      </c>
      <c r="G125" s="2" t="s">
        <v>293</v>
      </c>
      <c r="H125" s="3" t="n">
        <v>27206</v>
      </c>
      <c r="I125" s="2" t="n">
        <v>1995</v>
      </c>
      <c r="J125" s="2" t="n">
        <v>2014</v>
      </c>
      <c r="K125" s="2" t="n">
        <v>1996</v>
      </c>
      <c r="L125" s="4" t="n">
        <f aca="false">ROUND((DATE(2026,9,1)-H125)/365.25,1)</f>
        <v>52.2</v>
      </c>
      <c r="M125" s="5" t="n">
        <f aca="false">IF(L125="","",RANK(L125,L$2:L$151,0))</f>
        <v>17</v>
      </c>
      <c r="N125" s="6" t="n">
        <v>191</v>
      </c>
      <c r="O125" s="5" t="n">
        <f aca="false">IF(N125="","",RANK(N125,N$2:N$151,0))</f>
        <v>30</v>
      </c>
      <c r="P125" s="6" t="n">
        <v>88</v>
      </c>
      <c r="Q125" s="5" t="n">
        <f aca="false">IF(P125="","",RANK(P125,P$2:P$151,0))</f>
        <v>42</v>
      </c>
      <c r="R125" s="6" t="n">
        <f aca="false">I125-YEAR(H125)</f>
        <v>21</v>
      </c>
      <c r="S125" s="5" t="n">
        <f aca="false">IF(R125="","",RANK(R125,R$2:R$151,0))</f>
        <v>23</v>
      </c>
      <c r="T125" s="6" t="n">
        <f aca="false">IF(J125="",2026,J125)-I125</f>
        <v>19</v>
      </c>
      <c r="U125" s="5" t="n">
        <f aca="false">IF(T125="","",RANK(T125,T$2:T$151,0))</f>
        <v>51</v>
      </c>
      <c r="V125" s="6" t="n">
        <v>0</v>
      </c>
      <c r="W125" s="5" t="n">
        <f aca="false">IF(V125="","",RANK(V125,V$2:V$151,0))</f>
        <v>82</v>
      </c>
      <c r="X125" s="6" t="n">
        <v>0</v>
      </c>
      <c r="Y125" s="5" t="n">
        <f aca="false">IF(X125="","",RANK(X125,X$2:X$151,0))</f>
        <v>65</v>
      </c>
      <c r="Z125" s="6" t="n">
        <v>0</v>
      </c>
      <c r="AA125" s="5" t="n">
        <f aca="false">IF(Z125="","",RANK(Z125,Z$2:Z$151,0))</f>
        <v>53</v>
      </c>
      <c r="AB125" s="6" t="n">
        <v>5</v>
      </c>
      <c r="AC125" s="5" t="n">
        <f aca="false">IF(AB125="","",RANK(AB125,AB$2:AB$151,0))</f>
        <v>39</v>
      </c>
      <c r="AD125" s="6" t="n">
        <f aca="false">IF(K125="","",K125-YEAR(H125))</f>
        <v>22</v>
      </c>
      <c r="AE125" s="5" t="n">
        <f aca="false">IF(AD125="","",RANK(AD125,AD$2:AD$151,0))</f>
        <v>71</v>
      </c>
      <c r="AF125" s="7" t="n">
        <v>265</v>
      </c>
      <c r="AG125" s="5" t="n">
        <f aca="false">IF(AF125="","",RANK(AF125,AF$2:AF$151,0))</f>
        <v>32</v>
      </c>
      <c r="AH125" s="7" t="n">
        <v>200</v>
      </c>
      <c r="AI125" s="5" t="n">
        <f aca="false">IF(AH125="","",RANK(AH125,AH$2:AH$151,0))</f>
        <v>29</v>
      </c>
      <c r="AJ125" s="4" t="n">
        <v>1</v>
      </c>
      <c r="AK125" s="5" t="n">
        <f aca="false">IF(AJ125="","",RANK(AJ125,AJ$2:AJ$151,0))</f>
        <v>117</v>
      </c>
      <c r="AL125" s="6" t="n">
        <v>4</v>
      </c>
      <c r="AM125" s="5" t="n">
        <f aca="false">IF(AL125="","",RANK(AL125,AL$2:AL$151,0))</f>
        <v>12</v>
      </c>
      <c r="AN125" s="6" t="n">
        <v>0</v>
      </c>
      <c r="AO125" s="5" t="n">
        <f aca="false">IF(AN125="","",RANK(AN125,AN$2:AN$151,0))</f>
        <v>22</v>
      </c>
    </row>
    <row r="126" customFormat="false" ht="15" hidden="false" customHeight="false" outlineLevel="0" collapsed="false">
      <c r="A126" s="2" t="n">
        <v>125</v>
      </c>
      <c r="B126" s="2" t="s">
        <v>294</v>
      </c>
      <c r="C126" s="2" t="s">
        <v>288</v>
      </c>
      <c r="D126" s="2" t="s">
        <v>108</v>
      </c>
      <c r="E126" s="2" t="s">
        <v>30</v>
      </c>
      <c r="F126" s="2" t="s">
        <v>67</v>
      </c>
      <c r="G126" s="2" t="s">
        <v>41</v>
      </c>
      <c r="H126" s="3" t="n">
        <v>27602</v>
      </c>
      <c r="I126" s="2" t="n">
        <v>1994</v>
      </c>
      <c r="J126" s="2" t="n">
        <v>2016</v>
      </c>
      <c r="K126" s="2" t="n">
        <v>2009</v>
      </c>
      <c r="L126" s="4" t="n">
        <f aca="false">ROUND((DATE(2026,9,1)-H126)/365.25,1)</f>
        <v>51.1</v>
      </c>
      <c r="M126" s="5" t="n">
        <f aca="false">IF(L126="","",RANK(L126,L$2:L$151,0))</f>
        <v>19</v>
      </c>
      <c r="N126" s="6" t="n">
        <v>190</v>
      </c>
      <c r="O126" s="5" t="n">
        <f aca="false">IF(N126="","",RANK(N126,N$2:N$151,0))</f>
        <v>38</v>
      </c>
      <c r="P126" s="6" t="n">
        <v>104</v>
      </c>
      <c r="Q126" s="5" t="n">
        <f aca="false">IF(P126="","",RANK(P126,P$2:P$151,0))</f>
        <v>16</v>
      </c>
      <c r="R126" s="6" t="n">
        <f aca="false">I126-YEAR(H126)</f>
        <v>19</v>
      </c>
      <c r="S126" s="5" t="n">
        <f aca="false">IF(R126="","",RANK(R126,R$2:R$151,0))</f>
        <v>43</v>
      </c>
      <c r="T126" s="6" t="n">
        <f aca="false">IF(J126="",2026,J126)-I126</f>
        <v>22</v>
      </c>
      <c r="U126" s="5" t="n">
        <f aca="false">IF(T126="","",RANK(T126,T$2:T$151,0))</f>
        <v>25</v>
      </c>
      <c r="V126" s="6" t="n">
        <v>0</v>
      </c>
      <c r="W126" s="5" t="n">
        <f aca="false">IF(V126="","",RANK(V126,V$2:V$151,0))</f>
        <v>82</v>
      </c>
      <c r="X126" s="6" t="n">
        <v>0</v>
      </c>
      <c r="Y126" s="5" t="n">
        <f aca="false">IF(X126="","",RANK(X126,X$2:X$151,0))</f>
        <v>65</v>
      </c>
      <c r="Z126" s="6" t="n">
        <v>0</v>
      </c>
      <c r="AA126" s="5" t="n">
        <f aca="false">IF(Z126="","",RANK(Z126,Z$2:Z$151,0))</f>
        <v>53</v>
      </c>
      <c r="AB126" s="6" t="n">
        <v>1</v>
      </c>
      <c r="AC126" s="5" t="n">
        <f aca="false">IF(AB126="","",RANK(AB126,AB$2:AB$151,0))</f>
        <v>106</v>
      </c>
      <c r="AD126" s="6" t="n">
        <f aca="false">IF(K126="","",K126-YEAR(H126))</f>
        <v>34</v>
      </c>
      <c r="AE126" s="5" t="n">
        <f aca="false">IF(AD126="","",RANK(AD126,AD$2:AD$151,0))</f>
        <v>2</v>
      </c>
      <c r="AF126" s="7" t="n">
        <v>450</v>
      </c>
      <c r="AG126" s="5" t="n">
        <f aca="false">IF(AF126="","",RANK(AF126,AF$2:AF$151,0))</f>
        <v>12</v>
      </c>
      <c r="AH126" s="7" t="n">
        <v>350</v>
      </c>
      <c r="AI126" s="5" t="n">
        <f aca="false">IF(AH126="","",RANK(AH126,AH$2:AH$151,0))</f>
        <v>14</v>
      </c>
      <c r="AJ126" s="4" t="n">
        <v>4</v>
      </c>
      <c r="AK126" s="5" t="n">
        <f aca="false">IF(AJ126="","",RANK(AJ126,AJ$2:AJ$151,0))</f>
        <v>76</v>
      </c>
      <c r="AL126" s="6" t="n">
        <v>2</v>
      </c>
      <c r="AM126" s="5" t="n">
        <f aca="false">IF(AL126="","",RANK(AL126,AL$2:AL$151,0))</f>
        <v>49</v>
      </c>
      <c r="AN126" s="6" t="n">
        <v>0</v>
      </c>
      <c r="AO126" s="5" t="n">
        <f aca="false">IF(AN126="","",RANK(AN126,AN$2:AN$151,0))</f>
        <v>22</v>
      </c>
    </row>
    <row r="127" customFormat="false" ht="15" hidden="false" customHeight="false" outlineLevel="0" collapsed="false">
      <c r="A127" s="2" t="n">
        <v>126</v>
      </c>
      <c r="B127" s="2" t="s">
        <v>295</v>
      </c>
      <c r="C127" s="2" t="s">
        <v>296</v>
      </c>
      <c r="D127" s="2" t="s">
        <v>108</v>
      </c>
      <c r="E127" s="2" t="s">
        <v>30</v>
      </c>
      <c r="F127" s="2" t="s">
        <v>67</v>
      </c>
      <c r="G127" s="2" t="s">
        <v>41</v>
      </c>
      <c r="H127" s="3" t="n">
        <v>28180</v>
      </c>
      <c r="I127" s="2" t="n">
        <v>1996</v>
      </c>
      <c r="J127" s="2" t="n">
        <v>2017</v>
      </c>
      <c r="K127" s="2" t="n">
        <v>1998</v>
      </c>
      <c r="L127" s="4" t="n">
        <f aca="false">ROUND((DATE(2026,9,1)-H127)/365.25,1)</f>
        <v>49.5</v>
      </c>
      <c r="M127" s="5" t="n">
        <f aca="false">IF(L127="","",RANK(L127,L$2:L$151,0))</f>
        <v>23</v>
      </c>
      <c r="N127" s="6" t="n">
        <v>173</v>
      </c>
      <c r="O127" s="5" t="n">
        <f aca="false">IF(N127="","",RANK(N127,N$2:N$151,0))</f>
        <v>119</v>
      </c>
      <c r="P127" s="6" t="n">
        <v>68</v>
      </c>
      <c r="Q127" s="5" t="n">
        <f aca="false">IF(P127="","",RANK(P127,P$2:P$151,0))</f>
        <v>109</v>
      </c>
      <c r="R127" s="6" t="n">
        <f aca="false">I127-YEAR(H127)</f>
        <v>19</v>
      </c>
      <c r="S127" s="5" t="n">
        <f aca="false">IF(R127="","",RANK(R127,R$2:R$151,0))</f>
        <v>43</v>
      </c>
      <c r="T127" s="6" t="n">
        <f aca="false">IF(J127="",2026,J127)-I127</f>
        <v>21</v>
      </c>
      <c r="U127" s="5" t="n">
        <f aca="false">IF(T127="","",RANK(T127,T$2:T$151,0))</f>
        <v>33</v>
      </c>
      <c r="V127" s="6" t="n">
        <v>1</v>
      </c>
      <c r="W127" s="5" t="n">
        <f aca="false">IF(V127="","",RANK(V127,V$2:V$151,0))</f>
        <v>54</v>
      </c>
      <c r="X127" s="6" t="n">
        <v>1</v>
      </c>
      <c r="Y127" s="5" t="n">
        <f aca="false">IF(X127="","",RANK(X127,X$2:X$151,0))</f>
        <v>45</v>
      </c>
      <c r="Z127" s="6" t="n">
        <v>0</v>
      </c>
      <c r="AA127" s="5" t="n">
        <f aca="false">IF(Z127="","",RANK(Z127,Z$2:Z$151,0))</f>
        <v>53</v>
      </c>
      <c r="AB127" s="6" t="n">
        <v>5</v>
      </c>
      <c r="AC127" s="5" t="n">
        <f aca="false">IF(AB127="","",RANK(AB127,AB$2:AB$151,0))</f>
        <v>39</v>
      </c>
      <c r="AD127" s="6" t="n">
        <f aca="false">IF(K127="","",K127-YEAR(H127))</f>
        <v>21</v>
      </c>
      <c r="AE127" s="5" t="n">
        <f aca="false">IF(AD127="","",RANK(AD127,AD$2:AD$151,0))</f>
        <v>91</v>
      </c>
      <c r="AF127" s="7" t="n">
        <v>1000</v>
      </c>
      <c r="AG127" s="5" t="n">
        <f aca="false">IF(AF127="","",RANK(AF127,AF$2:AF$151,0))</f>
        <v>3</v>
      </c>
      <c r="AH127" s="7" t="n">
        <v>450</v>
      </c>
      <c r="AI127" s="5" t="n">
        <f aca="false">IF(AH127="","",RANK(AH127,AH$2:AH$151,0))</f>
        <v>11</v>
      </c>
      <c r="AJ127" s="4" t="n">
        <v>29</v>
      </c>
      <c r="AK127" s="5" t="n">
        <f aca="false">IF(AJ127="","",RANK(AJ127,AJ$2:AJ$151,0))</f>
        <v>33</v>
      </c>
      <c r="AL127" s="6" t="n">
        <v>5</v>
      </c>
      <c r="AM127" s="5" t="n">
        <f aca="false">IF(AL127="","",RANK(AL127,AL$2:AL$151,0))</f>
        <v>4</v>
      </c>
      <c r="AN127" s="6" t="n">
        <v>0</v>
      </c>
      <c r="AO127" s="5" t="n">
        <f aca="false">IF(AN127="","",RANK(AN127,AN$2:AN$151,0))</f>
        <v>22</v>
      </c>
    </row>
    <row r="128" customFormat="false" ht="15" hidden="false" customHeight="false" outlineLevel="0" collapsed="false">
      <c r="A128" s="2" t="n">
        <v>127</v>
      </c>
      <c r="B128" s="2" t="s">
        <v>297</v>
      </c>
      <c r="C128" s="2" t="s">
        <v>296</v>
      </c>
      <c r="D128" s="2" t="s">
        <v>298</v>
      </c>
      <c r="E128" s="2" t="s">
        <v>30</v>
      </c>
      <c r="F128" s="2" t="s">
        <v>31</v>
      </c>
      <c r="G128" s="2" t="s">
        <v>299</v>
      </c>
      <c r="H128" s="3" t="n">
        <v>28841</v>
      </c>
      <c r="I128" s="2" t="n">
        <v>1995</v>
      </c>
      <c r="J128" s="2"/>
      <c r="K128" s="2" t="n">
        <v>1998</v>
      </c>
      <c r="L128" s="4" t="n">
        <f aca="false">ROUND((DATE(2026,9,1)-H128)/365.25,1)</f>
        <v>47.7</v>
      </c>
      <c r="M128" s="5" t="n">
        <f aca="false">IF(L128="","",RANK(L128,L$2:L$151,0))</f>
        <v>28</v>
      </c>
      <c r="N128" s="6" t="n">
        <v>166</v>
      </c>
      <c r="O128" s="5" t="n">
        <f aca="false">IF(N128="","",RANK(N128,N$2:N$151,0))</f>
        <v>140</v>
      </c>
      <c r="P128" s="6" t="n">
        <v>66</v>
      </c>
      <c r="Q128" s="5" t="n">
        <f aca="false">IF(P128="","",RANK(P128,P$2:P$151,0))</f>
        <v>117</v>
      </c>
      <c r="R128" s="6" t="n">
        <f aca="false">I128-YEAR(H128)</f>
        <v>17</v>
      </c>
      <c r="S128" s="5" t="n">
        <f aca="false">IF(R128="","",RANK(R128,R$2:R$151,0))</f>
        <v>82</v>
      </c>
      <c r="T128" s="6" t="n">
        <f aca="false">IF(J128="",2026,J128)-I128</f>
        <v>31</v>
      </c>
      <c r="U128" s="5" t="n">
        <f aca="false">IF(T128="","",RANK(T128,T$2:T$151,0))</f>
        <v>5</v>
      </c>
      <c r="V128" s="6" t="n">
        <v>0</v>
      </c>
      <c r="W128" s="5" t="n">
        <f aca="false">IF(V128="","",RANK(V128,V$2:V$151,0))</f>
        <v>82</v>
      </c>
      <c r="X128" s="6" t="n">
        <v>0</v>
      </c>
      <c r="Y128" s="5" t="n">
        <f aca="false">IF(X128="","",RANK(X128,X$2:X$151,0))</f>
        <v>65</v>
      </c>
      <c r="Z128" s="6" t="n">
        <v>0</v>
      </c>
      <c r="AA128" s="5" t="n">
        <f aca="false">IF(Z128="","",RANK(Z128,Z$2:Z$151,0))</f>
        <v>53</v>
      </c>
      <c r="AB128" s="6" t="n">
        <v>8</v>
      </c>
      <c r="AC128" s="5" t="n">
        <f aca="false">IF(AB128="","",RANK(AB128,AB$2:AB$151,0))</f>
        <v>20</v>
      </c>
      <c r="AD128" s="6" t="n">
        <f aca="false">IF(K128="","",K128-YEAR(H128))</f>
        <v>20</v>
      </c>
      <c r="AE128" s="5" t="n">
        <f aca="false">IF(AD128="","",RANK(AD128,AD$2:AD$151,0))</f>
        <v>99</v>
      </c>
      <c r="AF128" s="7" t="n">
        <v>500</v>
      </c>
      <c r="AG128" s="5" t="n">
        <f aca="false">IF(AF128="","",RANK(AF128,AF$2:AF$151,0))</f>
        <v>7</v>
      </c>
      <c r="AH128" s="7" t="n">
        <v>200</v>
      </c>
      <c r="AI128" s="5" t="n">
        <f aca="false">IF(AH128="","",RANK(AH128,AH$2:AH$151,0))</f>
        <v>29</v>
      </c>
      <c r="AJ128" s="4" t="n">
        <v>5</v>
      </c>
      <c r="AK128" s="5" t="n">
        <f aca="false">IF(AJ128="","",RANK(AJ128,AJ$2:AJ$151,0))</f>
        <v>71</v>
      </c>
      <c r="AL128" s="6" t="n">
        <v>5</v>
      </c>
      <c r="AM128" s="5" t="n">
        <f aca="false">IF(AL128="","",RANK(AL128,AL$2:AL$151,0))</f>
        <v>4</v>
      </c>
      <c r="AN128" s="6" t="n">
        <v>0</v>
      </c>
      <c r="AO128" s="5" t="n">
        <f aca="false">IF(AN128="","",RANK(AN128,AN$2:AN$151,0))</f>
        <v>22</v>
      </c>
    </row>
    <row r="129" customFormat="false" ht="15" hidden="false" customHeight="false" outlineLevel="0" collapsed="false">
      <c r="A129" s="2" t="n">
        <v>128</v>
      </c>
      <c r="B129" s="2" t="s">
        <v>300</v>
      </c>
      <c r="C129" s="2" t="s">
        <v>296</v>
      </c>
      <c r="D129" s="2" t="s">
        <v>301</v>
      </c>
      <c r="E129" s="2" t="s">
        <v>30</v>
      </c>
      <c r="F129" s="2" t="s">
        <v>31</v>
      </c>
      <c r="G129" s="2" t="s">
        <v>302</v>
      </c>
      <c r="H129" s="3" t="n">
        <v>33072</v>
      </c>
      <c r="I129" s="2" t="n">
        <v>2005</v>
      </c>
      <c r="J129" s="2"/>
      <c r="K129" s="2" t="n">
        <v>2011</v>
      </c>
      <c r="L129" s="4" t="n">
        <f aca="false">ROUND((DATE(2026,9,1)-H129)/365.25,1)</f>
        <v>36.1</v>
      </c>
      <c r="M129" s="5" t="n">
        <f aca="false">IF(L129="","",RANK(L129,L$2:L$151,0))</f>
        <v>86</v>
      </c>
      <c r="N129" s="6" t="n">
        <v>173</v>
      </c>
      <c r="O129" s="5" t="n">
        <f aca="false">IF(N129="","",RANK(N129,N$2:N$151,0))</f>
        <v>119</v>
      </c>
      <c r="P129" s="6" t="n">
        <v>76</v>
      </c>
      <c r="Q129" s="5" t="n">
        <f aca="false">IF(P129="","",RANK(P129,P$2:P$151,0))</f>
        <v>75</v>
      </c>
      <c r="R129" s="6" t="n">
        <f aca="false">I129-YEAR(H129)</f>
        <v>15</v>
      </c>
      <c r="S129" s="5" t="n">
        <f aca="false">IF(R129="","",RANK(R129,R$2:R$151,0))</f>
        <v>130</v>
      </c>
      <c r="T129" s="6" t="n">
        <f aca="false">IF(J129="",2026,J129)-I129</f>
        <v>21</v>
      </c>
      <c r="U129" s="5" t="n">
        <f aca="false">IF(T129="","",RANK(T129,T$2:T$151,0))</f>
        <v>33</v>
      </c>
      <c r="V129" s="6" t="n">
        <v>0</v>
      </c>
      <c r="W129" s="5" t="n">
        <f aca="false">IF(V129="","",RANK(V129,V$2:V$151,0))</f>
        <v>82</v>
      </c>
      <c r="X129" s="6" t="n">
        <v>0</v>
      </c>
      <c r="Y129" s="5" t="n">
        <f aca="false">IF(X129="","",RANK(X129,X$2:X$151,0))</f>
        <v>65</v>
      </c>
      <c r="Z129" s="6" t="n">
        <v>0</v>
      </c>
      <c r="AA129" s="5" t="n">
        <f aca="false">IF(Z129="","",RANK(Z129,Z$2:Z$151,0))</f>
        <v>53</v>
      </c>
      <c r="AB129" s="6" t="n">
        <v>4</v>
      </c>
      <c r="AC129" s="5" t="n">
        <f aca="false">IF(AB129="","",RANK(AB129,AB$2:AB$151,0))</f>
        <v>52</v>
      </c>
      <c r="AD129" s="6" t="n">
        <f aca="false">IF(K129="","",K129-YEAR(H129))</f>
        <v>21</v>
      </c>
      <c r="AE129" s="5" t="n">
        <f aca="false">IF(AD129="","",RANK(AD129,AD$2:AD$151,0))</f>
        <v>91</v>
      </c>
      <c r="AF129" s="7" t="n">
        <v>500</v>
      </c>
      <c r="AG129" s="5" t="n">
        <f aca="false">IF(AF129="","",RANK(AF129,AF$2:AF$151,0))</f>
        <v>7</v>
      </c>
      <c r="AH129" s="7" t="n">
        <v>280</v>
      </c>
      <c r="AI129" s="5" t="n">
        <f aca="false">IF(AH129="","",RANK(AH129,AH$2:AH$151,0))</f>
        <v>20</v>
      </c>
      <c r="AJ129" s="4" t="n">
        <v>16</v>
      </c>
      <c r="AK129" s="5" t="n">
        <f aca="false">IF(AJ129="","",RANK(AJ129,AJ$2:AJ$151,0))</f>
        <v>42</v>
      </c>
      <c r="AL129" s="6" t="n">
        <v>5</v>
      </c>
      <c r="AM129" s="5" t="n">
        <f aca="false">IF(AL129="","",RANK(AL129,AL$2:AL$151,0))</f>
        <v>4</v>
      </c>
      <c r="AN129" s="6" t="n">
        <v>0</v>
      </c>
      <c r="AO129" s="5" t="n">
        <f aca="false">IF(AN129="","",RANK(AN129,AN$2:AN$151,0))</f>
        <v>22</v>
      </c>
    </row>
    <row r="130" customFormat="false" ht="15" hidden="false" customHeight="false" outlineLevel="0" collapsed="false">
      <c r="A130" s="2" t="n">
        <v>129</v>
      </c>
      <c r="B130" s="2" t="s">
        <v>303</v>
      </c>
      <c r="C130" s="2" t="s">
        <v>296</v>
      </c>
      <c r="D130" s="2" t="s">
        <v>158</v>
      </c>
      <c r="E130" s="2" t="s">
        <v>30</v>
      </c>
      <c r="F130" s="2" t="s">
        <v>67</v>
      </c>
      <c r="G130" s="2" t="s">
        <v>304</v>
      </c>
      <c r="H130" s="3" t="n">
        <v>32367</v>
      </c>
      <c r="I130" s="2" t="n">
        <v>2008</v>
      </c>
      <c r="J130" s="2" t="n">
        <v>2025</v>
      </c>
      <c r="K130" s="2" t="n">
        <v>2015</v>
      </c>
      <c r="L130" s="4" t="n">
        <f aca="false">ROUND((DATE(2026,9,1)-H130)/365.25,1)</f>
        <v>38.1</v>
      </c>
      <c r="M130" s="5" t="n">
        <f aca="false">IF(L130="","",RANK(L130,L$2:L$151,0))</f>
        <v>75</v>
      </c>
      <c r="N130" s="6" t="n">
        <v>206</v>
      </c>
      <c r="O130" s="5" t="n">
        <f aca="false">IF(N130="","",RANK(N130,N$2:N$151,0))</f>
        <v>8</v>
      </c>
      <c r="P130" s="6" t="n">
        <v>118</v>
      </c>
      <c r="Q130" s="5" t="n">
        <f aca="false">IF(P130="","",RANK(P130,P$2:P$151,0))</f>
        <v>5</v>
      </c>
      <c r="R130" s="6" t="n">
        <f aca="false">I130-YEAR(H130)</f>
        <v>20</v>
      </c>
      <c r="S130" s="5" t="n">
        <f aca="false">IF(R130="","",RANK(R130,R$2:R$151,0))</f>
        <v>33</v>
      </c>
      <c r="T130" s="6" t="n">
        <f aca="false">IF(J130="",2026,J130)-I130</f>
        <v>17</v>
      </c>
      <c r="U130" s="5" t="n">
        <f aca="false">IF(T130="","",RANK(T130,T$2:T$151,0))</f>
        <v>69</v>
      </c>
      <c r="V130" s="6" t="n">
        <v>0</v>
      </c>
      <c r="W130" s="5" t="n">
        <f aca="false">IF(V130="","",RANK(V130,V$2:V$151,0))</f>
        <v>82</v>
      </c>
      <c r="X130" s="6" t="n">
        <v>0</v>
      </c>
      <c r="Y130" s="5" t="n">
        <f aca="false">IF(X130="","",RANK(X130,X$2:X$151,0))</f>
        <v>65</v>
      </c>
      <c r="Z130" s="6" t="n">
        <v>0</v>
      </c>
      <c r="AA130" s="5" t="n">
        <f aca="false">IF(Z130="","",RANK(Z130,Z$2:Z$151,0))</f>
        <v>53</v>
      </c>
      <c r="AB130" s="6" t="n">
        <v>1</v>
      </c>
      <c r="AC130" s="5" t="n">
        <f aca="false">IF(AB130="","",RANK(AB130,AB$2:AB$151,0))</f>
        <v>106</v>
      </c>
      <c r="AD130" s="6" t="n">
        <f aca="false">IF(K130="","",K130-YEAR(H130))</f>
        <v>27</v>
      </c>
      <c r="AE130" s="5" t="n">
        <f aca="false">IF(AD130="","",RANK(AD130,AD$2:AD$151,0))</f>
        <v>27</v>
      </c>
      <c r="AF130" s="7" t="n">
        <v>300</v>
      </c>
      <c r="AG130" s="5" t="n">
        <f aca="false">IF(AF130="","",RANK(AF130,AF$2:AF$151,0))</f>
        <v>25</v>
      </c>
      <c r="AH130" s="7" t="n">
        <v>200</v>
      </c>
      <c r="AI130" s="5" t="n">
        <f aca="false">IF(AH130="","",RANK(AH130,AH$2:AH$151,0))</f>
        <v>29</v>
      </c>
      <c r="AJ130" s="4" t="n">
        <v>7</v>
      </c>
      <c r="AK130" s="5" t="n">
        <f aca="false">IF(AJ130="","",RANK(AJ130,AJ$2:AJ$151,0))</f>
        <v>66</v>
      </c>
      <c r="AL130" s="6" t="n">
        <v>7</v>
      </c>
      <c r="AM130" s="5" t="n">
        <f aca="false">IF(AL130="","",RANK(AL130,AL$2:AL$151,0))</f>
        <v>1</v>
      </c>
      <c r="AN130" s="6" t="n">
        <v>0</v>
      </c>
      <c r="AO130" s="5" t="n">
        <f aca="false">IF(AN130="","",RANK(AN130,AN$2:AN$151,0))</f>
        <v>22</v>
      </c>
    </row>
    <row r="131" customFormat="false" ht="15" hidden="false" customHeight="false" outlineLevel="0" collapsed="false">
      <c r="A131" s="2" t="n">
        <v>130</v>
      </c>
      <c r="B131" s="2" t="s">
        <v>305</v>
      </c>
      <c r="C131" s="2" t="s">
        <v>296</v>
      </c>
      <c r="D131" s="2" t="s">
        <v>158</v>
      </c>
      <c r="E131" s="2" t="s">
        <v>30</v>
      </c>
      <c r="F131" s="2" t="s">
        <v>31</v>
      </c>
      <c r="G131" s="2" t="s">
        <v>41</v>
      </c>
      <c r="H131" s="3" t="n">
        <v>32796</v>
      </c>
      <c r="I131" s="2" t="n">
        <v>2013</v>
      </c>
      <c r="J131" s="2"/>
      <c r="K131" s="2" t="n">
        <v>2016</v>
      </c>
      <c r="L131" s="4" t="n">
        <f aca="false">ROUND((DATE(2026,9,1)-H131)/365.25,1)</f>
        <v>36.9</v>
      </c>
      <c r="M131" s="5" t="n">
        <f aca="false">IF(L131="","",RANK(L131,L$2:L$151,0))</f>
        <v>83</v>
      </c>
      <c r="N131" s="6" t="n">
        <v>198</v>
      </c>
      <c r="O131" s="5" t="n">
        <f aca="false">IF(N131="","",RANK(N131,N$2:N$151,0))</f>
        <v>13</v>
      </c>
      <c r="P131" s="6" t="n">
        <v>113</v>
      </c>
      <c r="Q131" s="5" t="n">
        <f aca="false">IF(P131="","",RANK(P131,P$2:P$151,0))</f>
        <v>6</v>
      </c>
      <c r="R131" s="6" t="n">
        <f aca="false">I131-YEAR(H131)</f>
        <v>24</v>
      </c>
      <c r="S131" s="5" t="n">
        <f aca="false">IF(R131="","",RANK(R131,R$2:R$151,0))</f>
        <v>1</v>
      </c>
      <c r="T131" s="6" t="n">
        <f aca="false">IF(J131="",2026,J131)-I131</f>
        <v>13</v>
      </c>
      <c r="U131" s="5" t="n">
        <f aca="false">IF(T131="","",RANK(T131,T$2:T$151,0))</f>
        <v>99</v>
      </c>
      <c r="V131" s="6" t="n">
        <v>1</v>
      </c>
      <c r="W131" s="5" t="n">
        <f aca="false">IF(V131="","",RANK(V131,V$2:V$151,0))</f>
        <v>54</v>
      </c>
      <c r="X131" s="6" t="n">
        <v>1</v>
      </c>
      <c r="Y131" s="5" t="n">
        <f aca="false">IF(X131="","",RANK(X131,X$2:X$151,0))</f>
        <v>45</v>
      </c>
      <c r="Z131" s="6" t="n">
        <v>1</v>
      </c>
      <c r="AA131" s="5" t="n">
        <f aca="false">IF(Z131="","",RANK(Z131,Z$2:Z$151,0))</f>
        <v>32</v>
      </c>
      <c r="AB131" s="6" t="n">
        <v>1</v>
      </c>
      <c r="AC131" s="5" t="n">
        <f aca="false">IF(AB131="","",RANK(AB131,AB$2:AB$151,0))</f>
        <v>106</v>
      </c>
      <c r="AD131" s="6" t="n">
        <f aca="false">IF(K131="","",K131-YEAR(H131))</f>
        <v>27</v>
      </c>
      <c r="AE131" s="5" t="n">
        <f aca="false">IF(AD131="","",RANK(AD131,AD$2:AD$151,0))</f>
        <v>27</v>
      </c>
      <c r="AF131" s="7" t="n">
        <v>300</v>
      </c>
      <c r="AG131" s="5" t="n">
        <f aca="false">IF(AF131="","",RANK(AF131,AF$2:AF$151,0))</f>
        <v>25</v>
      </c>
      <c r="AH131" s="7" t="n">
        <v>150</v>
      </c>
      <c r="AI131" s="5" t="n">
        <f aca="false">IF(AH131="","",RANK(AH131,AH$2:AH$151,0))</f>
        <v>44</v>
      </c>
      <c r="AJ131" s="4" t="n">
        <v>16</v>
      </c>
      <c r="AK131" s="5" t="n">
        <f aca="false">IF(AJ131="","",RANK(AJ131,AJ$2:AJ$151,0))</f>
        <v>42</v>
      </c>
      <c r="AL131" s="6" t="n">
        <v>1</v>
      </c>
      <c r="AM131" s="5" t="n">
        <f aca="false">IF(AL131="","",RANK(AL131,AL$2:AL$151,0))</f>
        <v>77</v>
      </c>
      <c r="AN131" s="6" t="n">
        <v>0</v>
      </c>
      <c r="AO131" s="5" t="n">
        <f aca="false">IF(AN131="","",RANK(AN131,AN$2:AN$151,0))</f>
        <v>22</v>
      </c>
    </row>
    <row r="132" customFormat="false" ht="15" hidden="false" customHeight="false" outlineLevel="0" collapsed="false">
      <c r="A132" s="2" t="n">
        <v>131</v>
      </c>
      <c r="B132" s="2" t="s">
        <v>306</v>
      </c>
      <c r="C132" s="2" t="s">
        <v>296</v>
      </c>
      <c r="D132" s="2" t="s">
        <v>108</v>
      </c>
      <c r="E132" s="2" t="s">
        <v>30</v>
      </c>
      <c r="F132" s="2" t="s">
        <v>67</v>
      </c>
      <c r="G132" s="2" t="s">
        <v>307</v>
      </c>
      <c r="H132" s="3" t="n">
        <v>24288</v>
      </c>
      <c r="I132" s="2" t="n">
        <v>1985</v>
      </c>
      <c r="J132" s="2" t="n">
        <v>2005</v>
      </c>
      <c r="K132" s="2" t="n">
        <v>1986</v>
      </c>
      <c r="L132" s="4" t="n">
        <f aca="false">ROUND((DATE(2026,9,1)-H132)/365.25,1)</f>
        <v>60.2</v>
      </c>
      <c r="M132" s="5" t="n">
        <f aca="false">IF(L132="","",RANK(L132,L$2:L$151,0))</f>
        <v>7</v>
      </c>
      <c r="N132" s="6" t="n">
        <v>178</v>
      </c>
      <c r="O132" s="5" t="n">
        <f aca="false">IF(N132="","",RANK(N132,N$2:N$151,0))</f>
        <v>90</v>
      </c>
      <c r="P132" s="6" t="n">
        <v>100</v>
      </c>
      <c r="Q132" s="5" t="n">
        <f aca="false">IF(P132="","",RANK(P132,P$2:P$151,0))</f>
        <v>24</v>
      </c>
      <c r="R132" s="6" t="n">
        <f aca="false">I132-YEAR(H132)</f>
        <v>19</v>
      </c>
      <c r="S132" s="5" t="n">
        <f aca="false">IF(R132="","",RANK(R132,R$2:R$151,0))</f>
        <v>43</v>
      </c>
      <c r="T132" s="6" t="n">
        <f aca="false">IF(J132="",2026,J132)-I132</f>
        <v>20</v>
      </c>
      <c r="U132" s="5" t="n">
        <f aca="false">IF(T132="","",RANK(T132,T$2:T$151,0))</f>
        <v>42</v>
      </c>
      <c r="V132" s="6" t="n">
        <v>0</v>
      </c>
      <c r="W132" s="5" t="n">
        <f aca="false">IF(V132="","",RANK(V132,V$2:V$151,0))</f>
        <v>82</v>
      </c>
      <c r="X132" s="6" t="n">
        <v>0</v>
      </c>
      <c r="Y132" s="5" t="n">
        <f aca="false">IF(X132="","",RANK(X132,X$2:X$151,0))</f>
        <v>65</v>
      </c>
      <c r="Z132" s="6" t="n">
        <v>0</v>
      </c>
      <c r="AA132" s="5" t="n">
        <f aca="false">IF(Z132="","",RANK(Z132,Z$2:Z$151,0))</f>
        <v>53</v>
      </c>
      <c r="AB132" s="6" t="n">
        <v>1</v>
      </c>
      <c r="AC132" s="5" t="n">
        <f aca="false">IF(AB132="","",RANK(AB132,AB$2:AB$151,0))</f>
        <v>106</v>
      </c>
      <c r="AD132" s="6" t="n">
        <f aca="false">IF(K132="","",K132-YEAR(H132))</f>
        <v>20</v>
      </c>
      <c r="AE132" s="5" t="n">
        <f aca="false">IF(AD132="","",RANK(AD132,AD$2:AD$151,0))</f>
        <v>99</v>
      </c>
      <c r="AF132" s="7" t="n">
        <v>450</v>
      </c>
      <c r="AG132" s="5" t="n">
        <f aca="false">IF(AF132="","",RANK(AF132,AF$2:AF$151,0))</f>
        <v>12</v>
      </c>
      <c r="AH132" s="7" t="n">
        <v>10</v>
      </c>
      <c r="AI132" s="5" t="n">
        <f aca="false">IF(AH132="","",RANK(AH132,AH$2:AH$151,0))</f>
        <v>121</v>
      </c>
      <c r="AJ132" s="4" t="n">
        <v>20</v>
      </c>
      <c r="AK132" s="5" t="n">
        <f aca="false">IF(AJ132="","",RANK(AJ132,AJ$2:AJ$151,0))</f>
        <v>36</v>
      </c>
      <c r="AL132" s="6" t="n">
        <v>7</v>
      </c>
      <c r="AM132" s="5" t="n">
        <f aca="false">IF(AL132="","",RANK(AL132,AL$2:AL$151,0))</f>
        <v>1</v>
      </c>
      <c r="AN132" s="6" t="n">
        <v>0</v>
      </c>
      <c r="AO132" s="5" t="n">
        <f aca="false">IF(AN132="","",RANK(AN132,AN$2:AN$151,0))</f>
        <v>22</v>
      </c>
    </row>
    <row r="133" customFormat="false" ht="15" hidden="false" customHeight="false" outlineLevel="0" collapsed="false">
      <c r="A133" s="2" t="n">
        <v>132</v>
      </c>
      <c r="B133" s="2" t="s">
        <v>308</v>
      </c>
      <c r="C133" s="2" t="s">
        <v>296</v>
      </c>
      <c r="D133" s="2" t="s">
        <v>108</v>
      </c>
      <c r="E133" s="2" t="s">
        <v>105</v>
      </c>
      <c r="F133" s="2" t="s">
        <v>31</v>
      </c>
      <c r="G133" s="2" t="s">
        <v>41</v>
      </c>
      <c r="H133" s="3" t="n">
        <v>34775</v>
      </c>
      <c r="I133" s="2" t="n">
        <v>2016</v>
      </c>
      <c r="J133" s="2"/>
      <c r="K133" s="2" t="n">
        <v>2017</v>
      </c>
      <c r="L133" s="4" t="n">
        <f aca="false">ROUND((DATE(2026,9,1)-H133)/365.25,1)</f>
        <v>31.5</v>
      </c>
      <c r="M133" s="5" t="n">
        <f aca="false">IF(L133="","",RANK(L133,L$2:L$151,0))</f>
        <v>107</v>
      </c>
      <c r="N133" s="6" t="n">
        <v>173</v>
      </c>
      <c r="O133" s="5" t="n">
        <f aca="false">IF(N133="","",RANK(N133,N$2:N$151,0))</f>
        <v>119</v>
      </c>
      <c r="P133" s="6" t="n">
        <v>72</v>
      </c>
      <c r="Q133" s="5" t="n">
        <f aca="false">IF(P133="","",RANK(P133,P$2:P$151,0))</f>
        <v>89</v>
      </c>
      <c r="R133" s="6" t="n">
        <f aca="false">I133-YEAR(H133)</f>
        <v>21</v>
      </c>
      <c r="S133" s="5" t="n">
        <f aca="false">IF(R133="","",RANK(R133,R$2:R$151,0))</f>
        <v>23</v>
      </c>
      <c r="T133" s="6" t="n">
        <f aca="false">IF(J133="",2026,J133)-I133</f>
        <v>10</v>
      </c>
      <c r="U133" s="5" t="n">
        <f aca="false">IF(T133="","",RANK(T133,T$2:T$151,0))</f>
        <v>117</v>
      </c>
      <c r="V133" s="6" t="n">
        <v>2</v>
      </c>
      <c r="W133" s="5" t="n">
        <f aca="false">IF(V133="","",RANK(V133,V$2:V$151,0))</f>
        <v>33</v>
      </c>
      <c r="X133" s="6" t="n">
        <v>2</v>
      </c>
      <c r="Y133" s="5" t="n">
        <f aca="false">IF(X133="","",RANK(X133,X$2:X$151,0))</f>
        <v>31</v>
      </c>
      <c r="Z133" s="6" t="n">
        <v>2</v>
      </c>
      <c r="AA133" s="5" t="n">
        <f aca="false">IF(Z133="","",RANK(Z133,Z$2:Z$151,0))</f>
        <v>21</v>
      </c>
      <c r="AB133" s="6" t="n">
        <v>3</v>
      </c>
      <c r="AC133" s="5" t="n">
        <f aca="false">IF(AB133="","",RANK(AB133,AB$2:AB$151,0))</f>
        <v>69</v>
      </c>
      <c r="AD133" s="6" t="n">
        <f aca="false">IF(K133="","",K133-YEAR(H133))</f>
        <v>22</v>
      </c>
      <c r="AE133" s="5" t="n">
        <f aca="false">IF(AD133="","",RANK(AD133,AD$2:AD$151,0))</f>
        <v>71</v>
      </c>
      <c r="AF133" s="7" t="n">
        <v>10</v>
      </c>
      <c r="AG133" s="5" t="n">
        <f aca="false">IF(AF133="","",RANK(AF133,AF$2:AF$151,0))</f>
        <v>117</v>
      </c>
      <c r="AH133" s="7" t="n">
        <v>8</v>
      </c>
      <c r="AI133" s="5" t="n">
        <f aca="false">IF(AH133="","",RANK(AH133,AH$2:AH$151,0))</f>
        <v>133</v>
      </c>
      <c r="AJ133" s="4" t="n">
        <v>0.5</v>
      </c>
      <c r="AK133" s="5" t="n">
        <f aca="false">IF(AJ133="","",RANK(AJ133,AJ$2:AJ$151,0))</f>
        <v>129</v>
      </c>
      <c r="AL133" s="6" t="n">
        <v>0</v>
      </c>
      <c r="AM133" s="5" t="n">
        <f aca="false">IF(AL133="","",RANK(AL133,AL$2:AL$151,0))</f>
        <v>95</v>
      </c>
      <c r="AN133" s="6" t="n">
        <v>0</v>
      </c>
      <c r="AO133" s="5" t="n">
        <f aca="false">IF(AN133="","",RANK(AN133,AN$2:AN$151,0))</f>
        <v>22</v>
      </c>
    </row>
    <row r="134" customFormat="false" ht="15" hidden="false" customHeight="false" outlineLevel="0" collapsed="false">
      <c r="A134" s="2" t="n">
        <v>133</v>
      </c>
      <c r="B134" s="2" t="s">
        <v>309</v>
      </c>
      <c r="C134" s="2" t="s">
        <v>310</v>
      </c>
      <c r="D134" s="2" t="s">
        <v>311</v>
      </c>
      <c r="E134" s="2" t="s">
        <v>30</v>
      </c>
      <c r="F134" s="2" t="s">
        <v>31</v>
      </c>
      <c r="G134" s="2" t="s">
        <v>312</v>
      </c>
      <c r="H134" s="3" t="n">
        <v>32338</v>
      </c>
      <c r="I134" s="2" t="n">
        <v>2008</v>
      </c>
      <c r="J134" s="2"/>
      <c r="K134" s="2" t="n">
        <v>2015</v>
      </c>
      <c r="L134" s="4" t="n">
        <f aca="false">ROUND((DATE(2026,9,1)-H134)/365.25,1)</f>
        <v>38.1</v>
      </c>
      <c r="M134" s="5" t="n">
        <f aca="false">IF(L134="","",RANK(L134,L$2:L$151,0))</f>
        <v>75</v>
      </c>
      <c r="N134" s="6" t="n">
        <v>175</v>
      </c>
      <c r="O134" s="5" t="n">
        <f aca="false">IF(N134="","",RANK(N134,N$2:N$151,0))</f>
        <v>102</v>
      </c>
      <c r="P134" s="6" t="n">
        <v>70</v>
      </c>
      <c r="Q134" s="5" t="n">
        <f aca="false">IF(P134="","",RANK(P134,P$2:P$151,0))</f>
        <v>98</v>
      </c>
      <c r="R134" s="6" t="n">
        <f aca="false">I134-YEAR(H134)</f>
        <v>20</v>
      </c>
      <c r="S134" s="5" t="n">
        <f aca="false">IF(R134="","",RANK(R134,R$2:R$151,0))</f>
        <v>33</v>
      </c>
      <c r="T134" s="6" t="n">
        <f aca="false">IF(J134="",2026,J134)-I134</f>
        <v>18</v>
      </c>
      <c r="U134" s="5" t="n">
        <f aca="false">IF(T134="","",RANK(T134,T$2:T$151,0))</f>
        <v>61</v>
      </c>
      <c r="V134" s="6" t="n">
        <v>0</v>
      </c>
      <c r="W134" s="5" t="n">
        <f aca="false">IF(V134="","",RANK(V134,V$2:V$151,0))</f>
        <v>82</v>
      </c>
      <c r="X134" s="6" t="n">
        <v>0</v>
      </c>
      <c r="Y134" s="5" t="n">
        <f aca="false">IF(X134="","",RANK(X134,X$2:X$151,0))</f>
        <v>65</v>
      </c>
      <c r="Z134" s="6" t="n">
        <v>0</v>
      </c>
      <c r="AA134" s="5" t="n">
        <f aca="false">IF(Z134="","",RANK(Z134,Z$2:Z$151,0))</f>
        <v>53</v>
      </c>
      <c r="AB134" s="6" t="n">
        <v>2</v>
      </c>
      <c r="AC134" s="5" t="n">
        <f aca="false">IF(AB134="","",RANK(AB134,AB$2:AB$151,0))</f>
        <v>85</v>
      </c>
      <c r="AD134" s="6" t="n">
        <f aca="false">IF(K134="","",K134-YEAR(H134))</f>
        <v>27</v>
      </c>
      <c r="AE134" s="5" t="n">
        <f aca="false">IF(AD134="","",RANK(AD134,AD$2:AD$151,0))</f>
        <v>27</v>
      </c>
      <c r="AF134" s="7" t="n">
        <v>250</v>
      </c>
      <c r="AG134" s="5" t="n">
        <f aca="false">IF(AF134="","",RANK(AF134,AF$2:AF$151,0))</f>
        <v>34</v>
      </c>
      <c r="AH134" s="7" t="n">
        <v>200</v>
      </c>
      <c r="AI134" s="5" t="n">
        <f aca="false">IF(AH134="","",RANK(AH134,AH$2:AH$151,0))</f>
        <v>29</v>
      </c>
      <c r="AJ134" s="4" t="n">
        <v>46</v>
      </c>
      <c r="AK134" s="5" t="n">
        <f aca="false">IF(AJ134="","",RANK(AJ134,AJ$2:AJ$151,0))</f>
        <v>19</v>
      </c>
      <c r="AL134" s="6" t="n">
        <v>4</v>
      </c>
      <c r="AM134" s="5" t="n">
        <f aca="false">IF(AL134="","",RANK(AL134,AL$2:AL$151,0))</f>
        <v>12</v>
      </c>
      <c r="AN134" s="6" t="n">
        <v>0</v>
      </c>
      <c r="AO134" s="5" t="n">
        <f aca="false">IF(AN134="","",RANK(AN134,AN$2:AN$151,0))</f>
        <v>22</v>
      </c>
    </row>
    <row r="135" customFormat="false" ht="15" hidden="false" customHeight="false" outlineLevel="0" collapsed="false">
      <c r="A135" s="2" t="n">
        <v>134</v>
      </c>
      <c r="B135" s="2" t="s">
        <v>313</v>
      </c>
      <c r="C135" s="2" t="s">
        <v>310</v>
      </c>
      <c r="D135" s="2" t="s">
        <v>169</v>
      </c>
      <c r="E135" s="2" t="s">
        <v>30</v>
      </c>
      <c r="F135" s="2" t="s">
        <v>67</v>
      </c>
      <c r="G135" s="2" t="s">
        <v>41</v>
      </c>
      <c r="H135" s="3" t="n">
        <v>32406</v>
      </c>
      <c r="I135" s="2" t="n">
        <v>2008</v>
      </c>
      <c r="J135" s="2" t="n">
        <v>2020</v>
      </c>
      <c r="K135" s="2" t="n">
        <v>2018</v>
      </c>
      <c r="L135" s="4" t="n">
        <f aca="false">ROUND((DATE(2026,9,1)-H135)/365.25,1)</f>
        <v>37.9</v>
      </c>
      <c r="M135" s="5" t="n">
        <f aca="false">IF(L135="","",RANK(L135,L$2:L$151,0))</f>
        <v>78</v>
      </c>
      <c r="N135" s="6" t="n">
        <v>178</v>
      </c>
      <c r="O135" s="5" t="n">
        <f aca="false">IF(N135="","",RANK(N135,N$2:N$151,0))</f>
        <v>90</v>
      </c>
      <c r="P135" s="6" t="n">
        <v>70</v>
      </c>
      <c r="Q135" s="5" t="n">
        <f aca="false">IF(P135="","",RANK(P135,P$2:P$151,0))</f>
        <v>98</v>
      </c>
      <c r="R135" s="6" t="n">
        <f aca="false">I135-YEAR(H135)</f>
        <v>20</v>
      </c>
      <c r="S135" s="5" t="n">
        <f aca="false">IF(R135="","",RANK(R135,R$2:R$151,0))</f>
        <v>33</v>
      </c>
      <c r="T135" s="6" t="n">
        <f aca="false">IF(J135="",2026,J135)-I135</f>
        <v>12</v>
      </c>
      <c r="U135" s="5" t="n">
        <f aca="false">IF(T135="","",RANK(T135,T$2:T$151,0))</f>
        <v>108</v>
      </c>
      <c r="V135" s="6" t="n">
        <v>0</v>
      </c>
      <c r="W135" s="5" t="n">
        <f aca="false">IF(V135="","",RANK(V135,V$2:V$151,0))</f>
        <v>82</v>
      </c>
      <c r="X135" s="6" t="n">
        <v>0</v>
      </c>
      <c r="Y135" s="5" t="n">
        <f aca="false">IF(X135="","",RANK(X135,X$2:X$151,0))</f>
        <v>65</v>
      </c>
      <c r="Z135" s="6" t="n">
        <v>0</v>
      </c>
      <c r="AA135" s="5" t="n">
        <f aca="false">IF(Z135="","",RANK(Z135,Z$2:Z$151,0))</f>
        <v>53</v>
      </c>
      <c r="AB135" s="6" t="n">
        <v>1</v>
      </c>
      <c r="AC135" s="5" t="n">
        <f aca="false">IF(AB135="","",RANK(AB135,AB$2:AB$151,0))</f>
        <v>106</v>
      </c>
      <c r="AD135" s="6" t="n">
        <f aca="false">IF(K135="","",K135-YEAR(H135))</f>
        <v>30</v>
      </c>
      <c r="AE135" s="5" t="n">
        <f aca="false">IF(AD135="","",RANK(AD135,AD$2:AD$151,0))</f>
        <v>10</v>
      </c>
      <c r="AF135" s="7" t="n">
        <v>20</v>
      </c>
      <c r="AG135" s="5" t="n">
        <f aca="false">IF(AF135="","",RANK(AF135,AF$2:AF$151,0))</f>
        <v>109</v>
      </c>
      <c r="AH135" s="7" t="n">
        <v>40</v>
      </c>
      <c r="AI135" s="5" t="n">
        <f aca="false">IF(AH135="","",RANK(AH135,AH$2:AH$151,0))</f>
        <v>100</v>
      </c>
      <c r="AJ135" s="4" t="n">
        <v>39</v>
      </c>
      <c r="AK135" s="5" t="n">
        <f aca="false">IF(AJ135="","",RANK(AJ135,AJ$2:AJ$151,0))</f>
        <v>27</v>
      </c>
      <c r="AL135" s="6" t="n">
        <v>4</v>
      </c>
      <c r="AM135" s="5" t="n">
        <f aca="false">IF(AL135="","",RANK(AL135,AL$2:AL$151,0))</f>
        <v>12</v>
      </c>
      <c r="AN135" s="6" t="n">
        <v>0</v>
      </c>
      <c r="AO135" s="5" t="n">
        <f aca="false">IF(AN135="","",RANK(AN135,AN$2:AN$151,0))</f>
        <v>22</v>
      </c>
    </row>
    <row r="136" customFormat="false" ht="15" hidden="false" customHeight="false" outlineLevel="0" collapsed="false">
      <c r="A136" s="2" t="n">
        <v>135</v>
      </c>
      <c r="B136" s="2" t="s">
        <v>314</v>
      </c>
      <c r="C136" s="2" t="s">
        <v>310</v>
      </c>
      <c r="D136" s="2" t="s">
        <v>108</v>
      </c>
      <c r="E136" s="2" t="s">
        <v>30</v>
      </c>
      <c r="F136" s="2" t="s">
        <v>31</v>
      </c>
      <c r="G136" s="2" t="s">
        <v>315</v>
      </c>
      <c r="H136" s="3" t="n">
        <v>31977</v>
      </c>
      <c r="I136" s="2" t="n">
        <v>2008</v>
      </c>
      <c r="J136" s="2"/>
      <c r="K136" s="2" t="n">
        <v>2011</v>
      </c>
      <c r="L136" s="4" t="n">
        <f aca="false">ROUND((DATE(2026,9,1)-H136)/365.25,1)</f>
        <v>39.1</v>
      </c>
      <c r="M136" s="5" t="n">
        <f aca="false">IF(L136="","",RANK(L136,L$2:L$151,0))</f>
        <v>71</v>
      </c>
      <c r="N136" s="6" t="n">
        <v>193</v>
      </c>
      <c r="O136" s="5" t="n">
        <f aca="false">IF(N136="","",RANK(N136,N$2:N$151,0))</f>
        <v>23</v>
      </c>
      <c r="P136" s="6" t="n">
        <v>93</v>
      </c>
      <c r="Q136" s="5" t="n">
        <f aca="false">IF(P136="","",RANK(P136,P$2:P$151,0))</f>
        <v>33</v>
      </c>
      <c r="R136" s="6" t="n">
        <f aca="false">I136-YEAR(H136)</f>
        <v>21</v>
      </c>
      <c r="S136" s="5" t="n">
        <f aca="false">IF(R136="","",RANK(R136,R$2:R$151,0))</f>
        <v>23</v>
      </c>
      <c r="T136" s="6" t="n">
        <f aca="false">IF(J136="",2026,J136)-I136</f>
        <v>18</v>
      </c>
      <c r="U136" s="5" t="n">
        <f aca="false">IF(T136="","",RANK(T136,T$2:T$151,0))</f>
        <v>61</v>
      </c>
      <c r="V136" s="6" t="n">
        <v>0</v>
      </c>
      <c r="W136" s="5" t="n">
        <f aca="false">IF(V136="","",RANK(V136,V$2:V$151,0))</f>
        <v>82</v>
      </c>
      <c r="X136" s="6" t="n">
        <v>0</v>
      </c>
      <c r="Y136" s="5" t="n">
        <f aca="false">IF(X136="","",RANK(X136,X$2:X$151,0))</f>
        <v>65</v>
      </c>
      <c r="Z136" s="6" t="n">
        <v>0</v>
      </c>
      <c r="AA136" s="5" t="n">
        <f aca="false">IF(Z136="","",RANK(Z136,Z$2:Z$151,0))</f>
        <v>53</v>
      </c>
      <c r="AB136" s="6" t="n">
        <v>2</v>
      </c>
      <c r="AC136" s="5" t="n">
        <f aca="false">IF(AB136="","",RANK(AB136,AB$2:AB$151,0))</f>
        <v>85</v>
      </c>
      <c r="AD136" s="6" t="n">
        <f aca="false">IF(K136="","",K136-YEAR(H136))</f>
        <v>24</v>
      </c>
      <c r="AE136" s="5" t="n">
        <f aca="false">IF(AD136="","",RANK(AD136,AD$2:AD$151,0))</f>
        <v>56</v>
      </c>
      <c r="AF136" s="7" t="n">
        <v>40</v>
      </c>
      <c r="AG136" s="5" t="n">
        <f aca="false">IF(AF136="","",RANK(AF136,AF$2:AF$151,0))</f>
        <v>95</v>
      </c>
      <c r="AH136" s="7" t="n">
        <v>20</v>
      </c>
      <c r="AI136" s="5" t="n">
        <f aca="false">IF(AH136="","",RANK(AH136,AH$2:AH$151,0))</f>
        <v>111</v>
      </c>
      <c r="AJ136" s="4" t="n">
        <v>8</v>
      </c>
      <c r="AK136" s="5" t="n">
        <f aca="false">IF(AJ136="","",RANK(AJ136,AJ$2:AJ$151,0))</f>
        <v>65</v>
      </c>
      <c r="AL136" s="6" t="n">
        <v>3</v>
      </c>
      <c r="AM136" s="5" t="n">
        <f aca="false">IF(AL136="","",RANK(AL136,AL$2:AL$151,0))</f>
        <v>27</v>
      </c>
      <c r="AN136" s="6" t="n">
        <v>0</v>
      </c>
      <c r="AO136" s="5" t="n">
        <f aca="false">IF(AN136="","",RANK(AN136,AN$2:AN$151,0))</f>
        <v>22</v>
      </c>
    </row>
    <row r="137" customFormat="false" ht="15" hidden="false" customHeight="false" outlineLevel="0" collapsed="false">
      <c r="A137" s="2" t="n">
        <v>136</v>
      </c>
      <c r="B137" s="2" t="s">
        <v>316</v>
      </c>
      <c r="C137" s="2" t="s">
        <v>310</v>
      </c>
      <c r="D137" s="2" t="s">
        <v>108</v>
      </c>
      <c r="E137" s="2" t="s">
        <v>105</v>
      </c>
      <c r="F137" s="2" t="s">
        <v>67</v>
      </c>
      <c r="G137" s="2" t="s">
        <v>317</v>
      </c>
      <c r="H137" s="3" t="n">
        <v>31809</v>
      </c>
      <c r="I137" s="2" t="n">
        <v>2011</v>
      </c>
      <c r="J137" s="2" t="n">
        <v>2016</v>
      </c>
      <c r="K137" s="2" t="n">
        <v>2013</v>
      </c>
      <c r="L137" s="4" t="n">
        <f aca="false">ROUND((DATE(2026,9,1)-H137)/365.25,1)</f>
        <v>39.6</v>
      </c>
      <c r="M137" s="5" t="n">
        <f aca="false">IF(L137="","",RANK(L137,L$2:L$151,0))</f>
        <v>63</v>
      </c>
      <c r="N137" s="6" t="n">
        <v>170</v>
      </c>
      <c r="O137" s="5" t="n">
        <f aca="false">IF(N137="","",RANK(N137,N$2:N$151,0))</f>
        <v>128</v>
      </c>
      <c r="P137" s="6" t="n">
        <v>61</v>
      </c>
      <c r="Q137" s="5" t="n">
        <f aca="false">IF(P137="","",RANK(P137,P$2:P$151,0))</f>
        <v>128</v>
      </c>
      <c r="R137" s="6" t="n">
        <f aca="false">I137-YEAR(H137)</f>
        <v>24</v>
      </c>
      <c r="S137" s="5" t="n">
        <f aca="false">IF(R137="","",RANK(R137,R$2:R$151,0))</f>
        <v>1</v>
      </c>
      <c r="T137" s="6" t="n">
        <f aca="false">IF(J137="",2026,J137)-I137</f>
        <v>5</v>
      </c>
      <c r="U137" s="5" t="n">
        <f aca="false">IF(T137="","",RANK(T137,T$2:T$151,0))</f>
        <v>146</v>
      </c>
      <c r="V137" s="6" t="n">
        <v>2</v>
      </c>
      <c r="W137" s="5" t="n">
        <f aca="false">IF(V137="","",RANK(V137,V$2:V$151,0))</f>
        <v>33</v>
      </c>
      <c r="X137" s="6" t="n">
        <v>1</v>
      </c>
      <c r="Y137" s="5" t="n">
        <f aca="false">IF(X137="","",RANK(X137,X$2:X$151,0))</f>
        <v>45</v>
      </c>
      <c r="Z137" s="6" t="n">
        <v>0</v>
      </c>
      <c r="AA137" s="5" t="n">
        <f aca="false">IF(Z137="","",RANK(Z137,Z$2:Z$151,0))</f>
        <v>53</v>
      </c>
      <c r="AB137" s="6" t="n">
        <v>1</v>
      </c>
      <c r="AC137" s="5" t="n">
        <f aca="false">IF(AB137="","",RANK(AB137,AB$2:AB$151,0))</f>
        <v>106</v>
      </c>
      <c r="AD137" s="6" t="n">
        <f aca="false">IF(K137="","",K137-YEAR(H137))</f>
        <v>26</v>
      </c>
      <c r="AE137" s="5" t="n">
        <f aca="false">IF(AD137="","",RANK(AD137,AD$2:AD$151,0))</f>
        <v>40</v>
      </c>
      <c r="AF137" s="7" t="n">
        <v>15</v>
      </c>
      <c r="AG137" s="5" t="n">
        <f aca="false">IF(AF137="","",RANK(AF137,AF$2:AF$151,0))</f>
        <v>114</v>
      </c>
      <c r="AH137" s="7" t="n">
        <v>13</v>
      </c>
      <c r="AI137" s="5" t="n">
        <f aca="false">IF(AH137="","",RANK(AH137,AH$2:AH$151,0))</f>
        <v>119</v>
      </c>
      <c r="AJ137" s="4" t="n">
        <v>15</v>
      </c>
      <c r="AK137" s="5" t="n">
        <f aca="false">IF(AJ137="","",RANK(AJ137,AJ$2:AJ$151,0))</f>
        <v>48</v>
      </c>
      <c r="AL137" s="6" t="n">
        <v>2</v>
      </c>
      <c r="AM137" s="5" t="n">
        <f aca="false">IF(AL137="","",RANK(AL137,AL$2:AL$151,0))</f>
        <v>49</v>
      </c>
      <c r="AN137" s="6" t="n">
        <v>0</v>
      </c>
      <c r="AO137" s="5" t="n">
        <f aca="false">IF(AN137="","",RANK(AN137,AN$2:AN$151,0))</f>
        <v>22</v>
      </c>
    </row>
    <row r="138" customFormat="false" ht="15" hidden="false" customHeight="false" outlineLevel="0" collapsed="false">
      <c r="A138" s="2" t="n">
        <v>137</v>
      </c>
      <c r="B138" s="2" t="s">
        <v>318</v>
      </c>
      <c r="C138" s="2" t="s">
        <v>319</v>
      </c>
      <c r="D138" s="2" t="s">
        <v>320</v>
      </c>
      <c r="E138" s="2" t="s">
        <v>30</v>
      </c>
      <c r="F138" s="2" t="s">
        <v>31</v>
      </c>
      <c r="G138" s="2" t="s">
        <v>321</v>
      </c>
      <c r="H138" s="3" t="n">
        <v>32452</v>
      </c>
      <c r="I138" s="2" t="n">
        <v>2006</v>
      </c>
      <c r="J138" s="2"/>
      <c r="K138" s="2" t="n">
        <v>2011</v>
      </c>
      <c r="L138" s="4" t="n">
        <f aca="false">ROUND((DATE(2026,9,1)-H138)/365.25,1)</f>
        <v>37.8</v>
      </c>
      <c r="M138" s="5" t="n">
        <f aca="false">IF(L138="","",RANK(L138,L$2:L$151,0))</f>
        <v>80</v>
      </c>
      <c r="N138" s="6" t="n">
        <v>175</v>
      </c>
      <c r="O138" s="5" t="n">
        <f aca="false">IF(N138="","",RANK(N138,N$2:N$151,0))</f>
        <v>102</v>
      </c>
      <c r="P138" s="6" t="n">
        <v>70</v>
      </c>
      <c r="Q138" s="5" t="n">
        <f aca="false">IF(P138="","",RANK(P138,P$2:P$151,0))</f>
        <v>98</v>
      </c>
      <c r="R138" s="6" t="n">
        <f aca="false">I138-YEAR(H138)</f>
        <v>18</v>
      </c>
      <c r="S138" s="5" t="n">
        <f aca="false">IF(R138="","",RANK(R138,R$2:R$151,0))</f>
        <v>56</v>
      </c>
      <c r="T138" s="6" t="n">
        <f aca="false">IF(J138="",2026,J138)-I138</f>
        <v>20</v>
      </c>
      <c r="U138" s="5" t="n">
        <f aca="false">IF(T138="","",RANK(T138,T$2:T$151,0))</f>
        <v>42</v>
      </c>
      <c r="V138" s="6" t="n">
        <v>0</v>
      </c>
      <c r="W138" s="5" t="n">
        <f aca="false">IF(V138="","",RANK(V138,V$2:V$151,0))</f>
        <v>82</v>
      </c>
      <c r="X138" s="6" t="n">
        <v>0</v>
      </c>
      <c r="Y138" s="5" t="n">
        <f aca="false">IF(X138="","",RANK(X138,X$2:X$151,0))</f>
        <v>65</v>
      </c>
      <c r="Z138" s="6" t="n">
        <v>0</v>
      </c>
      <c r="AA138" s="5" t="n">
        <f aca="false">IF(Z138="","",RANK(Z138,Z$2:Z$151,0))</f>
        <v>53</v>
      </c>
      <c r="AB138" s="6" t="n">
        <v>4</v>
      </c>
      <c r="AC138" s="5" t="n">
        <f aca="false">IF(AB138="","",RANK(AB138,AB$2:AB$151,0))</f>
        <v>52</v>
      </c>
      <c r="AD138" s="6" t="n">
        <f aca="false">IF(K138="","",K138-YEAR(H138))</f>
        <v>23</v>
      </c>
      <c r="AE138" s="5" t="n">
        <f aca="false">IF(AD138="","",RANK(AD138,AD$2:AD$151,0))</f>
        <v>61</v>
      </c>
      <c r="AF138" s="7" t="n">
        <v>120</v>
      </c>
      <c r="AG138" s="5" t="n">
        <f aca="false">IF(AF138="","",RANK(AF138,AF$2:AF$151,0))</f>
        <v>69</v>
      </c>
      <c r="AH138" s="7" t="n">
        <v>130</v>
      </c>
      <c r="AI138" s="5" t="n">
        <f aca="false">IF(AH138="","",RANK(AH138,AH$2:AH$151,0))</f>
        <v>51</v>
      </c>
      <c r="AJ138" s="4" t="n">
        <v>270</v>
      </c>
      <c r="AK138" s="5" t="n">
        <f aca="false">IF(AJ138="","",RANK(AJ138,AJ$2:AJ$151,0))</f>
        <v>3</v>
      </c>
      <c r="AL138" s="6" t="n">
        <v>2</v>
      </c>
      <c r="AM138" s="5" t="n">
        <f aca="false">IF(AL138="","",RANK(AL138,AL$2:AL$151,0))</f>
        <v>49</v>
      </c>
      <c r="AN138" s="6" t="n">
        <v>0</v>
      </c>
      <c r="AO138" s="5" t="n">
        <f aca="false">IF(AN138="","",RANK(AN138,AN$2:AN$151,0))</f>
        <v>22</v>
      </c>
    </row>
    <row r="139" customFormat="false" ht="15" hidden="false" customHeight="false" outlineLevel="0" collapsed="false">
      <c r="A139" s="2" t="n">
        <v>138</v>
      </c>
      <c r="B139" s="2" t="s">
        <v>322</v>
      </c>
      <c r="C139" s="2" t="s">
        <v>319</v>
      </c>
      <c r="D139" s="2" t="s">
        <v>320</v>
      </c>
      <c r="E139" s="2" t="s">
        <v>30</v>
      </c>
      <c r="F139" s="2" t="s">
        <v>31</v>
      </c>
      <c r="G139" s="2" t="s">
        <v>323</v>
      </c>
      <c r="H139" s="3" t="n">
        <v>31897</v>
      </c>
      <c r="I139" s="2" t="n">
        <v>2006</v>
      </c>
      <c r="J139" s="2"/>
      <c r="K139" s="2" t="n">
        <v>2007</v>
      </c>
      <c r="L139" s="4" t="n">
        <f aca="false">ROUND((DATE(2026,9,1)-H139)/365.25,1)</f>
        <v>39.3</v>
      </c>
      <c r="M139" s="5" t="n">
        <f aca="false">IF(L139="","",RANK(L139,L$2:L$151,0))</f>
        <v>66</v>
      </c>
      <c r="N139" s="6" t="n">
        <v>173</v>
      </c>
      <c r="O139" s="5" t="n">
        <f aca="false">IF(N139="","",RANK(N139,N$2:N$151,0))</f>
        <v>119</v>
      </c>
      <c r="P139" s="6" t="n">
        <v>72</v>
      </c>
      <c r="Q139" s="5" t="n">
        <f aca="false">IF(P139="","",RANK(P139,P$2:P$151,0))</f>
        <v>89</v>
      </c>
      <c r="R139" s="6" t="n">
        <f aca="false">I139-YEAR(H139)</f>
        <v>19</v>
      </c>
      <c r="S139" s="5" t="n">
        <f aca="false">IF(R139="","",RANK(R139,R$2:R$151,0))</f>
        <v>43</v>
      </c>
      <c r="T139" s="6" t="n">
        <f aca="false">IF(J139="",2026,J139)-I139</f>
        <v>20</v>
      </c>
      <c r="U139" s="5" t="n">
        <f aca="false">IF(T139="","",RANK(T139,T$2:T$151,0))</f>
        <v>42</v>
      </c>
      <c r="V139" s="6" t="n">
        <v>0</v>
      </c>
      <c r="W139" s="5" t="n">
        <f aca="false">IF(V139="","",RANK(V139,V$2:V$151,0))</f>
        <v>82</v>
      </c>
      <c r="X139" s="6" t="n">
        <v>0</v>
      </c>
      <c r="Y139" s="5" t="n">
        <f aca="false">IF(X139="","",RANK(X139,X$2:X$151,0))</f>
        <v>65</v>
      </c>
      <c r="Z139" s="6" t="n">
        <v>0</v>
      </c>
      <c r="AA139" s="5" t="n">
        <f aca="false">IF(Z139="","",RANK(Z139,Z$2:Z$151,0))</f>
        <v>53</v>
      </c>
      <c r="AB139" s="6" t="n">
        <v>4</v>
      </c>
      <c r="AC139" s="5" t="n">
        <f aca="false">IF(AB139="","",RANK(AB139,AB$2:AB$151,0))</f>
        <v>52</v>
      </c>
      <c r="AD139" s="6" t="n">
        <f aca="false">IF(K139="","",K139-YEAR(H139))</f>
        <v>20</v>
      </c>
      <c r="AE139" s="5" t="n">
        <f aca="false">IF(AD139="","",RANK(AD139,AD$2:AD$151,0))</f>
        <v>99</v>
      </c>
      <c r="AF139" s="7" t="n">
        <v>80</v>
      </c>
      <c r="AG139" s="5" t="n">
        <f aca="false">IF(AF139="","",RANK(AF139,AF$2:AF$151,0))</f>
        <v>83</v>
      </c>
      <c r="AH139" s="7" t="n">
        <v>30</v>
      </c>
      <c r="AI139" s="5" t="n">
        <f aca="false">IF(AH139="","",RANK(AH139,AH$2:AH$151,0))</f>
        <v>104</v>
      </c>
      <c r="AJ139" s="4" t="n">
        <v>45</v>
      </c>
      <c r="AK139" s="5" t="n">
        <f aca="false">IF(AJ139="","",RANK(AJ139,AJ$2:AJ$151,0))</f>
        <v>20</v>
      </c>
      <c r="AL139" s="6" t="n">
        <v>2</v>
      </c>
      <c r="AM139" s="5" t="n">
        <f aca="false">IF(AL139="","",RANK(AL139,AL$2:AL$151,0))</f>
        <v>49</v>
      </c>
      <c r="AN139" s="6" t="n">
        <v>0</v>
      </c>
      <c r="AO139" s="5" t="n">
        <f aca="false">IF(AN139="","",RANK(AN139,AN$2:AN$151,0))</f>
        <v>22</v>
      </c>
    </row>
    <row r="140" customFormat="false" ht="15" hidden="false" customHeight="false" outlineLevel="0" collapsed="false">
      <c r="A140" s="2" t="n">
        <v>139</v>
      </c>
      <c r="B140" s="2" t="s">
        <v>324</v>
      </c>
      <c r="C140" s="2" t="s">
        <v>319</v>
      </c>
      <c r="D140" s="2" t="s">
        <v>320</v>
      </c>
      <c r="E140" s="2" t="s">
        <v>30</v>
      </c>
      <c r="F140" s="2" t="s">
        <v>31</v>
      </c>
      <c r="G140" s="2" t="s">
        <v>325</v>
      </c>
      <c r="H140" s="3" t="n">
        <v>29774</v>
      </c>
      <c r="I140" s="2" t="n">
        <v>1999</v>
      </c>
      <c r="J140" s="2"/>
      <c r="K140" s="2" t="n">
        <v>2007</v>
      </c>
      <c r="L140" s="4" t="n">
        <f aca="false">ROUND((DATE(2026,9,1)-H140)/365.25,1)</f>
        <v>45.2</v>
      </c>
      <c r="M140" s="5" t="n">
        <f aca="false">IF(L140="","",RANK(L140,L$2:L$151,0))</f>
        <v>34</v>
      </c>
      <c r="N140" s="6" t="n">
        <v>175</v>
      </c>
      <c r="O140" s="5" t="n">
        <f aca="false">IF(N140="","",RANK(N140,N$2:N$151,0))</f>
        <v>102</v>
      </c>
      <c r="P140" s="6" t="n">
        <v>70</v>
      </c>
      <c r="Q140" s="5" t="n">
        <f aca="false">IF(P140="","",RANK(P140,P$2:P$151,0))</f>
        <v>98</v>
      </c>
      <c r="R140" s="6" t="n">
        <f aca="false">I140-YEAR(H140)</f>
        <v>18</v>
      </c>
      <c r="S140" s="5" t="n">
        <f aca="false">IF(R140="","",RANK(R140,R$2:R$151,0))</f>
        <v>56</v>
      </c>
      <c r="T140" s="6" t="n">
        <f aca="false">IF(J140="",2026,J140)-I140</f>
        <v>27</v>
      </c>
      <c r="U140" s="5" t="n">
        <f aca="false">IF(T140="","",RANK(T140,T$2:T$151,0))</f>
        <v>8</v>
      </c>
      <c r="V140" s="6" t="n">
        <v>0</v>
      </c>
      <c r="W140" s="5" t="n">
        <f aca="false">IF(V140="","",RANK(V140,V$2:V$151,0))</f>
        <v>82</v>
      </c>
      <c r="X140" s="6" t="n">
        <v>0</v>
      </c>
      <c r="Y140" s="5" t="n">
        <f aca="false">IF(X140="","",RANK(X140,X$2:X$151,0))</f>
        <v>65</v>
      </c>
      <c r="Z140" s="6" t="n">
        <v>0</v>
      </c>
      <c r="AA140" s="5" t="n">
        <f aca="false">IF(Z140="","",RANK(Z140,Z$2:Z$151,0))</f>
        <v>53</v>
      </c>
      <c r="AB140" s="6" t="n">
        <v>3</v>
      </c>
      <c r="AC140" s="5" t="n">
        <f aca="false">IF(AB140="","",RANK(AB140,AB$2:AB$151,0))</f>
        <v>69</v>
      </c>
      <c r="AD140" s="6" t="n">
        <f aca="false">IF(K140="","",K140-YEAR(H140))</f>
        <v>26</v>
      </c>
      <c r="AE140" s="5" t="n">
        <f aca="false">IF(AD140="","",RANK(AD140,AD$2:AD$151,0))</f>
        <v>40</v>
      </c>
      <c r="AF140" s="7" t="n">
        <v>100</v>
      </c>
      <c r="AG140" s="5" t="n">
        <f aca="false">IF(AF140="","",RANK(AF140,AF$2:AF$151,0))</f>
        <v>75</v>
      </c>
      <c r="AH140" s="7" t="n">
        <v>130</v>
      </c>
      <c r="AI140" s="5" t="n">
        <f aca="false">IF(AH140="","",RANK(AH140,AH$2:AH$151,0))</f>
        <v>51</v>
      </c>
      <c r="AJ140" s="4" t="n">
        <v>50</v>
      </c>
      <c r="AK140" s="5" t="n">
        <f aca="false">IF(AJ140="","",RANK(AJ140,AJ$2:AJ$151,0))</f>
        <v>16</v>
      </c>
      <c r="AL140" s="6" t="n">
        <v>1</v>
      </c>
      <c r="AM140" s="5" t="n">
        <f aca="false">IF(AL140="","",RANK(AL140,AL$2:AL$151,0))</f>
        <v>77</v>
      </c>
      <c r="AN140" s="6" t="n">
        <v>0</v>
      </c>
      <c r="AO140" s="5" t="n">
        <f aca="false">IF(AN140="","",RANK(AN140,AN$2:AN$151,0))</f>
        <v>22</v>
      </c>
    </row>
    <row r="141" customFormat="false" ht="15" hidden="false" customHeight="false" outlineLevel="0" collapsed="false">
      <c r="A141" s="2" t="n">
        <v>140</v>
      </c>
      <c r="B141" s="2" t="s">
        <v>326</v>
      </c>
      <c r="C141" s="2" t="s">
        <v>319</v>
      </c>
      <c r="D141" s="2" t="s">
        <v>320</v>
      </c>
      <c r="E141" s="2" t="s">
        <v>30</v>
      </c>
      <c r="F141" s="2" t="s">
        <v>67</v>
      </c>
      <c r="G141" s="2" t="s">
        <v>327</v>
      </c>
      <c r="H141" s="3" t="n">
        <v>26778</v>
      </c>
      <c r="I141" s="2" t="n">
        <v>1988</v>
      </c>
      <c r="J141" s="2" t="n">
        <v>2013</v>
      </c>
      <c r="K141" s="2" t="n">
        <v>2011</v>
      </c>
      <c r="L141" s="4" t="n">
        <f aca="false">ROUND((DATE(2026,9,1)-H141)/365.25,1)</f>
        <v>53.4</v>
      </c>
      <c r="M141" s="5" t="n">
        <f aca="false">IF(L141="","",RANK(L141,L$2:L$151,0))</f>
        <v>16</v>
      </c>
      <c r="N141" s="6" t="n">
        <v>165</v>
      </c>
      <c r="O141" s="5" t="n">
        <f aca="false">IF(N141="","",RANK(N141,N$2:N$151,0))</f>
        <v>141</v>
      </c>
      <c r="P141" s="6" t="n">
        <v>62</v>
      </c>
      <c r="Q141" s="5" t="n">
        <f aca="false">IF(P141="","",RANK(P141,P$2:P$151,0))</f>
        <v>126</v>
      </c>
      <c r="R141" s="6" t="n">
        <f aca="false">I141-YEAR(H141)</f>
        <v>15</v>
      </c>
      <c r="S141" s="5" t="n">
        <f aca="false">IF(R141="","",RANK(R141,R$2:R$151,0))</f>
        <v>130</v>
      </c>
      <c r="T141" s="6" t="n">
        <f aca="false">IF(J141="",2026,J141)-I141</f>
        <v>25</v>
      </c>
      <c r="U141" s="5" t="n">
        <f aca="false">IF(T141="","",RANK(T141,T$2:T$151,0))</f>
        <v>11</v>
      </c>
      <c r="V141" s="6" t="n">
        <v>0</v>
      </c>
      <c r="W141" s="5" t="n">
        <f aca="false">IF(V141="","",RANK(V141,V$2:V$151,0))</f>
        <v>82</v>
      </c>
      <c r="X141" s="6" t="n">
        <v>0</v>
      </c>
      <c r="Y141" s="5" t="n">
        <f aca="false">IF(X141="","",RANK(X141,X$2:X$151,0))</f>
        <v>65</v>
      </c>
      <c r="Z141" s="6" t="n">
        <v>0</v>
      </c>
      <c r="AA141" s="5" t="n">
        <f aca="false">IF(Z141="","",RANK(Z141,Z$2:Z$151,0))</f>
        <v>53</v>
      </c>
      <c r="AB141" s="6" t="n">
        <v>1</v>
      </c>
      <c r="AC141" s="5" t="n">
        <f aca="false">IF(AB141="","",RANK(AB141,AB$2:AB$151,0))</f>
        <v>106</v>
      </c>
      <c r="AD141" s="6" t="n">
        <f aca="false">IF(K141="","",K141-YEAR(H141))</f>
        <v>38</v>
      </c>
      <c r="AE141" s="5" t="n">
        <f aca="false">IF(AD141="","",RANK(AD141,AD$2:AD$151,0))</f>
        <v>1</v>
      </c>
      <c r="AF141" s="7" t="n">
        <v>40</v>
      </c>
      <c r="AG141" s="5" t="n">
        <f aca="false">IF(AF141="","",RANK(AF141,AF$2:AF$151,0))</f>
        <v>95</v>
      </c>
      <c r="AH141" s="7" t="n">
        <v>170</v>
      </c>
      <c r="AI141" s="5" t="n">
        <f aca="false">IF(AH141="","",RANK(AH141,AH$2:AH$151,0))</f>
        <v>42</v>
      </c>
      <c r="AJ141" s="4" t="n">
        <v>50</v>
      </c>
      <c r="AK141" s="5" t="n">
        <f aca="false">IF(AJ141="","",RANK(AJ141,AJ$2:AJ$151,0))</f>
        <v>16</v>
      </c>
      <c r="AL141" s="6" t="n">
        <v>2</v>
      </c>
      <c r="AM141" s="5" t="n">
        <f aca="false">IF(AL141="","",RANK(AL141,AL$2:AL$151,0))</f>
        <v>49</v>
      </c>
      <c r="AN141" s="6" t="n">
        <v>0</v>
      </c>
      <c r="AO141" s="5" t="n">
        <f aca="false">IF(AN141="","",RANK(AN141,AN$2:AN$151,0))</f>
        <v>22</v>
      </c>
    </row>
    <row r="142" customFormat="false" ht="15" hidden="false" customHeight="false" outlineLevel="0" collapsed="false">
      <c r="A142" s="2" t="n">
        <v>141</v>
      </c>
      <c r="B142" s="2" t="s">
        <v>328</v>
      </c>
      <c r="C142" s="2" t="s">
        <v>319</v>
      </c>
      <c r="D142" s="2" t="s">
        <v>62</v>
      </c>
      <c r="E142" s="2" t="s">
        <v>30</v>
      </c>
      <c r="F142" s="2" t="s">
        <v>31</v>
      </c>
      <c r="G142" s="2" t="s">
        <v>329</v>
      </c>
      <c r="H142" s="3" t="n">
        <v>33393</v>
      </c>
      <c r="I142" s="2" t="n">
        <v>2009</v>
      </c>
      <c r="J142" s="2"/>
      <c r="K142" s="2" t="n">
        <v>2019</v>
      </c>
      <c r="L142" s="4" t="n">
        <f aca="false">ROUND((DATE(2026,9,1)-H142)/365.25,1)</f>
        <v>35.2</v>
      </c>
      <c r="M142" s="5" t="n">
        <f aca="false">IF(L142="","",RANK(L142,L$2:L$151,0))</f>
        <v>88</v>
      </c>
      <c r="N142" s="6" t="n">
        <v>185</v>
      </c>
      <c r="O142" s="5" t="n">
        <f aca="false">IF(N142="","",RANK(N142,N$2:N$151,0))</f>
        <v>54</v>
      </c>
      <c r="P142" s="6" t="n">
        <v>92</v>
      </c>
      <c r="Q142" s="5" t="n">
        <f aca="false">IF(P142="","",RANK(P142,P$2:P$151,0))</f>
        <v>35</v>
      </c>
      <c r="R142" s="6" t="n">
        <f aca="false">I142-YEAR(H142)</f>
        <v>18</v>
      </c>
      <c r="S142" s="5" t="n">
        <f aca="false">IF(R142="","",RANK(R142,R$2:R$151,0))</f>
        <v>56</v>
      </c>
      <c r="T142" s="6" t="n">
        <f aca="false">IF(J142="",2026,J142)-I142</f>
        <v>17</v>
      </c>
      <c r="U142" s="5" t="n">
        <f aca="false">IF(T142="","",RANK(T142,T$2:T$151,0))</f>
        <v>69</v>
      </c>
      <c r="V142" s="6" t="n">
        <v>0</v>
      </c>
      <c r="W142" s="5" t="n">
        <f aca="false">IF(V142="","",RANK(V142,V$2:V$151,0))</f>
        <v>82</v>
      </c>
      <c r="X142" s="6" t="n">
        <v>0</v>
      </c>
      <c r="Y142" s="5" t="n">
        <f aca="false">IF(X142="","",RANK(X142,X$2:X$151,0))</f>
        <v>65</v>
      </c>
      <c r="Z142" s="6" t="n">
        <v>0</v>
      </c>
      <c r="AA142" s="5" t="n">
        <f aca="false">IF(Z142="","",RANK(Z142,Z$2:Z$151,0))</f>
        <v>53</v>
      </c>
      <c r="AB142" s="6" t="n">
        <v>2</v>
      </c>
      <c r="AC142" s="5" t="n">
        <f aca="false">IF(AB142="","",RANK(AB142,AB$2:AB$151,0))</f>
        <v>85</v>
      </c>
      <c r="AD142" s="6" t="n">
        <f aca="false">IF(K142="","",K142-YEAR(H142))</f>
        <v>28</v>
      </c>
      <c r="AE142" s="5" t="n">
        <f aca="false">IF(AD142="","",RANK(AD142,AD$2:AD$151,0))</f>
        <v>16</v>
      </c>
      <c r="AF142" s="7" t="n">
        <v>25</v>
      </c>
      <c r="AG142" s="5" t="n">
        <f aca="false">IF(AF142="","",RANK(AF142,AF$2:AF$151,0))</f>
        <v>105</v>
      </c>
      <c r="AH142" s="7" t="n">
        <v>20</v>
      </c>
      <c r="AI142" s="5" t="n">
        <f aca="false">IF(AH142="","",RANK(AH142,AH$2:AH$151,0))</f>
        <v>111</v>
      </c>
      <c r="AJ142" s="4" t="n">
        <v>2.5</v>
      </c>
      <c r="AK142" s="5" t="n">
        <f aca="false">IF(AJ142="","",RANK(AJ142,AJ$2:AJ$151,0))</f>
        <v>91</v>
      </c>
      <c r="AL142" s="6" t="n">
        <v>2</v>
      </c>
      <c r="AM142" s="5" t="n">
        <f aca="false">IF(AL142="","",RANK(AL142,AL$2:AL$151,0))</f>
        <v>49</v>
      </c>
      <c r="AN142" s="6" t="n">
        <v>0</v>
      </c>
      <c r="AO142" s="5" t="n">
        <f aca="false">IF(AN142="","",RANK(AN142,AN$2:AN$151,0))</f>
        <v>22</v>
      </c>
    </row>
    <row r="143" customFormat="false" ht="15" hidden="false" customHeight="false" outlineLevel="0" collapsed="false">
      <c r="A143" s="2" t="n">
        <v>142</v>
      </c>
      <c r="B143" s="2" t="s">
        <v>330</v>
      </c>
      <c r="C143" s="2" t="s">
        <v>319</v>
      </c>
      <c r="D143" s="2" t="s">
        <v>331</v>
      </c>
      <c r="E143" s="2" t="s">
        <v>30</v>
      </c>
      <c r="F143" s="2" t="s">
        <v>31</v>
      </c>
      <c r="G143" s="2" t="s">
        <v>41</v>
      </c>
      <c r="H143" s="3" t="n">
        <v>34622</v>
      </c>
      <c r="I143" s="2" t="n">
        <v>2010</v>
      </c>
      <c r="J143" s="2"/>
      <c r="K143" s="2"/>
      <c r="L143" s="4" t="n">
        <f aca="false">ROUND((DATE(2026,9,1)-H143)/365.25,1)</f>
        <v>31.9</v>
      </c>
      <c r="M143" s="5" t="n">
        <f aca="false">IF(L143="","",RANK(L143,L$2:L$151,0))</f>
        <v>104</v>
      </c>
      <c r="N143" s="6" t="n">
        <v>180</v>
      </c>
      <c r="O143" s="5" t="n">
        <f aca="false">IF(N143="","",RANK(N143,N$2:N$151,0))</f>
        <v>83</v>
      </c>
      <c r="P143" s="6" t="n">
        <v>72</v>
      </c>
      <c r="Q143" s="5" t="n">
        <f aca="false">IF(P143="","",RANK(P143,P$2:P$151,0))</f>
        <v>89</v>
      </c>
      <c r="R143" s="6" t="n">
        <f aca="false">I143-YEAR(H143)</f>
        <v>16</v>
      </c>
      <c r="S143" s="5" t="n">
        <f aca="false">IF(R143="","",RANK(R143,R$2:R$151,0))</f>
        <v>109</v>
      </c>
      <c r="T143" s="6" t="n">
        <f aca="false">IF(J143="",2026,J143)-I143</f>
        <v>16</v>
      </c>
      <c r="U143" s="5" t="n">
        <f aca="false">IF(T143="","",RANK(T143,T$2:T$151,0))</f>
        <v>80</v>
      </c>
      <c r="V143" s="6" t="n">
        <v>0</v>
      </c>
      <c r="W143" s="5" t="n">
        <f aca="false">IF(V143="","",RANK(V143,V$2:V$151,0))</f>
        <v>82</v>
      </c>
      <c r="X143" s="6" t="n">
        <v>0</v>
      </c>
      <c r="Y143" s="5" t="n">
        <f aca="false">IF(X143="","",RANK(X143,X$2:X$151,0))</f>
        <v>65</v>
      </c>
      <c r="Z143" s="6" t="n">
        <v>0</v>
      </c>
      <c r="AA143" s="5" t="n">
        <f aca="false">IF(Z143="","",RANK(Z143,Z$2:Z$151,0))</f>
        <v>53</v>
      </c>
      <c r="AB143" s="6" t="n">
        <v>0</v>
      </c>
      <c r="AC143" s="5" t="n">
        <f aca="false">IF(AB143="","",RANK(AB143,AB$2:AB$151,0))</f>
        <v>135</v>
      </c>
      <c r="AD143" s="6" t="str">
        <f aca="false">IF(K143="","",K143-YEAR(H143))</f>
        <v/>
      </c>
      <c r="AE143" s="5" t="str">
        <f aca="false">IF(AD143="","",RANK(AD143,AD$2:AD$151,0))</f>
        <v/>
      </c>
      <c r="AF143" s="7" t="n">
        <v>15</v>
      </c>
      <c r="AG143" s="5" t="n">
        <f aca="false">IF(AF143="","",RANK(AF143,AF$2:AF$151,0))</f>
        <v>114</v>
      </c>
      <c r="AH143" s="7" t="n">
        <v>10</v>
      </c>
      <c r="AI143" s="5" t="n">
        <f aca="false">IF(AH143="","",RANK(AH143,AH$2:AH$151,0))</f>
        <v>121</v>
      </c>
      <c r="AJ143" s="4" t="n">
        <v>12</v>
      </c>
      <c r="AK143" s="5" t="n">
        <f aca="false">IF(AJ143="","",RANK(AJ143,AJ$2:AJ$151,0))</f>
        <v>56</v>
      </c>
      <c r="AL143" s="6" t="n">
        <v>0</v>
      </c>
      <c r="AM143" s="5" t="n">
        <f aca="false">IF(AL143="","",RANK(AL143,AL$2:AL$151,0))</f>
        <v>95</v>
      </c>
      <c r="AN143" s="6" t="n">
        <v>0</v>
      </c>
      <c r="AO143" s="5" t="n">
        <f aca="false">IF(AN143="","",RANK(AN143,AN$2:AN$151,0))</f>
        <v>22</v>
      </c>
    </row>
    <row r="144" customFormat="false" ht="15" hidden="false" customHeight="false" outlineLevel="0" collapsed="false">
      <c r="A144" s="2" t="n">
        <v>143</v>
      </c>
      <c r="B144" s="2" t="s">
        <v>332</v>
      </c>
      <c r="C144" s="2" t="s">
        <v>319</v>
      </c>
      <c r="D144" s="2" t="s">
        <v>320</v>
      </c>
      <c r="E144" s="2" t="s">
        <v>105</v>
      </c>
      <c r="F144" s="2" t="s">
        <v>31</v>
      </c>
      <c r="G144" s="2" t="s">
        <v>41</v>
      </c>
      <c r="H144" s="3" t="n">
        <v>35264</v>
      </c>
      <c r="I144" s="2" t="n">
        <v>2013</v>
      </c>
      <c r="J144" s="2"/>
      <c r="K144" s="2" t="n">
        <v>2025</v>
      </c>
      <c r="L144" s="4" t="n">
        <f aca="false">ROUND((DATE(2026,9,1)-H144)/365.25,1)</f>
        <v>30.1</v>
      </c>
      <c r="M144" s="5" t="n">
        <f aca="false">IF(L144="","",RANK(L144,L$2:L$151,0))</f>
        <v>113</v>
      </c>
      <c r="N144" s="6" t="n">
        <v>169</v>
      </c>
      <c r="O144" s="5" t="n">
        <f aca="false">IF(N144="","",RANK(N144,N$2:N$151,0))</f>
        <v>135</v>
      </c>
      <c r="P144" s="6" t="n">
        <v>60</v>
      </c>
      <c r="Q144" s="5" t="n">
        <f aca="false">IF(P144="","",RANK(P144,P$2:P$151,0))</f>
        <v>131</v>
      </c>
      <c r="R144" s="6" t="n">
        <f aca="false">I144-YEAR(H144)</f>
        <v>17</v>
      </c>
      <c r="S144" s="5" t="n">
        <f aca="false">IF(R144="","",RANK(R144,R$2:R$151,0))</f>
        <v>82</v>
      </c>
      <c r="T144" s="6" t="n">
        <f aca="false">IF(J144="",2026,J144)-I144</f>
        <v>13</v>
      </c>
      <c r="U144" s="5" t="n">
        <f aca="false">IF(T144="","",RANK(T144,T$2:T$151,0))</f>
        <v>99</v>
      </c>
      <c r="V144" s="6" t="n">
        <v>0</v>
      </c>
      <c r="W144" s="5" t="n">
        <f aca="false">IF(V144="","",RANK(V144,V$2:V$151,0))</f>
        <v>82</v>
      </c>
      <c r="X144" s="6" t="n">
        <v>0</v>
      </c>
      <c r="Y144" s="5" t="n">
        <f aca="false">IF(X144="","",RANK(X144,X$2:X$151,0))</f>
        <v>65</v>
      </c>
      <c r="Z144" s="6" t="n">
        <v>0</v>
      </c>
      <c r="AA144" s="5" t="n">
        <f aca="false">IF(Z144="","",RANK(Z144,Z$2:Z$151,0))</f>
        <v>53</v>
      </c>
      <c r="AB144" s="6" t="n">
        <v>1</v>
      </c>
      <c r="AC144" s="5" t="n">
        <f aca="false">IF(AB144="","",RANK(AB144,AB$2:AB$151,0))</f>
        <v>106</v>
      </c>
      <c r="AD144" s="6" t="n">
        <f aca="false">IF(K144="","",K144-YEAR(H144))</f>
        <v>29</v>
      </c>
      <c r="AE144" s="5" t="n">
        <f aca="false">IF(AD144="","",RANK(AD144,AD$2:AD$151,0))</f>
        <v>13</v>
      </c>
      <c r="AF144" s="7" t="n">
        <v>2</v>
      </c>
      <c r="AG144" s="5" t="n">
        <f aca="false">IF(AF144="","",RANK(AF144,AF$2:AF$151,0))</f>
        <v>142</v>
      </c>
      <c r="AH144" s="7" t="n">
        <v>5</v>
      </c>
      <c r="AI144" s="5" t="n">
        <f aca="false">IF(AH144="","",RANK(AH144,AH$2:AH$151,0))</f>
        <v>137</v>
      </c>
      <c r="AJ144" s="4" t="n">
        <v>14</v>
      </c>
      <c r="AK144" s="5" t="n">
        <f aca="false">IF(AJ144="","",RANK(AJ144,AJ$2:AJ$151,0))</f>
        <v>52</v>
      </c>
      <c r="AL144" s="6" t="n">
        <v>0</v>
      </c>
      <c r="AM144" s="5" t="n">
        <f aca="false">IF(AL144="","",RANK(AL144,AL$2:AL$151,0))</f>
        <v>95</v>
      </c>
      <c r="AN144" s="6" t="n">
        <v>0</v>
      </c>
      <c r="AO144" s="5" t="n">
        <f aca="false">IF(AN144="","",RANK(AN144,AN$2:AN$151,0))</f>
        <v>22</v>
      </c>
    </row>
    <row r="145" customFormat="false" ht="15" hidden="false" customHeight="false" outlineLevel="0" collapsed="false">
      <c r="A145" s="2" t="n">
        <v>144</v>
      </c>
      <c r="B145" s="2" t="s">
        <v>333</v>
      </c>
      <c r="C145" s="2" t="s">
        <v>334</v>
      </c>
      <c r="D145" s="2" t="s">
        <v>108</v>
      </c>
      <c r="E145" s="2" t="s">
        <v>105</v>
      </c>
      <c r="F145" s="2" t="s">
        <v>31</v>
      </c>
      <c r="G145" s="2" t="s">
        <v>335</v>
      </c>
      <c r="H145" s="3" t="n">
        <v>34771</v>
      </c>
      <c r="I145" s="2" t="n">
        <v>2011</v>
      </c>
      <c r="J145" s="2"/>
      <c r="K145" s="2" t="n">
        <v>2013</v>
      </c>
      <c r="L145" s="4" t="n">
        <f aca="false">ROUND((DATE(2026,9,1)-H145)/365.25,1)</f>
        <v>31.5</v>
      </c>
      <c r="M145" s="5" t="n">
        <f aca="false">IF(L145="","",RANK(L145,L$2:L$151,0))</f>
        <v>107</v>
      </c>
      <c r="N145" s="6" t="n">
        <v>170</v>
      </c>
      <c r="O145" s="5" t="n">
        <f aca="false">IF(N145="","",RANK(N145,N$2:N$151,0))</f>
        <v>128</v>
      </c>
      <c r="P145" s="6" t="n">
        <v>66</v>
      </c>
      <c r="Q145" s="5" t="n">
        <f aca="false">IF(P145="","",RANK(P145,P$2:P$151,0))</f>
        <v>117</v>
      </c>
      <c r="R145" s="6" t="n">
        <f aca="false">I145-YEAR(H145)</f>
        <v>16</v>
      </c>
      <c r="S145" s="5" t="n">
        <f aca="false">IF(R145="","",RANK(R145,R$2:R$151,0))</f>
        <v>109</v>
      </c>
      <c r="T145" s="6" t="n">
        <f aca="false">IF(J145="",2026,J145)-I145</f>
        <v>15</v>
      </c>
      <c r="U145" s="5" t="n">
        <f aca="false">IF(T145="","",RANK(T145,T$2:T$151,0))</f>
        <v>85</v>
      </c>
      <c r="V145" s="6" t="n">
        <v>4</v>
      </c>
      <c r="W145" s="5" t="n">
        <f aca="false">IF(V145="","",RANK(V145,V$2:V$151,0))</f>
        <v>14</v>
      </c>
      <c r="X145" s="6" t="n">
        <v>4</v>
      </c>
      <c r="Y145" s="5" t="n">
        <f aca="false">IF(X145="","",RANK(X145,X$2:X$151,0))</f>
        <v>14</v>
      </c>
      <c r="Z145" s="6" t="n">
        <v>3</v>
      </c>
      <c r="AA145" s="5" t="n">
        <f aca="false">IF(Z145="","",RANK(Z145,Z$2:Z$151,0))</f>
        <v>15</v>
      </c>
      <c r="AB145" s="6" t="n">
        <v>11</v>
      </c>
      <c r="AC145" s="5" t="n">
        <f aca="false">IF(AB145="","",RANK(AB145,AB$2:AB$151,0))</f>
        <v>16</v>
      </c>
      <c r="AD145" s="6" t="n">
        <f aca="false">IF(K145="","",K145-YEAR(H145))</f>
        <v>18</v>
      </c>
      <c r="AE145" s="5" t="n">
        <f aca="false">IF(AD145="","",RANK(AD145,AD$2:AD$151,0))</f>
        <v>119</v>
      </c>
      <c r="AF145" s="7" t="n">
        <v>10</v>
      </c>
      <c r="AG145" s="5" t="n">
        <f aca="false">IF(AF145="","",RANK(AF145,AF$2:AF$151,0))</f>
        <v>117</v>
      </c>
      <c r="AH145" s="7" t="n">
        <v>8</v>
      </c>
      <c r="AI145" s="5" t="n">
        <f aca="false">IF(AH145="","",RANK(AH145,AH$2:AH$151,0))</f>
        <v>133</v>
      </c>
      <c r="AJ145" s="4" t="n">
        <v>0.8</v>
      </c>
      <c r="AK145" s="5" t="n">
        <f aca="false">IF(AJ145="","",RANK(AJ145,AJ$2:AJ$151,0))</f>
        <v>122</v>
      </c>
      <c r="AL145" s="6" t="n">
        <v>0</v>
      </c>
      <c r="AM145" s="5" t="n">
        <f aca="false">IF(AL145="","",RANK(AL145,AL$2:AL$151,0))</f>
        <v>95</v>
      </c>
      <c r="AN145" s="6" t="n">
        <v>0</v>
      </c>
      <c r="AO145" s="5" t="n">
        <f aca="false">IF(AN145="","",RANK(AN145,AN$2:AN$151,0))</f>
        <v>22</v>
      </c>
    </row>
    <row r="146" customFormat="false" ht="15" hidden="false" customHeight="false" outlineLevel="0" collapsed="false">
      <c r="A146" s="2" t="n">
        <v>145</v>
      </c>
      <c r="B146" s="2" t="s">
        <v>336</v>
      </c>
      <c r="C146" s="2" t="s">
        <v>334</v>
      </c>
      <c r="D146" s="2" t="s">
        <v>108</v>
      </c>
      <c r="E146" s="2" t="s">
        <v>105</v>
      </c>
      <c r="F146" s="2" t="s">
        <v>31</v>
      </c>
      <c r="G146" s="2" t="s">
        <v>41</v>
      </c>
      <c r="H146" s="3" t="n">
        <v>30973</v>
      </c>
      <c r="I146" s="2" t="n">
        <v>2000</v>
      </c>
      <c r="J146" s="2"/>
      <c r="K146" s="2" t="n">
        <v>2009</v>
      </c>
      <c r="L146" s="4" t="n">
        <f aca="false">ROUND((DATE(2026,9,1)-H146)/365.25,1)</f>
        <v>41.9</v>
      </c>
      <c r="M146" s="5" t="n">
        <f aca="false">IF(L146="","",RANK(L146,L$2:L$151,0))</f>
        <v>46</v>
      </c>
      <c r="N146" s="6" t="n">
        <v>178</v>
      </c>
      <c r="O146" s="5" t="n">
        <f aca="false">IF(N146="","",RANK(N146,N$2:N$151,0))</f>
        <v>90</v>
      </c>
      <c r="P146" s="6" t="n">
        <v>72</v>
      </c>
      <c r="Q146" s="5" t="n">
        <f aca="false">IF(P146="","",RANK(P146,P$2:P$151,0))</f>
        <v>89</v>
      </c>
      <c r="R146" s="6" t="n">
        <f aca="false">I146-YEAR(H146)</f>
        <v>16</v>
      </c>
      <c r="S146" s="5" t="n">
        <f aca="false">IF(R146="","",RANK(R146,R$2:R$151,0))</f>
        <v>109</v>
      </c>
      <c r="T146" s="6" t="n">
        <f aca="false">IF(J146="",2026,J146)-I146</f>
        <v>26</v>
      </c>
      <c r="U146" s="5" t="n">
        <f aca="false">IF(T146="","",RANK(T146,T$2:T$151,0))</f>
        <v>10</v>
      </c>
      <c r="V146" s="6" t="n">
        <v>5</v>
      </c>
      <c r="W146" s="5" t="n">
        <f aca="false">IF(V146="","",RANK(V146,V$2:V$151,0))</f>
        <v>3</v>
      </c>
      <c r="X146" s="6" t="n">
        <v>3</v>
      </c>
      <c r="Y146" s="5" t="n">
        <f aca="false">IF(X146="","",RANK(X146,X$2:X$151,0))</f>
        <v>23</v>
      </c>
      <c r="Z146" s="6" t="n">
        <v>1</v>
      </c>
      <c r="AA146" s="5" t="n">
        <f aca="false">IF(Z146="","",RANK(Z146,Z$2:Z$151,0))</f>
        <v>32</v>
      </c>
      <c r="AB146" s="6" t="n">
        <v>3</v>
      </c>
      <c r="AC146" s="5" t="n">
        <f aca="false">IF(AB146="","",RANK(AB146,AB$2:AB$151,0))</f>
        <v>69</v>
      </c>
      <c r="AD146" s="6" t="n">
        <f aca="false">IF(K146="","",K146-YEAR(H146))</f>
        <v>25</v>
      </c>
      <c r="AE146" s="5" t="n">
        <f aca="false">IF(AD146="","",RANK(AD146,AD$2:AD$151,0))</f>
        <v>47</v>
      </c>
      <c r="AF146" s="7" t="n">
        <v>8</v>
      </c>
      <c r="AG146" s="5" t="n">
        <f aca="false">IF(AF146="","",RANK(AF146,AF$2:AF$151,0))</f>
        <v>122</v>
      </c>
      <c r="AH146" s="7" t="n">
        <v>8</v>
      </c>
      <c r="AI146" s="5" t="n">
        <f aca="false">IF(AH146="","",RANK(AH146,AH$2:AH$151,0))</f>
        <v>133</v>
      </c>
      <c r="AJ146" s="4" t="n">
        <v>2</v>
      </c>
      <c r="AK146" s="5" t="n">
        <f aca="false">IF(AJ146="","",RANK(AJ146,AJ$2:AJ$151,0))</f>
        <v>94</v>
      </c>
      <c r="AL146" s="6" t="n">
        <v>0</v>
      </c>
      <c r="AM146" s="5" t="n">
        <f aca="false">IF(AL146="","",RANK(AL146,AL$2:AL$151,0))</f>
        <v>95</v>
      </c>
      <c r="AN146" s="6" t="n">
        <v>0</v>
      </c>
      <c r="AO146" s="5" t="n">
        <f aca="false">IF(AN146="","",RANK(AN146,AN$2:AN$151,0))</f>
        <v>22</v>
      </c>
    </row>
    <row r="147" customFormat="false" ht="15" hidden="false" customHeight="false" outlineLevel="0" collapsed="false">
      <c r="A147" s="2" t="n">
        <v>146</v>
      </c>
      <c r="B147" s="2" t="s">
        <v>337</v>
      </c>
      <c r="C147" s="2" t="s">
        <v>334</v>
      </c>
      <c r="D147" s="2" t="s">
        <v>149</v>
      </c>
      <c r="E147" s="2" t="s">
        <v>30</v>
      </c>
      <c r="F147" s="2" t="s">
        <v>31</v>
      </c>
      <c r="G147" s="2" t="s">
        <v>338</v>
      </c>
      <c r="H147" s="3" t="n">
        <v>35711</v>
      </c>
      <c r="I147" s="2" t="n">
        <v>2016</v>
      </c>
      <c r="J147" s="2"/>
      <c r="K147" s="2" t="n">
        <v>2022</v>
      </c>
      <c r="L147" s="4" t="n">
        <f aca="false">ROUND((DATE(2026,9,1)-H147)/365.25,1)</f>
        <v>28.9</v>
      </c>
      <c r="M147" s="5" t="n">
        <f aca="false">IF(L147="","",RANK(L147,L$2:L$151,0))</f>
        <v>121</v>
      </c>
      <c r="N147" s="6" t="n">
        <v>183</v>
      </c>
      <c r="O147" s="5" t="n">
        <f aca="false">IF(N147="","",RANK(N147,N$2:N$151,0))</f>
        <v>66</v>
      </c>
      <c r="P147" s="6" t="n">
        <v>88</v>
      </c>
      <c r="Q147" s="5" t="n">
        <f aca="false">IF(P147="","",RANK(P147,P$2:P$151,0))</f>
        <v>42</v>
      </c>
      <c r="R147" s="6" t="n">
        <f aca="false">I147-YEAR(H147)</f>
        <v>19</v>
      </c>
      <c r="S147" s="5" t="n">
        <f aca="false">IF(R147="","",RANK(R147,R$2:R$151,0))</f>
        <v>43</v>
      </c>
      <c r="T147" s="6" t="n">
        <f aca="false">IF(J147="",2026,J147)-I147</f>
        <v>10</v>
      </c>
      <c r="U147" s="5" t="n">
        <f aca="false">IF(T147="","",RANK(T147,T$2:T$151,0))</f>
        <v>117</v>
      </c>
      <c r="V147" s="6" t="n">
        <v>2</v>
      </c>
      <c r="W147" s="5" t="n">
        <f aca="false">IF(V147="","",RANK(V147,V$2:V$151,0))</f>
        <v>33</v>
      </c>
      <c r="X147" s="6" t="n">
        <v>1</v>
      </c>
      <c r="Y147" s="5" t="n">
        <f aca="false">IF(X147="","",RANK(X147,X$2:X$151,0))</f>
        <v>45</v>
      </c>
      <c r="Z147" s="6" t="n">
        <v>1</v>
      </c>
      <c r="AA147" s="5" t="n">
        <f aca="false">IF(Z147="","",RANK(Z147,Z$2:Z$151,0))</f>
        <v>32</v>
      </c>
      <c r="AB147" s="6" t="n">
        <v>4</v>
      </c>
      <c r="AC147" s="5" t="n">
        <f aca="false">IF(AB147="","",RANK(AB147,AB$2:AB$151,0))</f>
        <v>52</v>
      </c>
      <c r="AD147" s="6" t="n">
        <f aca="false">IF(K147="","",K147-YEAR(H147))</f>
        <v>25</v>
      </c>
      <c r="AE147" s="5" t="n">
        <f aca="false">IF(AD147="","",RANK(AD147,AD$2:AD$151,0))</f>
        <v>47</v>
      </c>
      <c r="AF147" s="7" t="n">
        <v>10</v>
      </c>
      <c r="AG147" s="5" t="n">
        <f aca="false">IF(AF147="","",RANK(AF147,AF$2:AF$151,0))</f>
        <v>117</v>
      </c>
      <c r="AH147" s="7" t="n">
        <v>10</v>
      </c>
      <c r="AI147" s="5" t="n">
        <f aca="false">IF(AH147="","",RANK(AH147,AH$2:AH$151,0))</f>
        <v>121</v>
      </c>
      <c r="AJ147" s="4" t="n">
        <v>0.5</v>
      </c>
      <c r="AK147" s="5" t="n">
        <f aca="false">IF(AJ147="","",RANK(AJ147,AJ$2:AJ$151,0))</f>
        <v>129</v>
      </c>
      <c r="AL147" s="6" t="n">
        <v>0</v>
      </c>
      <c r="AM147" s="5" t="n">
        <f aca="false">IF(AL147="","",RANK(AL147,AL$2:AL$151,0))</f>
        <v>95</v>
      </c>
      <c r="AN147" s="6" t="n">
        <v>0</v>
      </c>
      <c r="AO147" s="5" t="n">
        <f aca="false">IF(AN147="","",RANK(AN147,AN$2:AN$151,0))</f>
        <v>22</v>
      </c>
    </row>
    <row r="148" customFormat="false" ht="15" hidden="false" customHeight="false" outlineLevel="0" collapsed="false">
      <c r="A148" s="2" t="n">
        <v>147</v>
      </c>
      <c r="B148" s="2" t="s">
        <v>339</v>
      </c>
      <c r="C148" s="2" t="s">
        <v>340</v>
      </c>
      <c r="D148" s="2" t="s">
        <v>140</v>
      </c>
      <c r="E148" s="2" t="s">
        <v>105</v>
      </c>
      <c r="F148" s="2" t="s">
        <v>31</v>
      </c>
      <c r="G148" s="2" t="s">
        <v>41</v>
      </c>
      <c r="H148" s="3" t="n">
        <v>37867</v>
      </c>
      <c r="I148" s="2" t="n">
        <v>2019</v>
      </c>
      <c r="J148" s="2"/>
      <c r="K148" s="2" t="n">
        <v>2021</v>
      </c>
      <c r="L148" s="4" t="n">
        <f aca="false">ROUND((DATE(2026,9,1)-H148)/365.25,1)</f>
        <v>23</v>
      </c>
      <c r="M148" s="5" t="n">
        <f aca="false">IF(L148="","",RANK(L148,L$2:L$151,0))</f>
        <v>145</v>
      </c>
      <c r="N148" s="6" t="n">
        <v>175</v>
      </c>
      <c r="O148" s="5" t="n">
        <f aca="false">IF(N148="","",RANK(N148,N$2:N$151,0))</f>
        <v>102</v>
      </c>
      <c r="P148" s="6" t="n">
        <v>60</v>
      </c>
      <c r="Q148" s="5" t="n">
        <f aca="false">IF(P148="","",RANK(P148,P$2:P$151,0))</f>
        <v>131</v>
      </c>
      <c r="R148" s="6" t="n">
        <f aca="false">I148-YEAR(H148)</f>
        <v>16</v>
      </c>
      <c r="S148" s="5" t="n">
        <f aca="false">IF(R148="","",RANK(R148,R$2:R$151,0))</f>
        <v>109</v>
      </c>
      <c r="T148" s="6" t="n">
        <f aca="false">IF(J148="",2026,J148)-I148</f>
        <v>7</v>
      </c>
      <c r="U148" s="5" t="n">
        <f aca="false">IF(T148="","",RANK(T148,T$2:T$151,0))</f>
        <v>140</v>
      </c>
      <c r="V148" s="6" t="n">
        <v>2</v>
      </c>
      <c r="W148" s="5" t="n">
        <f aca="false">IF(V148="","",RANK(V148,V$2:V$151,0))</f>
        <v>33</v>
      </c>
      <c r="X148" s="6" t="n">
        <v>3</v>
      </c>
      <c r="Y148" s="5" t="n">
        <f aca="false">IF(X148="","",RANK(X148,X$2:X$151,0))</f>
        <v>23</v>
      </c>
      <c r="Z148" s="6" t="n">
        <v>2</v>
      </c>
      <c r="AA148" s="5" t="n">
        <f aca="false">IF(Z148="","",RANK(Z148,Z$2:Z$151,0))</f>
        <v>21</v>
      </c>
      <c r="AB148" s="6" t="n">
        <v>4</v>
      </c>
      <c r="AC148" s="5" t="n">
        <f aca="false">IF(AB148="","",RANK(AB148,AB$2:AB$151,0))</f>
        <v>52</v>
      </c>
      <c r="AD148" s="6" t="n">
        <f aca="false">IF(K148="","",K148-YEAR(H148))</f>
        <v>18</v>
      </c>
      <c r="AE148" s="5" t="n">
        <f aca="false">IF(AD148="","",RANK(AD148,AD$2:AD$151,0))</f>
        <v>119</v>
      </c>
      <c r="AF148" s="7" t="n">
        <v>2</v>
      </c>
      <c r="AG148" s="5" t="n">
        <f aca="false">IF(AF148="","",RANK(AF148,AF$2:AF$151,0))</f>
        <v>142</v>
      </c>
      <c r="AH148" s="7" t="n">
        <v>20</v>
      </c>
      <c r="AI148" s="5" t="n">
        <f aca="false">IF(AH148="","",RANK(AH148,AH$2:AH$151,0))</f>
        <v>111</v>
      </c>
      <c r="AJ148" s="4" t="n">
        <v>2</v>
      </c>
      <c r="AK148" s="5" t="n">
        <f aca="false">IF(AJ148="","",RANK(AJ148,AJ$2:AJ$151,0))</f>
        <v>94</v>
      </c>
      <c r="AL148" s="6" t="n">
        <v>0</v>
      </c>
      <c r="AM148" s="5" t="n">
        <f aca="false">IF(AL148="","",RANK(AL148,AL$2:AL$151,0))</f>
        <v>95</v>
      </c>
      <c r="AN148" s="6" t="n">
        <v>0</v>
      </c>
      <c r="AO148" s="5" t="n">
        <f aca="false">IF(AN148="","",RANK(AN148,AN$2:AN$151,0))</f>
        <v>22</v>
      </c>
    </row>
    <row r="149" customFormat="false" ht="15" hidden="false" customHeight="false" outlineLevel="0" collapsed="false">
      <c r="A149" s="2" t="n">
        <v>148</v>
      </c>
      <c r="B149" s="2" t="s">
        <v>341</v>
      </c>
      <c r="C149" s="2" t="s">
        <v>342</v>
      </c>
      <c r="D149" s="2" t="s">
        <v>108</v>
      </c>
      <c r="E149" s="2" t="s">
        <v>30</v>
      </c>
      <c r="F149" s="2" t="s">
        <v>67</v>
      </c>
      <c r="G149" s="2" t="s">
        <v>343</v>
      </c>
      <c r="H149" s="3" t="n">
        <v>31658</v>
      </c>
      <c r="I149" s="2" t="n">
        <v>2000</v>
      </c>
      <c r="J149" s="2" t="n">
        <v>2022</v>
      </c>
      <c r="K149" s="2" t="n">
        <v>2006</v>
      </c>
      <c r="L149" s="4" t="n">
        <f aca="false">ROUND((DATE(2026,9,1)-H149)/365.25,1)</f>
        <v>40</v>
      </c>
      <c r="M149" s="5" t="n">
        <f aca="false">IF(L149="","",RANK(L149,L$2:L$151,0))</f>
        <v>60</v>
      </c>
      <c r="N149" s="6" t="n">
        <v>175</v>
      </c>
      <c r="O149" s="5" t="n">
        <f aca="false">IF(N149="","",RANK(N149,N$2:N$151,0))</f>
        <v>102</v>
      </c>
      <c r="P149" s="6" t="n">
        <v>72</v>
      </c>
      <c r="Q149" s="5" t="n">
        <f aca="false">IF(P149="","",RANK(P149,P$2:P$151,0))</f>
        <v>89</v>
      </c>
      <c r="R149" s="6" t="n">
        <f aca="false">I149-YEAR(H149)</f>
        <v>14</v>
      </c>
      <c r="S149" s="5" t="n">
        <f aca="false">IF(R149="","",RANK(R149,R$2:R$151,0))</f>
        <v>142</v>
      </c>
      <c r="T149" s="6" t="n">
        <f aca="false">IF(J149="",2026,J149)-I149</f>
        <v>22</v>
      </c>
      <c r="U149" s="5" t="n">
        <f aca="false">IF(T149="","",RANK(T149,T$2:T$151,0))</f>
        <v>25</v>
      </c>
      <c r="V149" s="6" t="n">
        <v>5</v>
      </c>
      <c r="W149" s="5" t="n">
        <f aca="false">IF(V149="","",RANK(V149,V$2:V$151,0))</f>
        <v>3</v>
      </c>
      <c r="X149" s="6" t="n">
        <v>3</v>
      </c>
      <c r="Y149" s="5" t="n">
        <f aca="false">IF(X149="","",RANK(X149,X$2:X$151,0))</f>
        <v>23</v>
      </c>
      <c r="Z149" s="6" t="n">
        <v>3</v>
      </c>
      <c r="AA149" s="5" t="n">
        <f aca="false">IF(Z149="","",RANK(Z149,Z$2:Z$151,0))</f>
        <v>15</v>
      </c>
      <c r="AB149" s="6" t="n">
        <v>3</v>
      </c>
      <c r="AC149" s="5" t="n">
        <f aca="false">IF(AB149="","",RANK(AB149,AB$2:AB$151,0))</f>
        <v>69</v>
      </c>
      <c r="AD149" s="6" t="n">
        <f aca="false">IF(K149="","",K149-YEAR(H149))</f>
        <v>20</v>
      </c>
      <c r="AE149" s="5" t="n">
        <f aca="false">IF(AD149="","",RANK(AD149,AD$2:AD$151,0))</f>
        <v>99</v>
      </c>
      <c r="AF149" s="7" t="n">
        <v>5</v>
      </c>
      <c r="AG149" s="5" t="n">
        <f aca="false">IF(AF149="","",RANK(AF149,AF$2:AF$151,0))</f>
        <v>127</v>
      </c>
      <c r="AH149" s="7" t="n">
        <v>60</v>
      </c>
      <c r="AI149" s="5" t="n">
        <f aca="false">IF(AH149="","",RANK(AH149,AH$2:AH$151,0))</f>
        <v>85</v>
      </c>
      <c r="AJ149" s="4" t="n">
        <v>1.5</v>
      </c>
      <c r="AK149" s="5" t="n">
        <f aca="false">IF(AJ149="","",RANK(AJ149,AJ$2:AJ$151,0))</f>
        <v>105</v>
      </c>
      <c r="AL149" s="6" t="n">
        <v>0</v>
      </c>
      <c r="AM149" s="5" t="n">
        <f aca="false">IF(AL149="","",RANK(AL149,AL$2:AL$151,0))</f>
        <v>95</v>
      </c>
      <c r="AN149" s="6" t="n">
        <v>0</v>
      </c>
      <c r="AO149" s="5" t="n">
        <f aca="false">IF(AN149="","",RANK(AN149,AN$2:AN$151,0))</f>
        <v>22</v>
      </c>
    </row>
    <row r="150" customFormat="false" ht="15" hidden="false" customHeight="false" outlineLevel="0" collapsed="false">
      <c r="A150" s="2" t="n">
        <v>149</v>
      </c>
      <c r="B150" s="2" t="s">
        <v>344</v>
      </c>
      <c r="C150" s="2" t="s">
        <v>345</v>
      </c>
      <c r="D150" s="2" t="s">
        <v>132</v>
      </c>
      <c r="E150" s="2" t="s">
        <v>30</v>
      </c>
      <c r="F150" s="2" t="s">
        <v>31</v>
      </c>
      <c r="G150" s="2" t="s">
        <v>346</v>
      </c>
      <c r="H150" s="3" t="n">
        <v>36059</v>
      </c>
      <c r="I150" s="2" t="n">
        <v>2019</v>
      </c>
      <c r="J150" s="2"/>
      <c r="K150" s="2" t="n">
        <v>2020</v>
      </c>
      <c r="L150" s="4" t="n">
        <f aca="false">ROUND((DATE(2026,9,1)-H150)/365.25,1)</f>
        <v>27.9</v>
      </c>
      <c r="M150" s="5" t="n">
        <f aca="false">IF(L150="","",RANK(L150,L$2:L$151,0))</f>
        <v>128</v>
      </c>
      <c r="N150" s="6" t="n">
        <v>176</v>
      </c>
      <c r="O150" s="5" t="n">
        <f aca="false">IF(N150="","",RANK(N150,N$2:N$151,0))</f>
        <v>97</v>
      </c>
      <c r="P150" s="6" t="n">
        <v>66</v>
      </c>
      <c r="Q150" s="5" t="n">
        <f aca="false">IF(P150="","",RANK(P150,P$2:P$151,0))</f>
        <v>117</v>
      </c>
      <c r="R150" s="6" t="n">
        <f aca="false">I150-YEAR(H150)</f>
        <v>21</v>
      </c>
      <c r="S150" s="5" t="n">
        <f aca="false">IF(R150="","",RANK(R150,R$2:R$151,0))</f>
        <v>23</v>
      </c>
      <c r="T150" s="6" t="n">
        <f aca="false">IF(J150="",2026,J150)-I150</f>
        <v>7</v>
      </c>
      <c r="U150" s="5" t="n">
        <f aca="false">IF(T150="","",RANK(T150,T$2:T$151,0))</f>
        <v>140</v>
      </c>
      <c r="V150" s="6" t="n">
        <v>1</v>
      </c>
      <c r="W150" s="5" t="n">
        <f aca="false">IF(V150="","",RANK(V150,V$2:V$151,0))</f>
        <v>54</v>
      </c>
      <c r="X150" s="6" t="n">
        <v>1</v>
      </c>
      <c r="Y150" s="5" t="n">
        <f aca="false">IF(X150="","",RANK(X150,X$2:X$151,0))</f>
        <v>45</v>
      </c>
      <c r="Z150" s="6" t="n">
        <v>0</v>
      </c>
      <c r="AA150" s="5" t="n">
        <f aca="false">IF(Z150="","",RANK(Z150,Z$2:Z$151,0))</f>
        <v>53</v>
      </c>
      <c r="AB150" s="6" t="n">
        <v>7</v>
      </c>
      <c r="AC150" s="5" t="n">
        <f aca="false">IF(AB150="","",RANK(AB150,AB$2:AB$151,0))</f>
        <v>24</v>
      </c>
      <c r="AD150" s="6" t="n">
        <f aca="false">IF(K150="","",K150-YEAR(H150))</f>
        <v>22</v>
      </c>
      <c r="AE150" s="5" t="n">
        <f aca="false">IF(AD150="","",RANK(AD150,AD$2:AD$151,0))</f>
        <v>71</v>
      </c>
      <c r="AF150" s="7" t="n">
        <v>40</v>
      </c>
      <c r="AG150" s="5" t="n">
        <f aca="false">IF(AF150="","",RANK(AF150,AF$2:AF$151,0))</f>
        <v>95</v>
      </c>
      <c r="AH150" s="7" t="n">
        <v>20</v>
      </c>
      <c r="AI150" s="5" t="n">
        <f aca="false">IF(AH150="","",RANK(AH150,AH$2:AH$151,0))</f>
        <v>111</v>
      </c>
      <c r="AJ150" s="4" t="n">
        <v>2.5</v>
      </c>
      <c r="AK150" s="5" t="n">
        <f aca="false">IF(AJ150="","",RANK(AJ150,AJ$2:AJ$151,0))</f>
        <v>91</v>
      </c>
      <c r="AL150" s="6" t="n">
        <v>0</v>
      </c>
      <c r="AM150" s="5" t="n">
        <f aca="false">IF(AL150="","",RANK(AL150,AL$2:AL$151,0))</f>
        <v>95</v>
      </c>
      <c r="AN150" s="6" t="n">
        <v>0</v>
      </c>
      <c r="AO150" s="5" t="n">
        <f aca="false">IF(AN150="","",RANK(AN150,AN$2:AN$151,0))</f>
        <v>22</v>
      </c>
    </row>
    <row r="151" customFormat="false" ht="15" hidden="false" customHeight="false" outlineLevel="0" collapsed="false">
      <c r="A151" s="2" t="n">
        <v>150</v>
      </c>
      <c r="B151" s="2" t="s">
        <v>347</v>
      </c>
      <c r="C151" s="2" t="s">
        <v>348</v>
      </c>
      <c r="D151" s="2" t="s">
        <v>62</v>
      </c>
      <c r="E151" s="2" t="s">
        <v>30</v>
      </c>
      <c r="F151" s="2" t="s">
        <v>31</v>
      </c>
      <c r="G151" s="2" t="s">
        <v>41</v>
      </c>
      <c r="H151" s="3" t="n">
        <v>39103</v>
      </c>
      <c r="I151" s="2" t="n">
        <v>2023</v>
      </c>
      <c r="J151" s="2"/>
      <c r="K151" s="2" t="n">
        <v>2025</v>
      </c>
      <c r="L151" s="4" t="n">
        <f aca="false">ROUND((DATE(2026,9,1)-H151)/365.25,1)</f>
        <v>19.6</v>
      </c>
      <c r="M151" s="5" t="n">
        <f aca="false">IF(L151="","",RANK(L151,L$2:L$151,0))</f>
        <v>149</v>
      </c>
      <c r="N151" s="6" t="n">
        <v>170</v>
      </c>
      <c r="O151" s="5" t="n">
        <f aca="false">IF(N151="","",RANK(N151,N$2:N$151,0))</f>
        <v>128</v>
      </c>
      <c r="P151" s="6" t="n">
        <v>95</v>
      </c>
      <c r="Q151" s="5" t="n">
        <f aca="false">IF(P151="","",RANK(P151,P$2:P$151,0))</f>
        <v>29</v>
      </c>
      <c r="R151" s="6" t="n">
        <f aca="false">I151-YEAR(H151)</f>
        <v>16</v>
      </c>
      <c r="S151" s="5" t="n">
        <f aca="false">IF(R151="","",RANK(R151,R$2:R$151,0))</f>
        <v>109</v>
      </c>
      <c r="T151" s="6" t="n">
        <f aca="false">IF(J151="",2026,J151)-I151</f>
        <v>3</v>
      </c>
      <c r="U151" s="5" t="n">
        <f aca="false">IF(T151="","",RANK(T151,T$2:T$151,0))</f>
        <v>148</v>
      </c>
      <c r="V151" s="6" t="n">
        <v>0</v>
      </c>
      <c r="W151" s="5" t="n">
        <f aca="false">IF(V151="","",RANK(V151,V$2:V$151,0))</f>
        <v>82</v>
      </c>
      <c r="X151" s="6" t="n">
        <v>0</v>
      </c>
      <c r="Y151" s="5" t="n">
        <f aca="false">IF(X151="","",RANK(X151,X$2:X$151,0))</f>
        <v>65</v>
      </c>
      <c r="Z151" s="6" t="n">
        <v>0</v>
      </c>
      <c r="AA151" s="5" t="n">
        <f aca="false">IF(Z151="","",RANK(Z151,Z$2:Z$151,0))</f>
        <v>53</v>
      </c>
      <c r="AB151" s="6" t="n">
        <v>2</v>
      </c>
      <c r="AC151" s="5" t="n">
        <f aca="false">IF(AB151="","",RANK(AB151,AB$2:AB$151,0))</f>
        <v>85</v>
      </c>
      <c r="AD151" s="6" t="n">
        <f aca="false">IF(K151="","",K151-YEAR(H151))</f>
        <v>18</v>
      </c>
      <c r="AE151" s="5" t="n">
        <f aca="false">IF(AD151="","",RANK(AD151,AD$2:AD$151,0))</f>
        <v>119</v>
      </c>
      <c r="AF151" s="7" t="n">
        <v>5</v>
      </c>
      <c r="AG151" s="5" t="n">
        <f aca="false">IF(AF151="","",RANK(AF151,AF$2:AF$151,0))</f>
        <v>127</v>
      </c>
      <c r="AH151" s="7" t="n">
        <v>10</v>
      </c>
      <c r="AI151" s="5" t="n">
        <f aca="false">IF(AH151="","",RANK(AH151,AH$2:AH$151,0))</f>
        <v>121</v>
      </c>
      <c r="AJ151" s="4" t="n">
        <v>2</v>
      </c>
      <c r="AK151" s="5" t="n">
        <f aca="false">IF(AJ151="","",RANK(AJ151,AJ$2:AJ$151,0))</f>
        <v>94</v>
      </c>
      <c r="AL151" s="6" t="n">
        <v>0</v>
      </c>
      <c r="AM151" s="5" t="n">
        <f aca="false">IF(AL151="","",RANK(AL151,AL$2:AL$151,0))</f>
        <v>95</v>
      </c>
      <c r="AN151" s="6" t="n">
        <v>0</v>
      </c>
      <c r="AO151" s="5" t="n">
        <f aca="false">IF(AN151="","",RANK(AN151,AN$2:AN$151,0))</f>
        <v>22</v>
      </c>
    </row>
  </sheetData>
  <autoFilter ref="A1:AO1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5"/>
  </cols>
  <sheetData>
    <row r="1" customFormat="false" ht="39.55" hidden="false" customHeight="false" outlineLevel="0" collapsed="false">
      <c r="A1" s="8" t="s">
        <v>349</v>
      </c>
      <c r="B1" s="9" t="s">
        <v>350</v>
      </c>
    </row>
    <row r="2" customFormat="false" ht="26.85" hidden="false" customHeight="false" outlineLevel="0" collapsed="false">
      <c r="A2" s="8" t="s">
        <v>351</v>
      </c>
      <c r="B2" s="9" t="s">
        <v>352</v>
      </c>
    </row>
    <row r="3" customFormat="false" ht="26.85" hidden="false" customHeight="false" outlineLevel="0" collapsed="false">
      <c r="A3" s="8" t="s">
        <v>353</v>
      </c>
      <c r="B3" s="9" t="s">
        <v>354</v>
      </c>
    </row>
    <row r="4" customFormat="false" ht="26.85" hidden="false" customHeight="false" outlineLevel="0" collapsed="false">
      <c r="A4" s="8" t="s">
        <v>355</v>
      </c>
      <c r="B4" s="9" t="s">
        <v>356</v>
      </c>
    </row>
    <row r="5" customFormat="false" ht="26.85" hidden="false" customHeight="false" outlineLevel="0" collapsed="false">
      <c r="A5" s="8" t="s">
        <v>357</v>
      </c>
      <c r="B5" s="9" t="s">
        <v>358</v>
      </c>
    </row>
    <row r="6" customFormat="false" ht="64.9" hidden="false" customHeight="false" outlineLevel="0" collapsed="false">
      <c r="A6" s="8" t="s">
        <v>20</v>
      </c>
      <c r="B6" s="9" t="s">
        <v>359</v>
      </c>
    </row>
    <row r="7" customFormat="false" ht="15" hidden="false" customHeight="false" outlineLevel="0" collapsed="false">
      <c r="A7" s="8" t="s">
        <v>21</v>
      </c>
      <c r="B7" s="9" t="s">
        <v>360</v>
      </c>
    </row>
    <row r="8" customFormat="false" ht="26.85" hidden="false" customHeight="false" outlineLevel="0" collapsed="false">
      <c r="A8" s="8" t="s">
        <v>361</v>
      </c>
      <c r="B8" s="9" t="s">
        <v>362</v>
      </c>
    </row>
    <row r="9" customFormat="false" ht="15" hidden="false" customHeight="false" outlineLevel="0" collapsed="false">
      <c r="A9" s="8" t="s">
        <v>363</v>
      </c>
      <c r="B9" s="9" t="s">
        <v>364</v>
      </c>
    </row>
    <row r="10" customFormat="false" ht="15" hidden="false" customHeight="false" outlineLevel="0" collapsed="false">
      <c r="A10" s="8" t="s">
        <v>365</v>
      </c>
      <c r="B10" s="9" t="s">
        <v>366</v>
      </c>
    </row>
    <row r="11" customFormat="false" ht="15" hidden="false" customHeight="false" outlineLevel="0" collapsed="false">
      <c r="A11" s="8" t="s">
        <v>25</v>
      </c>
      <c r="B11" s="9" t="s">
        <v>367</v>
      </c>
    </row>
    <row r="12" customFormat="false" ht="26.85" hidden="false" customHeight="false" outlineLevel="0" collapsed="false">
      <c r="A12" s="8" t="s">
        <v>26</v>
      </c>
      <c r="B12" s="9" t="s">
        <v>368</v>
      </c>
    </row>
    <row r="13" customFormat="false" ht="15" hidden="false" customHeight="false" outlineLevel="0" collapsed="false">
      <c r="A13" s="8" t="s">
        <v>369</v>
      </c>
      <c r="B13" s="9" t="s">
        <v>370</v>
      </c>
    </row>
    <row r="14" customFormat="false" ht="15" hidden="false" customHeight="false" outlineLevel="0" collapsed="false">
      <c r="A14" s="8" t="s">
        <v>371</v>
      </c>
      <c r="B14" s="9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2026-09-23T17:15:35Z</dcterms:created>
  <dc:creator>openpyxl</dc:creator>
  <dc:description/>
  <dc:language>en-US</dc:language>
  <cp:lastModifiedBy/>
  <dcterms:modified xsi:type="dcterms:W3CDTF">2026-09-23T17:15:36Z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