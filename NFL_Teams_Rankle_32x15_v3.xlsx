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<sst xmlns="http://schemas.openxmlformats.org/spreadsheetml/2006/main" count="2350" uniqueCount="244">
  <si>
    <t xml:space="preserve">Team</t>
  </si>
  <si>
    <t xml:space="preserve">Am heutigen Standort seit (Jahr)</t>
  </si>
  <si>
    <t xml:space="preserve">Jahre ohne Meistertitel (Jahre)</t>
  </si>
  <si>
    <t xml:space="preserve">Playoff-Siege all-time (Siege)</t>
  </si>
  <si>
    <t xml:space="preserve">Hall-of-Famers (Personen)</t>
  </si>
  <si>
    <t xml:space="preserve">Siegquote Regular Season all-time (%)</t>
  </si>
  <si>
    <t xml:space="preserve">Stadion eröffnet (Jahr)</t>
  </si>
  <si>
    <t xml:space="preserve">Stadionkapazität (Plätze)</t>
  </si>
  <si>
    <t xml:space="preserve">Stadion-Baukosten (Mio. USD)</t>
  </si>
  <si>
    <t xml:space="preserve">Reisekilometer zu den Divisionsgegnern (km)</t>
  </si>
  <si>
    <t xml:space="preserve">Einwohner Metropolregion (Mio.)</t>
  </si>
  <si>
    <t xml:space="preserve">Social-Media-Follower (Mio.)</t>
  </si>
  <si>
    <t xml:space="preserve">Betriebsgewinn Saison 2025 (Mio. USD)</t>
  </si>
  <si>
    <t xml:space="preserve">Punkte erzielt Regular Season 2025 (Punkte)</t>
  </si>
  <si>
    <t xml:space="preserve">Besitzerfamilie seit (Jahr)</t>
  </si>
  <si>
    <t xml:space="preserve">Erster Pick im Draft 2026 (Overall-Nr.)</t>
  </si>
  <si>
    <t xml:space="preserve">HILFSSPALTE: Siege RS all-time (Ende 2025)</t>
  </si>
  <si>
    <t xml:space="preserve">HILFSSPALTE: Niederlagen RS all-time</t>
  </si>
  <si>
    <t xml:space="preserve">HILFSSPALTE: Remis RS all-time</t>
  </si>
  <si>
    <t xml:space="preserve">HILFSSPALTE: Breite Stadion (° N)</t>
  </si>
  <si>
    <t xml:space="preserve">HILFSSPALTE: Länge Stadion (° W)</t>
  </si>
  <si>
    <t xml:space="preserve">HILFSSPALTE: Letzter Titel (Saison)</t>
  </si>
  <si>
    <t xml:space="preserve">HILFSSPALTE: Erste Saison</t>
  </si>
  <si>
    <t xml:space="preserve">HILFSSPALTE: Division 2026</t>
  </si>
  <si>
    <t xml:space="preserve">Anmerkung</t>
  </si>
  <si>
    <t xml:space="preserve">Arizona Cardinals</t>
  </si>
  <si>
    <t xml:space="preserve">NFC West</t>
  </si>
  <si>
    <t xml:space="preserve">Ältestes durchgehend bestehendes Profi-Team: Chicago → St. Louis (1960) → Arizona (1988). Letzter Titel 1947 (NFL Championship). Bidwill-Familie seit 1933.</t>
  </si>
  <si>
    <t xml:space="preserve">Atlanta Falcons</t>
  </si>
  <si>
    <t xml:space="preserve">NFC South</t>
  </si>
  <si>
    <t xml:space="preserve">Nie Meister; Durststrecke = seit Gründung 1966. Erster Pick 2026 erst in Runde 2 (Nr. 48).</t>
  </si>
  <si>
    <t xml:space="preserve">Baltimore Ravens</t>
  </si>
  <si>
    <t xml:space="preserve">AFC North</t>
  </si>
  <si>
    <t xml:space="preserve">Offiziell Neugründung 1996 (Browns-Geschichte blieb in Cleveland). Titel: SB XXXV (2000), SB XLVII (2012).</t>
  </si>
  <si>
    <t xml:space="preserve">Buffalo Bills</t>
  </si>
  <si>
    <t xml:space="preserve">AFC East</t>
  </si>
  <si>
    <t xml:space="preserve">Neues Highmark Stadium seit 2026 – kleinstes Stadion der Liga. Letzter Titel: AFL 1965. Erster Pick 2026: Nr. 35 (Runde 2).</t>
  </si>
  <si>
    <t xml:space="preserve">Carolina Panthers</t>
  </si>
  <si>
    <t xml:space="preserve">Nie Meister; Durststrecke = seit Gründung 1995.</t>
  </si>
  <si>
    <t xml:space="preserve">Chicago Bears</t>
  </si>
  <si>
    <t xml:space="preserve">NFC North</t>
  </si>
  <si>
    <t xml:space="preserve">Seit 1921 in Chicago (1920 Decatur Staleys). Meiste Hall-of-Famers. Baukosten = Umbau 2003. Halas/McCaskey-Familie seit Gründung 1920.</t>
  </si>
  <si>
    <t xml:space="preserve">Cincinnati Bengals</t>
  </si>
  <si>
    <t xml:space="preserve">Nie Meister; Durststrecke = seit Gründung 1968. Brown-Familie seit Gründung. Erstrundenpick 2026 an Giants abgegeben (Dexter Lawrence).</t>
  </si>
  <si>
    <t xml:space="preserve">Cleveland Browns</t>
  </si>
  <si>
    <t xml:space="preserve">Erste Saison 1946 (AAFC); 1996–98 pausiert. Letzter Titel 1964 (NFL Championship).</t>
  </si>
  <si>
    <t xml:space="preserve">Dallas Cowboys</t>
  </si>
  <si>
    <t xml:space="preserve">NFC East</t>
  </si>
  <si>
    <t xml:space="preserve">Höchster Betriebsgewinn der Liga (Forbes 2026: 677 Mio. USD). Letzter Titel: SB XXX (Saison 1995).</t>
  </si>
  <si>
    <t xml:space="preserve">Denver Broncos</t>
  </si>
  <si>
    <t xml:space="preserve">AFC West</t>
  </si>
  <si>
    <t xml:space="preserve">AFC-Finalist 2025. Erster Pick 2026 erst Nr. 66 (Runde 3) – spätester Erstpick aller Teams.</t>
  </si>
  <si>
    <t xml:space="preserve">Detroit Lions</t>
  </si>
  <si>
    <t xml:space="preserve">Letzter Titel 1957 (NFL Championship) – längste Durststrecke eines Ex-Meisters. Ford-Familie seit 1964.</t>
  </si>
  <si>
    <t xml:space="preserve">Green Bay Packers</t>
  </si>
  <si>
    <t xml:space="preserve">Lambeau Field kostete 1957 nur 960'000 USD. Kleinste Metropolregion. Einziges Team im Publikumsbesitz (Green Bay Packers, Inc., seit 1923).</t>
  </si>
  <si>
    <t xml:space="preserve">Houston Texans</t>
  </si>
  <si>
    <t xml:space="preserve">AFC South</t>
  </si>
  <si>
    <t xml:space="preserve">Jüngstes Team (2002); nie Meister. McNair-Familie zahlte 1999 für die Franchise.</t>
  </si>
  <si>
    <t xml:space="preserve">Indianapolis Colts</t>
  </si>
  <si>
    <t xml:space="preserve">Bis 1983 Baltimore Colts. Irsay-Familie seit 1972.</t>
  </si>
  <si>
    <t xml:space="preserve">Jacksonville Jaguars</t>
  </si>
  <si>
    <t xml:space="preserve">Nie Meister; Durststrecke = seit Gründung 1995. Tiefster Betriebsgewinn (Forbes 2026).</t>
  </si>
  <si>
    <t xml:space="preserve">Kansas City Chiefs</t>
  </si>
  <si>
    <t xml:space="preserve">1960–62 Dallas Texans. Letzter Titel: SB LVIII (Saison 2023). Hunt-Familie seit Gründung 1960.</t>
  </si>
  <si>
    <t xml:space="preserve">Las Vegas Raiders</t>
  </si>
  <si>
    <t xml:space="preserve">Oakland → LA → Oakland → Las Vegas (2020). Nr.-1-Pick 2026 (Fernando Mendoza). Davis-Familie seit 1972.</t>
  </si>
  <si>
    <t xml:space="preserve">Los Angeles Chargers</t>
  </si>
  <si>
    <t xml:space="preserve">1961–2016 San Diego. Teilen SoFi Stadium (5,5 Mrd. USD) mit den Rams. Einziger Titel: AFL 1963.</t>
  </si>
  <si>
    <t xml:space="preserve">Los Angeles Rams</t>
  </si>
  <si>
    <t xml:space="preserve">Cleveland → LA → St. Louis → LA (2016). Meiste Punkte 2025 (518). NFC-Finalist 2025.</t>
  </si>
  <si>
    <t xml:space="preserve">Miami Dolphins</t>
  </si>
  <si>
    <t xml:space="preserve">Letzter Titel: SB VIII (Saison 1973).</t>
  </si>
  <si>
    <t xml:space="preserve">Minnesota Vikings</t>
  </si>
  <si>
    <t xml:space="preserve">Nie Meister (4 verlorene Super Bowls); längste Durststrecke eines Nie-Meisters (seit 1961). Tiefster Betriebsgewinn laut Forbes 2026 (25 Mio.).</t>
  </si>
  <si>
    <t xml:space="preserve">New England Patriots</t>
  </si>
  <si>
    <t xml:space="preserve">Meiste Playoff-Siege (40) &amp; meiste Social-Media-Follower. Super-Bowl-LX-Finalist. Kraft-Familie seit 1994.</t>
  </si>
  <si>
    <t xml:space="preserve">New Orleans Saints</t>
  </si>
  <si>
    <t xml:space="preserve">Einziger Titel: SB XLIV (Saison 2009). Benson-Familie seit 1985.</t>
  </si>
  <si>
    <t xml:space="preserve">New York Giants</t>
  </si>
  <si>
    <t xml:space="preserve">Teilen MetLife Stadium (New Jersey) mit den Jets. Mara-Familie seit Gründung 1925 (50 % Tisch seit 1991).</t>
  </si>
  <si>
    <t xml:space="preserve">New York Jets</t>
  </si>
  <si>
    <t xml:space="preserve">Teilen MetLife Stadium mit den Giants. Einziger Titel: SB III (Saison 1968). Drei Erstrundenpicks 2026 (Nr. 2, 16, 30).</t>
  </si>
  <si>
    <t xml:space="preserve">Philadelphia Eagles</t>
  </si>
  <si>
    <t xml:space="preserve">Titelverteidiger von SB LIX (Saison 2024). Lurie seit 1994.</t>
  </si>
  <si>
    <t xml:space="preserve">Pittsburgh Steelers</t>
  </si>
  <si>
    <t xml:space="preserve">Rooney-Familie seit Gründung 1933. Letzter Titel: SB XLIII (Saison 2008).</t>
  </si>
  <si>
    <t xml:space="preserve">San Francisco 49ers</t>
  </si>
  <si>
    <t xml:space="preserve">Stadion in Santa Clara; Metro = San Francisco–Oakland. Playoff-Siege: 39 nach eigener Spielzählung (Wikipedia-Tabelle nennt 40) – vor Livegang prüfen. DeBartolo/York-Familie seit 1977.</t>
  </si>
  <si>
    <t xml:space="preserve">Seattle Seahawks</t>
  </si>
  <si>
    <t xml:space="preserve">Super-Bowl-LX-Sieger. Playoff-Siege: 20 (Seattle Times: 18 nach Divisional Round + NFC-Final + SB). Verkauf an Vinod Khosla 2026 (9,6 Mrd. USD, Forbes 9/2026) – Abschluss vor Livegang prüfen; vorher Allen-Familie seit 1997.</t>
  </si>
  <si>
    <t xml:space="preserve">Tampa Bay Buccaneers</t>
  </si>
  <si>
    <t xml:space="preserve">Letzter Titel: SB LV (Saison 2020). Glazer-Familie seit 1995.</t>
  </si>
  <si>
    <t xml:space="preserve">Tennessee Titans</t>
  </si>
  <si>
    <t xml:space="preserve">Bis 1996 Houston Oilers; neues Stadion ab 2027. Letzter Titel: AFL 1961. Adams-Familie seit Gründung 1960.</t>
  </si>
  <si>
    <t xml:space="preserve">Washington Commanders</t>
  </si>
  <si>
    <t xml:space="preserve">1932–36 Boston. Letzter Titel: SB XXVI (Saison 1991). Harris-Gruppe seit 2023.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</si>
  <si>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</si>
  <si>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</si>
  <si>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</si>
  <si>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Am heutigen Standort seit</t>
  </si>
  <si>
    <t xml:space="preserve">Jahre ohne Meistertitel</t>
  </si>
  <si>
    <t xml:space="preserve">Playoff-Siege all-time</t>
  </si>
  <si>
    <t xml:space="preserve">Hall-of-Famers</t>
  </si>
  <si>
    <t xml:space="preserve">Siegquote Regular Season all-time</t>
  </si>
  <si>
    <t xml:space="preserve">Stadion eröffnet</t>
  </si>
  <si>
    <t xml:space="preserve">Stadionkapazität</t>
  </si>
  <si>
    <t xml:space="preserve">Stadion-Baukosten</t>
  </si>
  <si>
    <t xml:space="preserve">Reisekilometer zu den Divisionsgegnern</t>
  </si>
  <si>
    <t xml:space="preserve">Einwohner Metropolregion</t>
  </si>
  <si>
    <t xml:space="preserve">Social-Media-Follower</t>
  </si>
  <si>
    <t xml:space="preserve">Betriebsgewinn Saison 2025</t>
  </si>
  <si>
    <t xml:space="preserve">Punkte erzielt Regular Season 2025</t>
  </si>
  <si>
    <t xml:space="preserve">Besitzerfamilie seit</t>
  </si>
  <si>
    <t xml:space="preserve">Erster Pick im Draft 2026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</si>
  <si>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</si>
  <si>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</si>
  <si>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</si>
  <si>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</si>
  <si>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</si>
  <si>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Rang 1 = bester Wert in Spielrichtung (siehe Blatt Kategorien). Gleiche Werte = gleicher Rang. Formeln beziehen sich live auf das Datenblatt.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</si>
  <si>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</si>
  <si>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</si>
  <si>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</si>
  <si>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</si>
  <si>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</si>
  <si>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</si>
  <si>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</si>
  <si>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</si>
  <si>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</si>
  <si>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</si>
  <si>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</si>
  <si>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</si>
  <si>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</si>
  <si>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am längsten (ältestes Jahr)</t>
  </si>
  <si>
    <t xml:space="preserve">Chicago Bears, Green Bay Packers</t>
  </si>
  <si>
    <t xml:space="preserve">hart</t>
  </si>
  <si>
    <t xml:space="preserve">≥ 3 Jahre</t>
  </si>
  <si>
    <t xml:space="preserve">Erste Saison am heutigen Standort/Markt (Umzüge zählen neu). Stand Saison 2026.</t>
  </si>
  <si>
    <t xml:space="preserve">Franchise-Geschichten (Wikipedia/NFL)</t>
  </si>
  <si>
    <t xml:space="preserve">Vier AFL-Gründungsteams (1960) und drei weitere Paare sind gleich – diese nicht gemeinsam in eine Runde losen.</t>
  </si>
  <si>
    <t xml:space="preserve">Nur bei Umzug (nächster geplant: keiner vor 2027).</t>
  </si>
  <si>
    <t xml:space="preserve">Jahre</t>
  </si>
  <si>
    <t xml:space="preserve">längste Durststrecke</t>
  </si>
  <si>
    <t xml:space="preserve">Referenzjahr (2026) minus Saison des letzten Titels (NFL-/AFL-Championship oder Super Bowl). Nie Meister: Jahre seit erster Saison. Stand Sept. 2026.</t>
  </si>
  <si>
    <t xml:space="preserve">Wikipedia 'List of NFL champions'; Hilfsspalten 'Letzter Titel' und 'Erste Saison'</t>
  </si>
  <si>
    <t xml:space="preserve">Formel: =Referenzjahr − letzter Titel (bzw. erste Saison). Falcons/Bengals/Vikings/Panthers/Jaguars/Texans nie Meister.</t>
  </si>
  <si>
    <t xml:space="preserve">Jährlich nach dem Super Bowl (Titelsaison + Referenzjahr).</t>
  </si>
  <si>
    <t xml:space="preserve">Siege</t>
  </si>
  <si>
    <t xml:space="preserve">meiste</t>
  </si>
  <si>
    <t xml:space="preserve">≥ 2 Siege</t>
  </si>
  <si>
    <t xml:space="preserve">Alle Playoff-Siege inkl. Super Bowl und AAFC/AFL-Playoffs, Stand nach Super Bowl LX (Feb. 2026).</t>
  </si>
  <si>
    <t xml:space="preserve">Wikipedia 'Lists of NFL team seasons' (PFR); Seahawks 20 und 49ers 39 nach Spielzählung korrigiert (Seattle Times 17.01.2026)</t>
  </si>
  <si>
    <t xml:space="preserve">Seahawks laut Wikipedia-Tabelle 19 (falsch, tatsächlich 3 Playoff-Siege 2025/26 → 20). 49ers: 39 vs. 40 vor Livegang prüfen.</t>
  </si>
  <si>
    <t xml:space="preserve">Jährlich nach den Playoffs.</t>
  </si>
  <si>
    <t xml:space="preserve">Personen</t>
  </si>
  <si>
    <t xml:space="preserve">mittel</t>
  </si>
  <si>
    <t xml:space="preserve">≥ 2 Personen</t>
  </si>
  <si>
    <t xml:space="preserve">Mitglieder der Pro Football Hall of Fame, je Person ein Primärteam, inkl. Class of 2026 (Brees, Craig, Fitzgerald, Kuechly, Vinatieri).</t>
  </si>
  <si>
    <t xml:space="preserve">LegionReport 'NFL Hall of Famers by Team' (Juli 2026)</t>
  </si>
  <si>
    <t xml:space="preserve">Zählweise nach Primärteam; andere Quellen zählen Mehrfach-Zugehörigkeiten. Vor Livegang gegen profootballhof.com prüfen.</t>
  </si>
  <si>
    <t xml:space="preserve">Jährlich im Februar (neue Klasse).</t>
  </si>
  <si>
    <t xml:space="preserve">%</t>
  </si>
  <si>
    <t xml:space="preserve">höchste</t>
  </si>
  <si>
    <t xml:space="preserve">Dallas Cowboys, Green Bay Packers</t>
  </si>
  <si>
    <t xml:space="preserve">≥ 1 Prozentpunkt</t>
  </si>
  <si>
    <t xml:space="preserve">(Siege + ½ Remis) / Spiele, Regular Season seit Gründung inkl. AFL/AAFC, Stand Ende Saison 2025.</t>
  </si>
  <si>
    <t xml:space="preserve">Wikipedia 'Lists of NFL team seasons' (PFR), Hilfsspalten W/L/T</t>
  </si>
  <si>
    <t xml:space="preserve">Formel aus grauen Hilfsspalten. Rohwerte Siege/Niederlagen/Remis bewusst nicht als eigene Attribute (zu trocken, redundant).</t>
  </si>
  <si>
    <t xml:space="preserve">Jährlich nach der Regular Season (W/L/T in Hilfsspalten).</t>
  </si>
  <si>
    <t xml:space="preserve">ältestes Stadion</t>
  </si>
  <si>
    <t xml:space="preserve">Eröffnungsjahr des Heimstadions der Saison 2026 (Soldier Field 1924, Bears erst seit 1971 dort).</t>
  </si>
  <si>
    <t xml:space="preserve">Wikipedia 'List of current NFL stadiums'</t>
  </si>
  <si>
    <t xml:space="preserve">Giants/Jets (2010) und Rams/Chargers (2020) teilen sich das Stadion – nie gemeinsam in einer Stadion-Runde.</t>
  </si>
  <si>
    <t xml:space="preserve">Bei Stadionwechsel (Titans 2027, Browns 2029).</t>
  </si>
  <si>
    <t xml:space="preserve">Plätze</t>
  </si>
  <si>
    <t xml:space="preserve">grösste</t>
  </si>
  <si>
    <t xml:space="preserve">New York Giants, New York Jets</t>
  </si>
  <si>
    <t xml:space="preserve">≥ 1500 Plätze</t>
  </si>
  <si>
    <t xml:space="preserve">Reguläre Sitzplatzkapazität Heimstadion Saison 2026.</t>
  </si>
  <si>
    <t xml:space="preserve">Wikipedia 'List of current NFL stadiums' (Stand 2026)</t>
  </si>
  <si>
    <t xml:space="preserve">Stadion-Paare (siehe oben) sind Gleichstände.</t>
  </si>
  <si>
    <t xml:space="preserve">Jährlich vor Saisonstart.</t>
  </si>
  <si>
    <t xml:space="preserve">Mio. USD</t>
  </si>
  <si>
    <t xml:space="preserve">teuerstes</t>
  </si>
  <si>
    <t xml:space="preserve">Los Angeles Chargers, Los Angeles Rams</t>
  </si>
  <si>
    <t xml:space="preserve">≥ 15 % Unterschied</t>
  </si>
  <si>
    <t xml:space="preserve">Nominale Baukosten des heutigen Stadions im Baujahr (nicht inflationsbereinigt). Soldier Field = Umbau 2003.</t>
  </si>
  <si>
    <t xml:space="preserve">Sports-King 'Complete History of Every NFL Stadium' (2026), Stadion-Wikipedia-Artikel</t>
  </si>
  <si>
    <t xml:space="preserve">Lambeau 0,96 Mio. (1957) als Kuriosum. Highmark Stadium 2,1 Mrd. – Endabrechnung vor Livegang prüfen.</t>
  </si>
  <si>
    <t xml:space="preserve">Bei Stadionwechsel.</t>
  </si>
  <si>
    <t xml:space="preserve">km</t>
  </si>
  <si>
    <t xml:space="preserve">meiste Kilometer</t>
  </si>
  <si>
    <t xml:space="preserve">≥ 300 km</t>
  </si>
  <si>
    <t xml:space="preserve">Luftlinie Heimstadion → Heimstadion der 3 Divisionsgegner, hin und zurück (Grosskreis, Erdradius 6371 km), Saison 2026.</t>
  </si>
  <si>
    <t xml:space="preserve">Stadion-Koordinaten Wikipedia (Hilfsspalten Breite/Länge); Berechnung per Formel</t>
  </si>
  <si>
    <t xml:space="preserve">Ersetzt Breiten-/Längengrad aus v2. Formel liest die grauen Koordinatenspalten (Länge West = positiv).</t>
  </si>
  <si>
    <t xml:space="preserve">Nur bei Umzug oder Realignment.</t>
  </si>
  <si>
    <t xml:space="preserve">Mio.</t>
  </si>
  <si>
    <t xml:space="preserve">≥ 10 % Unterschied</t>
  </si>
  <si>
    <t xml:space="preserve">Metropolitan Statistical Area des Teammarkts, Schätzung 1.7.2025.</t>
  </si>
  <si>
    <t xml:space="preserve">US Census Bureau Vintage 2025 via Wikipedia 'List of core-based statistical areas'</t>
  </si>
  <si>
    <t xml:space="preserve">Giants/Jets und Rams/Chargers = Gleichstand (gleicher Markt).</t>
  </si>
  <si>
    <t xml:space="preserve">Jährlich (Census-Schätzung im Frühjahr).</t>
  </si>
  <si>
    <t xml:space="preserve">Instagram + X + YouTube zusammen, Stand Feb. 2026. Ändert sich laufend.</t>
  </si>
  <si>
    <t xml:space="preserve">BroBible 'Ranking All 32 NFL Fan Bases' (11.02.2026)</t>
  </si>
  <si>
    <t xml:space="preserve">YouTube-Abonnenten (v2) entfernt: stark korreliert. Vor Livegang mit aktuellen Zahlen prüfen.</t>
  </si>
  <si>
    <t xml:space="preserve">Halbjährlich.</t>
  </si>
  <si>
    <t xml:space="preserve">höchster</t>
  </si>
  <si>
    <t xml:space="preserve">Forbes-Schätzung Operating Income (EBITDA) für die Saison 2025.</t>
  </si>
  <si>
    <t xml:space="preserve">Forbes 'The NFL's Most Valuable Teams 2026' (09.09.2026)</t>
  </si>
  <si>
    <t xml:space="preserve">Cowboys 677 Mio. (Reuters/Forbes bestätigt). Franchise-Wert bewusst nicht als Attribut (Werte liegen zu nahe).</t>
  </si>
  <si>
    <t xml:space="preserve">Jährlich im September (Forbes).</t>
  </si>
  <si>
    <t xml:space="preserve">Punkte</t>
  </si>
  <si>
    <t xml:space="preserve">≥ 10 Punkte</t>
  </si>
  <si>
    <t xml:space="preserve">Erzielte Punkte in der Regular Season 2025 (17 Spiele).</t>
  </si>
  <si>
    <t xml:space="preserve">Pro-Football-Reference '2025 NFL Standings'</t>
  </si>
  <si>
    <t xml:space="preserve">Rams 518 vor Patriots 490 und Seahawks 483.</t>
  </si>
  <si>
    <t xml:space="preserve">Jährlich nach der Regular Season.</t>
  </si>
  <si>
    <t xml:space="preserve">am längsten</t>
  </si>
  <si>
    <t xml:space="preserve">Jahr, seit dem die heutige Besitzerfamilie/-gruppe die Franchise kontrolliert (Vererbung innerhalb der Familie zählt nicht als Wechsel).</t>
  </si>
  <si>
    <t xml:space="preserve">Wikipedia 'List of current NFL franchise owners' (Notes-Spalte), Forbes 9/2026 (Seahawks-Verkauf)</t>
  </si>
  <si>
    <t xml:space="preserve">Seahawks: Verkauf an Vinod Khosla 2026 (Forbes 9.9.2026) – Ligafreigabe vor Livegang prüfen. Packers = Publikumsbesitz seit 1923.</t>
  </si>
  <si>
    <t xml:space="preserve">Bei Besitzerwechsel.</t>
  </si>
  <si>
    <t xml:space="preserve">Overall-Nr.</t>
  </si>
  <si>
    <t xml:space="preserve">frühester Pick</t>
  </si>
  <si>
    <t xml:space="preserve">≥ 2 Positionen</t>
  </si>
  <si>
    <t xml:space="preserve">Gesamtposition der ersten eigenen Auswahl im NFL Draft 2026 (23.–25.04.2026, inkl. getauschter Picks).</t>
  </si>
  <si>
    <t xml:space="preserve">AP/WTOP 'NFL Draft Selections 2026'</t>
  </si>
  <si>
    <t xml:space="preserve">32 verschiedene Werte, keine Gleichstände. Raiders Nr. 1 (Mendoza), Broncos erst Nr. 66.</t>
  </si>
  <si>
    <t xml:space="preserve">Jährlich Ende April.</t>
  </si>
  <si>
    <t xml:space="preserve">Stand 23.09.2026. Erfolgsdaten nach Saison 2025 (Super Bowl LX, Seahawks 29:13 Patriots), Stadien Saison 2026, Draft April 2026, Forbes 09.09.2026, Census 2025, Social Media Feb. 2026.</t>
  </si>
  <si>
    <t xml:space="preserve">Änderungen gegenüber v2: Breiten-/Längengrad, Siege/Niederlagen/Remis (Rohwerte) und YouTube-Abonnenten entfernt (Regeln 6, 7, 8). Neu: Jahre ohne Meistertitel, Reisekilometer zu Divisionsgegnern (Formel), Punkte 2025, Besitzerfamilie seit, Erster Draft-Pick 2026.</t>
  </si>
  <si>
    <t xml:space="preserve">Korrekturen gegenüber v2: Playoff-Siege Seahawks 19 → 20 (Bye als Nr.-1-Seed, dann 3 Siege), 49ers 40 → 39 (Spielzählung; Wikipedia-Tabelle nennt 40, vor Livegang prüfen). Alle übrigen v2-Werte (Kapazität, Eröffnung, Baukosten, Bilanzen, HOF, Metro, Social, Forbes) gegen die genannten Quellen geprüft.</t>
  </si>
  <si>
    <t xml:space="preserve">Mindestabstand: Zwei Teams nur dann in dieselbe Runde losen, wenn sich ihre Werte mindestens um diesen Abstand unterscheiden. Alle Verstösse im Blatt 'Paar-Check'.</t>
  </si>
  <si>
    <t xml:space="preserve">Unvermeidbare Gleichstände: Giants/Jets und Rams/Chargers teilen Stadion und Metropolregion – diese Paare nie gemeinsam in einer Stadion-/Einwohner-Runde verwenden.</t>
  </si>
  <si>
    <t xml:space="preserve">Vor Livegang prüfen: 49ers Playoff-Siege (39/40), Seahawks-Besitzerwechsel (2026), HOF-Zählweise LegionReport, Social-Media-Zahlen (Feb. 2026), Highmark-Baukosten.</t>
  </si>
  <si>
    <t xml:space="preserve">Team A</t>
  </si>
  <si>
    <t xml:space="preserve">Wert A</t>
  </si>
  <si>
    <t xml:space="preserve">Team B</t>
  </si>
  <si>
    <t xml:space="preserve">Wert B</t>
  </si>
  <si>
    <t xml:space="preserve">Differenz</t>
  </si>
  <si>
    <t xml:space="preserve">Gleichstand?</t>
  </si>
  <si>
    <t xml:space="preserve">ja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</si>
</sst>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6" min="2" style="0" width="15"/>
    <col collapsed="false" customWidth="true" hidden="false" outlineLevel="0" max="24" min="17" style="0" width="13"/>
    <col collapsed="false" customWidth="true" hidden="false" outlineLevel="0" max="25" min="25" style="0" width="60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customFormat="false" ht="32.8" hidden="false" customHeight="false" outlineLevel="0" collapsed="false">
      <c r="A2" s="3" t="s">
        <v>25</v>
      </c>
      <c r="B2" s="4" t="n">
        <v>1988</v>
      </c>
      <c r="C2" s="4" t="n">
        <f aca="false">$B$35-IF(V2="",W2,V2)</f>
        <v>79</v>
      </c>
      <c r="D2" s="4" t="n">
        <v>7</v>
      </c>
      <c r="E2" s="4" t="n">
        <v>13</v>
      </c>
      <c r="F2" s="5" t="n">
        <f aca="false">ROUND((Q2+0.5*S2)/(Q2+R2+S2),3)</f>
        <v>0.421</v>
      </c>
      <c r="G2" s="4" t="n">
        <v>2006</v>
      </c>
      <c r="H2" s="4" t="n">
        <v>63400</v>
      </c>
      <c r="I2" s="4" t="n">
        <v>455</v>
      </c>
      <c r="J2" s="6" t="n">
        <f aca="false">ROUND(2*6371*(ACOS(MIN(1,SIN(RADIANS(T2))*SIN(RADIANS(T20))+COS(RADIANS(T2))*COS(RADIANS(T20))*COS(RADIANS(U2-U20))))+ACOS(MIN(1,SIN(RADIANS(T2))*SIN(RADIANS(T29))+COS(RADIANS(T2))*COS(RADIANS(T29))*COS(RADIANS(U2-U29))))+ACOS(MIN(1,SIN(RADIANS(T2))*SIN(RADIANS(T30))+COS(RADIANS(T2))*COS(RADIANS(T30))*COS(RADIANS(U2-U30))))),0)</f>
        <v>6638</v>
      </c>
      <c r="K2" s="5" t="n">
        <v>5.229</v>
      </c>
      <c r="L2" s="5" t="n">
        <v>2.321</v>
      </c>
      <c r="M2" s="4" t="n">
        <v>119</v>
      </c>
      <c r="N2" s="4" t="n">
        <v>355</v>
      </c>
      <c r="O2" s="4" t="n">
        <v>1933</v>
      </c>
      <c r="P2" s="4" t="n">
        <v>3</v>
      </c>
      <c r="Q2" s="7" t="n">
        <v>596</v>
      </c>
      <c r="R2" s="7" t="n">
        <v>826</v>
      </c>
      <c r="S2" s="7" t="n">
        <v>41</v>
      </c>
      <c r="T2" s="8" t="n">
        <v>33.528</v>
      </c>
      <c r="U2" s="8" t="n">
        <v>112.263</v>
      </c>
      <c r="V2" s="7" t="n">
        <v>1947</v>
      </c>
      <c r="W2" s="7" t="n">
        <v>1920</v>
      </c>
      <c r="X2" s="7" t="s">
        <v>26</v>
      </c>
      <c r="Y2" s="9" t="s">
        <v>27</v>
      </c>
    </row>
    <row r="3" customFormat="false" ht="22.35" hidden="false" customHeight="false" outlineLevel="0" collapsed="false">
      <c r="A3" s="3" t="s">
        <v>28</v>
      </c>
      <c r="B3" s="4" t="n">
        <v>1966</v>
      </c>
      <c r="C3" s="4" t="n">
        <f aca="false">$B$35-IF(V3="",W3,V3)</f>
        <v>60</v>
      </c>
      <c r="D3" s="4" t="n">
        <v>10</v>
      </c>
      <c r="E3" s="4" t="n">
        <v>2</v>
      </c>
      <c r="F3" s="5" t="n">
        <f aca="false">ROUND((Q3+0.5*S3)/(Q3+R3+S3),3)</f>
        <v>0.438</v>
      </c>
      <c r="G3" s="4" t="n">
        <v>2017</v>
      </c>
      <c r="H3" s="4" t="n">
        <v>71000</v>
      </c>
      <c r="I3" s="4" t="n">
        <v>1500</v>
      </c>
      <c r="J3" s="6" t="n">
        <f aca="false">ROUND(2*6371*(ACOS(MIN(1,SIN(RADIANS(T3))*SIN(RADIANS(T6))+COS(RADIANS(T3))*COS(RADIANS(T6))*COS(RADIANS(U3-U6))))+ACOS(MIN(1,SIN(RADIANS(T3))*SIN(RADIANS(T24))+COS(RADIANS(T3))*COS(RADIANS(T24))*COS(RADIANS(U3-U24))))+ACOS(MIN(1,SIN(RADIANS(T3))*SIN(RADIANS(T31))+COS(RADIANS(T3))*COS(RADIANS(T31))*COS(RADIANS(U3-U31))))),0)</f>
        <v>3429</v>
      </c>
      <c r="K3" s="5" t="n">
        <v>6.482</v>
      </c>
      <c r="L3" s="5" t="n">
        <v>3.933</v>
      </c>
      <c r="M3" s="4" t="n">
        <v>240</v>
      </c>
      <c r="N3" s="4" t="n">
        <v>353</v>
      </c>
      <c r="O3" s="4" t="n">
        <v>2002</v>
      </c>
      <c r="P3" s="4" t="n">
        <v>48</v>
      </c>
      <c r="Q3" s="7" t="n">
        <v>406</v>
      </c>
      <c r="R3" s="7" t="n">
        <v>521</v>
      </c>
      <c r="S3" s="7" t="n">
        <v>6</v>
      </c>
      <c r="T3" s="8" t="n">
        <v>33.755</v>
      </c>
      <c r="U3" s="8" t="n">
        <v>84.401</v>
      </c>
      <c r="V3" s="7"/>
      <c r="W3" s="7" t="n">
        <v>1966</v>
      </c>
      <c r="X3" s="7" t="s">
        <v>29</v>
      </c>
      <c r="Y3" s="9" t="s">
        <v>30</v>
      </c>
    </row>
    <row r="4" customFormat="false" ht="22.35" hidden="false" customHeight="false" outlineLevel="0" collapsed="false">
      <c r="A4" s="3" t="s">
        <v>31</v>
      </c>
      <c r="B4" s="4" t="n">
        <v>1996</v>
      </c>
      <c r="C4" s="4" t="n">
        <f aca="false">$B$35-IF(V4="",W4,V4)</f>
        <v>14</v>
      </c>
      <c r="D4" s="4" t="n">
        <v>18</v>
      </c>
      <c r="E4" s="4" t="n">
        <v>3</v>
      </c>
      <c r="F4" s="5" t="n">
        <f aca="false">ROUND((Q4+0.5*S4)/(Q4+R4+S4),3)</f>
        <v>0.57</v>
      </c>
      <c r="G4" s="4" t="n">
        <v>1998</v>
      </c>
      <c r="H4" s="4" t="n">
        <v>71008</v>
      </c>
      <c r="I4" s="4" t="n">
        <v>220</v>
      </c>
      <c r="J4" s="6" t="n">
        <f aca="false">ROUND(2*6371*(ACOS(MIN(1,SIN(RADIANS(T4))*SIN(RADIANS(T8))+COS(RADIANS(T4))*COS(RADIANS(T8))*COS(RADIANS(U4-U8))))+ACOS(MIN(1,SIN(RADIANS(T4))*SIN(RADIANS(T9))+COS(RADIANS(T4))*COS(RADIANS(T9))*COS(RADIANS(U4-U9))))+ACOS(MIN(1,SIN(RADIANS(T4))*SIN(RADIANS(T28))+COS(RADIANS(T4))*COS(RADIANS(T28))*COS(RADIANS(U4-U28))))),0)</f>
        <v>2988</v>
      </c>
      <c r="K4" s="5" t="n">
        <v>2.858</v>
      </c>
      <c r="L4" s="5" t="n">
        <v>4.553</v>
      </c>
      <c r="M4" s="4" t="n">
        <v>77</v>
      </c>
      <c r="N4" s="4" t="n">
        <v>424</v>
      </c>
      <c r="O4" s="4" t="n">
        <v>2004</v>
      </c>
      <c r="P4" s="4" t="n">
        <v>14</v>
      </c>
      <c r="Q4" s="7" t="n">
        <v>276</v>
      </c>
      <c r="R4" s="7" t="n">
        <v>208</v>
      </c>
      <c r="S4" s="7" t="n">
        <v>1</v>
      </c>
      <c r="T4" s="8" t="n">
        <v>39.278</v>
      </c>
      <c r="U4" s="8" t="n">
        <v>76.623</v>
      </c>
      <c r="V4" s="7" t="n">
        <v>2012</v>
      </c>
      <c r="W4" s="7" t="n">
        <v>1996</v>
      </c>
      <c r="X4" s="7" t="s">
        <v>32</v>
      </c>
      <c r="Y4" s="9" t="s">
        <v>33</v>
      </c>
    </row>
    <row r="5" customFormat="false" ht="22.35" hidden="false" customHeight="false" outlineLevel="0" collapsed="false">
      <c r="A5" s="3" t="s">
        <v>34</v>
      </c>
      <c r="B5" s="4" t="n">
        <v>1960</v>
      </c>
      <c r="C5" s="4" t="n">
        <f aca="false">$B$35-IF(V5="",W5,V5)</f>
        <v>61</v>
      </c>
      <c r="D5" s="4" t="n">
        <v>22</v>
      </c>
      <c r="E5" s="4" t="n">
        <v>9</v>
      </c>
      <c r="F5" s="5" t="n">
        <f aca="false">ROUND((Q5+0.5*S5)/(Q5+R5+S5),3)</f>
        <v>0.494</v>
      </c>
      <c r="G5" s="4" t="n">
        <v>2026</v>
      </c>
      <c r="H5" s="4" t="n">
        <v>60108</v>
      </c>
      <c r="I5" s="4" t="n">
        <v>2100</v>
      </c>
      <c r="J5" s="6" t="n">
        <f aca="false">ROUND(2*6371*(ACOS(MIN(1,SIN(RADIANS(T5))*SIN(RADIANS(T21))+COS(RADIANS(T5))*COS(RADIANS(T21))*COS(RADIANS(U5-U21))))+ACOS(MIN(1,SIN(RADIANS(T5))*SIN(RADIANS(T23))+COS(RADIANS(T5))*COS(RADIANS(T23))*COS(RADIANS(U5-U23))))+ACOS(MIN(1,SIN(RADIANS(T5))*SIN(RADIANS(T26))+COS(RADIANS(T5))*COS(RADIANS(T26))*COS(RADIANS(U5-U26))))),0)</f>
        <v>5887</v>
      </c>
      <c r="K5" s="5" t="n">
        <v>1.156</v>
      </c>
      <c r="L5" s="5" t="n">
        <v>4.558</v>
      </c>
      <c r="M5" s="4" t="n">
        <v>58</v>
      </c>
      <c r="N5" s="4" t="n">
        <v>481</v>
      </c>
      <c r="O5" s="4" t="n">
        <v>2014</v>
      </c>
      <c r="P5" s="4" t="n">
        <v>35</v>
      </c>
      <c r="Q5" s="7" t="n">
        <v>498</v>
      </c>
      <c r="R5" s="7" t="n">
        <v>510</v>
      </c>
      <c r="S5" s="7" t="n">
        <v>8</v>
      </c>
      <c r="T5" s="8" t="n">
        <v>42.774</v>
      </c>
      <c r="U5" s="8" t="n">
        <v>78.787</v>
      </c>
      <c r="V5" s="7" t="n">
        <v>1965</v>
      </c>
      <c r="W5" s="7" t="n">
        <v>1960</v>
      </c>
      <c r="X5" s="7" t="s">
        <v>35</v>
      </c>
      <c r="Y5" s="9" t="s">
        <v>36</v>
      </c>
    </row>
    <row r="6" customFormat="false" ht="15" hidden="false" customHeight="false" outlineLevel="0" collapsed="false">
      <c r="A6" s="3" t="s">
        <v>37</v>
      </c>
      <c r="B6" s="4" t="n">
        <v>1995</v>
      </c>
      <c r="C6" s="4" t="n">
        <f aca="false">$B$35-IF(V6="",W6,V6)</f>
        <v>31</v>
      </c>
      <c r="D6" s="4" t="n">
        <v>9</v>
      </c>
      <c r="E6" s="4" t="n">
        <v>2</v>
      </c>
      <c r="F6" s="5" t="n">
        <f aca="false">ROUND((Q6+0.5*S6)/(Q6+R6+S6),3)</f>
        <v>0.454</v>
      </c>
      <c r="G6" s="4" t="n">
        <v>1996</v>
      </c>
      <c r="H6" s="4" t="n">
        <v>75037</v>
      </c>
      <c r="I6" s="4" t="n">
        <v>242</v>
      </c>
      <c r="J6" s="6" t="n">
        <f aca="false">ROUND(2*6371*(ACOS(MIN(1,SIN(RADIANS(T6))*SIN(RADIANS(T3))+COS(RADIANS(T6))*COS(RADIANS(T3))*COS(RADIANS(U6-U3))))+ACOS(MIN(1,SIN(RADIANS(T6))*SIN(RADIANS(T24))+COS(RADIANS(T6))*COS(RADIANS(T24))*COS(RADIANS(U6-U24))))+ACOS(MIN(1,SIN(RADIANS(T6))*SIN(RADIANS(T31))+COS(RADIANS(T6))*COS(RADIANS(T31))*COS(RADIANS(U6-U31))))),0)</f>
        <v>4458</v>
      </c>
      <c r="K6" s="5" t="n">
        <v>2.939</v>
      </c>
      <c r="L6" s="5" t="n">
        <v>5.073</v>
      </c>
      <c r="M6" s="4" t="n">
        <v>88</v>
      </c>
      <c r="N6" s="4" t="n">
        <v>311</v>
      </c>
      <c r="O6" s="4" t="n">
        <v>2018</v>
      </c>
      <c r="P6" s="4" t="n">
        <v>19</v>
      </c>
      <c r="Q6" s="7" t="n">
        <v>227</v>
      </c>
      <c r="R6" s="7" t="n">
        <v>273</v>
      </c>
      <c r="S6" s="7" t="n">
        <v>1</v>
      </c>
      <c r="T6" s="8" t="n">
        <v>35.226</v>
      </c>
      <c r="U6" s="8" t="n">
        <v>80.853</v>
      </c>
      <c r="V6" s="7"/>
      <c r="W6" s="7" t="n">
        <v>1995</v>
      </c>
      <c r="X6" s="7" t="s">
        <v>29</v>
      </c>
      <c r="Y6" s="9" t="s">
        <v>38</v>
      </c>
    </row>
    <row r="7" customFormat="false" ht="22.35" hidden="false" customHeight="false" outlineLevel="0" collapsed="false">
      <c r="A7" s="3" t="s">
        <v>39</v>
      </c>
      <c r="B7" s="4" t="n">
        <v>1921</v>
      </c>
      <c r="C7" s="4" t="n">
        <f aca="false">$B$35-IF(V7="",W7,V7)</f>
        <v>41</v>
      </c>
      <c r="D7" s="4" t="n">
        <v>18</v>
      </c>
      <c r="E7" s="4" t="n">
        <v>29</v>
      </c>
      <c r="F7" s="5" t="n">
        <f aca="false">ROUND((Q7+0.5*S7)/(Q7+R7+S7),3)</f>
        <v>0.552</v>
      </c>
      <c r="G7" s="4" t="n">
        <v>1924</v>
      </c>
      <c r="H7" s="4" t="n">
        <v>62500</v>
      </c>
      <c r="I7" s="4" t="n">
        <v>632</v>
      </c>
      <c r="J7" s="6" t="n">
        <f aca="false">ROUND(2*6371*(ACOS(MIN(1,SIN(RADIANS(T7))*SIN(RADIANS(T12))+COS(RADIANS(T7))*COS(RADIANS(T12))*COS(RADIANS(U7-U12))))+ACOS(MIN(1,SIN(RADIANS(T7))*SIN(RADIANS(T13))+COS(RADIANS(T7))*COS(RADIANS(T13))*COS(RADIANS(U7-U13))))+ACOS(MIN(1,SIN(RADIANS(T7))*SIN(RADIANS(T22))+COS(RADIANS(T7))*COS(RADIANS(T22))*COS(RADIANS(U7-U22))))),0)</f>
        <v>2497</v>
      </c>
      <c r="K7" s="5" t="n">
        <v>9.434</v>
      </c>
      <c r="L7" s="5" t="n">
        <v>4.504</v>
      </c>
      <c r="M7" s="4" t="n">
        <v>73</v>
      </c>
      <c r="N7" s="4" t="n">
        <v>441</v>
      </c>
      <c r="O7" s="4" t="n">
        <v>1920</v>
      </c>
      <c r="P7" s="4" t="n">
        <v>25</v>
      </c>
      <c r="Q7" s="7" t="n">
        <v>809</v>
      </c>
      <c r="R7" s="7" t="n">
        <v>652</v>
      </c>
      <c r="S7" s="7" t="n">
        <v>42</v>
      </c>
      <c r="T7" s="8" t="n">
        <v>41.862</v>
      </c>
      <c r="U7" s="8" t="n">
        <v>87.617</v>
      </c>
      <c r="V7" s="7" t="n">
        <v>1985</v>
      </c>
      <c r="W7" s="7" t="n">
        <v>1920</v>
      </c>
      <c r="X7" s="7" t="s">
        <v>40</v>
      </c>
      <c r="Y7" s="9" t="s">
        <v>41</v>
      </c>
    </row>
    <row r="8" customFormat="false" ht="22.35" hidden="false" customHeight="false" outlineLevel="0" collapsed="false">
      <c r="A8" s="3" t="s">
        <v>42</v>
      </c>
      <c r="B8" s="4" t="n">
        <v>1968</v>
      </c>
      <c r="C8" s="4" t="n">
        <f aca="false">$B$35-IF(V8="",W8,V8)</f>
        <v>58</v>
      </c>
      <c r="D8" s="4" t="n">
        <v>10</v>
      </c>
      <c r="E8" s="4" t="n">
        <v>2</v>
      </c>
      <c r="F8" s="5" t="n">
        <f aca="false">ROUND((Q8+0.5*S8)/(Q8+R8+S8),3)</f>
        <v>0.455</v>
      </c>
      <c r="G8" s="4" t="n">
        <v>2000</v>
      </c>
      <c r="H8" s="4" t="n">
        <v>65515</v>
      </c>
      <c r="I8" s="4" t="n">
        <v>450</v>
      </c>
      <c r="J8" s="6" t="n">
        <f aca="false">ROUND(2*6371*(ACOS(MIN(1,SIN(RADIANS(T8))*SIN(RADIANS(T4))+COS(RADIANS(T8))*COS(RADIANS(T4))*COS(RADIANS(U8-U4))))+ACOS(MIN(1,SIN(RADIANS(T8))*SIN(RADIANS(T9))+COS(RADIANS(T8))*COS(RADIANS(T9))*COS(RADIANS(U8-U9))))+ACOS(MIN(1,SIN(RADIANS(T8))*SIN(RADIANS(T28))+COS(RADIANS(T8))*COS(RADIANS(T28))*COS(RADIANS(U8-U28))))),0)</f>
        <v>2904</v>
      </c>
      <c r="K8" s="5" t="n">
        <v>2.313</v>
      </c>
      <c r="L8" s="5" t="n">
        <v>3.668</v>
      </c>
      <c r="M8" s="4" t="n">
        <v>71</v>
      </c>
      <c r="N8" s="4" t="n">
        <v>414</v>
      </c>
      <c r="O8" s="4" t="n">
        <v>1968</v>
      </c>
      <c r="P8" s="4" t="n">
        <v>41</v>
      </c>
      <c r="Q8" s="7" t="n">
        <v>409</v>
      </c>
      <c r="R8" s="7" t="n">
        <v>490</v>
      </c>
      <c r="S8" s="7" t="n">
        <v>5</v>
      </c>
      <c r="T8" s="8" t="n">
        <v>39.095</v>
      </c>
      <c r="U8" s="8" t="n">
        <v>84.516</v>
      </c>
      <c r="V8" s="7"/>
      <c r="W8" s="7" t="n">
        <v>1968</v>
      </c>
      <c r="X8" s="7" t="s">
        <v>32</v>
      </c>
      <c r="Y8" s="9" t="s">
        <v>43</v>
      </c>
    </row>
    <row r="9" customFormat="false" ht="22.35" hidden="false" customHeight="false" outlineLevel="0" collapsed="false">
      <c r="A9" s="3" t="s">
        <v>44</v>
      </c>
      <c r="B9" s="4" t="n">
        <v>1946</v>
      </c>
      <c r="C9" s="4" t="n">
        <f aca="false">$B$35-IF(V9="",W9,V9)</f>
        <v>62</v>
      </c>
      <c r="D9" s="4" t="n">
        <v>17</v>
      </c>
      <c r="E9" s="4" t="n">
        <v>16</v>
      </c>
      <c r="F9" s="5" t="n">
        <f aca="false">ROUND((Q9+0.5*S9)/(Q9+R9+S9),3)</f>
        <v>0.503</v>
      </c>
      <c r="G9" s="4" t="n">
        <v>1999</v>
      </c>
      <c r="H9" s="4" t="n">
        <v>67895</v>
      </c>
      <c r="I9" s="4" t="n">
        <v>290</v>
      </c>
      <c r="J9" s="6" t="n">
        <f aca="false">ROUND(2*6371*(ACOS(MIN(1,SIN(RADIANS(T9))*SIN(RADIANS(T4))+COS(RADIANS(T9))*COS(RADIANS(T4))*COS(RADIANS(U9-U4))))+ACOS(MIN(1,SIN(RADIANS(T9))*SIN(RADIANS(T8))+COS(RADIANS(T9))*COS(RADIANS(T8))*COS(RADIANS(U9-U8))))+ACOS(MIN(1,SIN(RADIANS(T9))*SIN(RADIANS(T28))+COS(RADIANS(T9))*COS(RADIANS(T28))*COS(RADIANS(U9-U28))))),0)</f>
        <v>2078</v>
      </c>
      <c r="K9" s="5" t="n">
        <v>2.166</v>
      </c>
      <c r="L9" s="5" t="n">
        <v>3.555</v>
      </c>
      <c r="M9" s="4" t="n">
        <v>110</v>
      </c>
      <c r="N9" s="4" t="n">
        <v>279</v>
      </c>
      <c r="O9" s="4" t="n">
        <v>2012</v>
      </c>
      <c r="P9" s="4" t="n">
        <v>9</v>
      </c>
      <c r="Q9" s="7" t="n">
        <v>567</v>
      </c>
      <c r="R9" s="7" t="n">
        <v>560</v>
      </c>
      <c r="S9" s="7" t="n">
        <v>14</v>
      </c>
      <c r="T9" s="8" t="n">
        <v>41.506</v>
      </c>
      <c r="U9" s="8" t="n">
        <v>81.7</v>
      </c>
      <c r="V9" s="7" t="n">
        <v>1964</v>
      </c>
      <c r="W9" s="7" t="n">
        <v>1946</v>
      </c>
      <c r="X9" s="7" t="s">
        <v>32</v>
      </c>
      <c r="Y9" s="9" t="s">
        <v>45</v>
      </c>
    </row>
    <row r="10" customFormat="false" ht="22.35" hidden="false" customHeight="false" outlineLevel="0" collapsed="false">
      <c r="A10" s="3" t="s">
        <v>46</v>
      </c>
      <c r="B10" s="4" t="n">
        <v>1960</v>
      </c>
      <c r="C10" s="4" t="n">
        <f aca="false">$B$35-IF(V10="",W10,V10)</f>
        <v>31</v>
      </c>
      <c r="D10" s="4" t="n">
        <v>36</v>
      </c>
      <c r="E10" s="4" t="n">
        <v>21</v>
      </c>
      <c r="F10" s="5" t="n">
        <f aca="false">ROUND((Q10+0.5*S10)/(Q10+R10+S10),3)</f>
        <v>0.571</v>
      </c>
      <c r="G10" s="4" t="n">
        <v>2009</v>
      </c>
      <c r="H10" s="4" t="n">
        <v>80000</v>
      </c>
      <c r="I10" s="4" t="n">
        <v>1300</v>
      </c>
      <c r="J10" s="6" t="n">
        <f aca="false">ROUND(2*6371*(ACOS(MIN(1,SIN(RADIANS(T10))*SIN(RADIANS(T25))+COS(RADIANS(T10))*COS(RADIANS(T25))*COS(RADIANS(U10-U25))))+ACOS(MIN(1,SIN(RADIANS(T10))*SIN(RADIANS(T27))+COS(RADIANS(T10))*COS(RADIANS(T27))*COS(RADIANS(U10-U27))))+ACOS(MIN(1,SIN(RADIANS(T10))*SIN(RADIANS(T33))+COS(RADIANS(T10))*COS(RADIANS(T33))*COS(RADIANS(U10-U33))))),0)</f>
        <v>12568</v>
      </c>
      <c r="K10" s="5" t="n">
        <v>8.477</v>
      </c>
      <c r="L10" s="5" t="n">
        <v>9.711</v>
      </c>
      <c r="M10" s="4" t="n">
        <v>677</v>
      </c>
      <c r="N10" s="4" t="n">
        <v>471</v>
      </c>
      <c r="O10" s="4" t="n">
        <v>1989</v>
      </c>
      <c r="P10" s="4" t="n">
        <v>11</v>
      </c>
      <c r="Q10" s="7" t="n">
        <v>576</v>
      </c>
      <c r="R10" s="7" t="n">
        <v>432</v>
      </c>
      <c r="S10" s="7" t="n">
        <v>7</v>
      </c>
      <c r="T10" s="8" t="n">
        <v>32.748</v>
      </c>
      <c r="U10" s="8" t="n">
        <v>97.093</v>
      </c>
      <c r="V10" s="7" t="n">
        <v>1995</v>
      </c>
      <c r="W10" s="7" t="n">
        <v>1960</v>
      </c>
      <c r="X10" s="7" t="s">
        <v>47</v>
      </c>
      <c r="Y10" s="9" t="s">
        <v>48</v>
      </c>
    </row>
    <row r="11" customFormat="false" ht="22.35" hidden="false" customHeight="false" outlineLevel="0" collapsed="false">
      <c r="A11" s="3" t="s">
        <v>49</v>
      </c>
      <c r="B11" s="4" t="n">
        <v>1960</v>
      </c>
      <c r="C11" s="4" t="n">
        <f aca="false">$B$35-IF(V11="",W11,V11)</f>
        <v>11</v>
      </c>
      <c r="D11" s="4" t="n">
        <v>24</v>
      </c>
      <c r="E11" s="4" t="n">
        <v>9</v>
      </c>
      <c r="F11" s="5" t="n">
        <f aca="false">ROUND((Q11+0.5*S11)/(Q11+R11+S11),3)</f>
        <v>0.528</v>
      </c>
      <c r="G11" s="4" t="n">
        <v>2001</v>
      </c>
      <c r="H11" s="4" t="n">
        <v>76125</v>
      </c>
      <c r="I11" s="4" t="n">
        <v>364</v>
      </c>
      <c r="J11" s="6" t="n">
        <f aca="false">ROUND(2*6371*(ACOS(MIN(1,SIN(RADIANS(T11))*SIN(RADIANS(T17))+COS(RADIANS(T11))*COS(RADIANS(T17))*COS(RADIANS(U11-U17))))+ACOS(MIN(1,SIN(RADIANS(T11))*SIN(RADIANS(T18))+COS(RADIANS(T11))*COS(RADIANS(T18))*COS(RADIANS(U11-U18))))+ACOS(MIN(1,SIN(RADIANS(T11))*SIN(RADIANS(T19))+COS(RADIANS(T11))*COS(RADIANS(T19))*COS(RADIANS(U11-U19))))),0)</f>
        <v>6468</v>
      </c>
      <c r="K11" s="5" t="n">
        <v>3.092</v>
      </c>
      <c r="L11" s="5" t="n">
        <v>4.443</v>
      </c>
      <c r="M11" s="4" t="n">
        <v>97</v>
      </c>
      <c r="N11" s="4" t="n">
        <v>401</v>
      </c>
      <c r="O11" s="4" t="n">
        <v>2022</v>
      </c>
      <c r="P11" s="4" t="n">
        <v>66</v>
      </c>
      <c r="Q11" s="7" t="n">
        <v>532</v>
      </c>
      <c r="R11" s="7" t="n">
        <v>475</v>
      </c>
      <c r="S11" s="7" t="n">
        <v>10</v>
      </c>
      <c r="T11" s="8" t="n">
        <v>39.744</v>
      </c>
      <c r="U11" s="8" t="n">
        <v>105.02</v>
      </c>
      <c r="V11" s="7" t="n">
        <v>2015</v>
      </c>
      <c r="W11" s="7" t="n">
        <v>1960</v>
      </c>
      <c r="X11" s="7" t="s">
        <v>50</v>
      </c>
      <c r="Y11" s="9" t="s">
        <v>51</v>
      </c>
    </row>
    <row r="12" customFormat="false" ht="22.35" hidden="false" customHeight="false" outlineLevel="0" collapsed="false">
      <c r="A12" s="3" t="s">
        <v>52</v>
      </c>
      <c r="B12" s="4" t="n">
        <v>1934</v>
      </c>
      <c r="C12" s="4" t="n">
        <f aca="false">$B$35-IF(V12="",W12,V12)</f>
        <v>69</v>
      </c>
      <c r="D12" s="4" t="n">
        <v>9</v>
      </c>
      <c r="E12" s="4" t="n">
        <v>16</v>
      </c>
      <c r="F12" s="5" t="n">
        <f aca="false">ROUND((Q12+0.5*S12)/(Q12+R12+S12),3)</f>
        <v>0.463</v>
      </c>
      <c r="G12" s="4" t="n">
        <v>2002</v>
      </c>
      <c r="H12" s="4" t="n">
        <v>65000</v>
      </c>
      <c r="I12" s="4" t="n">
        <v>430</v>
      </c>
      <c r="J12" s="6" t="n">
        <f aca="false">ROUND(2*6371*(ACOS(MIN(1,SIN(RADIANS(T12))*SIN(RADIANS(T7))+COS(RADIANS(T12))*COS(RADIANS(T7))*COS(RADIANS(U12-U7))))+ACOS(MIN(1,SIN(RADIANS(T12))*SIN(RADIANS(T13))+COS(RADIANS(T12))*COS(RADIANS(T13))*COS(RADIANS(U12-U13))))+ACOS(MIN(1,SIN(RADIANS(T12))*SIN(RADIANS(T22))+COS(RADIANS(T12))*COS(RADIANS(T22))*COS(RADIANS(U12-U22))))),0)</f>
        <v>3446</v>
      </c>
      <c r="K12" s="5" t="n">
        <v>4.391</v>
      </c>
      <c r="L12" s="5" t="n">
        <v>4.129</v>
      </c>
      <c r="M12" s="4" t="n">
        <v>53</v>
      </c>
      <c r="N12" s="4" t="n">
        <v>481</v>
      </c>
      <c r="O12" s="4" t="n">
        <v>1964</v>
      </c>
      <c r="P12" s="4" t="n">
        <v>17</v>
      </c>
      <c r="Q12" s="7" t="n">
        <v>615</v>
      </c>
      <c r="R12" s="7" t="n">
        <v>717</v>
      </c>
      <c r="S12" s="7" t="n">
        <v>34</v>
      </c>
      <c r="T12" s="8" t="n">
        <v>42.34</v>
      </c>
      <c r="U12" s="8" t="n">
        <v>83.046</v>
      </c>
      <c r="V12" s="7" t="n">
        <v>1957</v>
      </c>
      <c r="W12" s="7" t="n">
        <v>1930</v>
      </c>
      <c r="X12" s="7" t="s">
        <v>40</v>
      </c>
      <c r="Y12" s="9" t="s">
        <v>53</v>
      </c>
    </row>
    <row r="13" customFormat="false" ht="22.35" hidden="false" customHeight="false" outlineLevel="0" collapsed="false">
      <c r="A13" s="3" t="s">
        <v>54</v>
      </c>
      <c r="B13" s="4" t="n">
        <v>1921</v>
      </c>
      <c r="C13" s="4" t="n">
        <f aca="false">$B$35-IF(V13="",W13,V13)</f>
        <v>16</v>
      </c>
      <c r="D13" s="4" t="n">
        <v>37</v>
      </c>
      <c r="E13" s="4" t="n">
        <v>27</v>
      </c>
      <c r="F13" s="5" t="n">
        <f aca="false">ROUND((Q13+0.5*S13)/(Q13+R13+S13),3)</f>
        <v>0.571</v>
      </c>
      <c r="G13" s="4" t="n">
        <v>1957</v>
      </c>
      <c r="H13" s="4" t="n">
        <v>81441</v>
      </c>
      <c r="I13" s="4" t="n">
        <v>0.96</v>
      </c>
      <c r="J13" s="6" t="n">
        <f aca="false">ROUND(2*6371*(ACOS(MIN(1,SIN(RADIANS(T13))*SIN(RADIANS(T7))+COS(RADIANS(T13))*COS(RADIANS(T7))*COS(RADIANS(U13-U7))))+ACOS(MIN(1,SIN(RADIANS(T13))*SIN(RADIANS(T12))+COS(RADIANS(T13))*COS(RADIANS(T12))*COS(RADIANS(U13-U12))))+ACOS(MIN(1,SIN(RADIANS(T13))*SIN(RADIANS(T22))+COS(RADIANS(T13))*COS(RADIANS(T22))*COS(RADIANS(U13-U22))))),0)</f>
        <v>2360</v>
      </c>
      <c r="K13" s="5" t="n">
        <v>0.337</v>
      </c>
      <c r="L13" s="5" t="n">
        <v>5.535</v>
      </c>
      <c r="M13" s="4" t="n">
        <v>73</v>
      </c>
      <c r="N13" s="4" t="n">
        <v>391</v>
      </c>
      <c r="O13" s="4" t="n">
        <v>1923</v>
      </c>
      <c r="P13" s="4" t="n">
        <v>52</v>
      </c>
      <c r="Q13" s="7" t="n">
        <v>819</v>
      </c>
      <c r="R13" s="7" t="n">
        <v>611</v>
      </c>
      <c r="S13" s="7" t="n">
        <v>39</v>
      </c>
      <c r="T13" s="8" t="n">
        <v>44.501</v>
      </c>
      <c r="U13" s="8" t="n">
        <v>88.062</v>
      </c>
      <c r="V13" s="7" t="n">
        <v>2010</v>
      </c>
      <c r="W13" s="7" t="n">
        <v>1921</v>
      </c>
      <c r="X13" s="7" t="s">
        <v>40</v>
      </c>
      <c r="Y13" s="9" t="s">
        <v>55</v>
      </c>
    </row>
    <row r="14" customFormat="false" ht="22.35" hidden="false" customHeight="false" outlineLevel="0" collapsed="false">
      <c r="A14" s="3" t="s">
        <v>56</v>
      </c>
      <c r="B14" s="4" t="n">
        <v>2002</v>
      </c>
      <c r="C14" s="4" t="n">
        <f aca="false">$B$35-IF(V14="",W14,V14)</f>
        <v>24</v>
      </c>
      <c r="D14" s="4" t="n">
        <v>7</v>
      </c>
      <c r="E14" s="4" t="n">
        <v>1</v>
      </c>
      <c r="F14" s="5" t="n">
        <f aca="false">ROUND((Q14+0.5*S14)/(Q14+R14+S14),3)</f>
        <v>0.449</v>
      </c>
      <c r="G14" s="4" t="n">
        <v>2002</v>
      </c>
      <c r="H14" s="4" t="n">
        <v>72220</v>
      </c>
      <c r="I14" s="4" t="n">
        <v>352</v>
      </c>
      <c r="J14" s="6" t="n">
        <f aca="false">ROUND(2*6371*(ACOS(MIN(1,SIN(RADIANS(T14))*SIN(RADIANS(T15))+COS(RADIANS(T14))*COS(RADIANS(T15))*COS(RADIANS(U14-U15))))+ACOS(MIN(1,SIN(RADIANS(T14))*SIN(RADIANS(T16))+COS(RADIANS(T14))*COS(RADIANS(T16))*COS(RADIANS(U14-U16))))+ACOS(MIN(1,SIN(RADIANS(T14))*SIN(RADIANS(T32))+COS(RADIANS(T14))*COS(RADIANS(T32))*COS(RADIANS(U14-U32))))),0)</f>
        <v>7619</v>
      </c>
      <c r="K14" s="5" t="n">
        <v>7.905</v>
      </c>
      <c r="L14" s="5" t="n">
        <v>4.062</v>
      </c>
      <c r="M14" s="4" t="n">
        <v>160</v>
      </c>
      <c r="N14" s="4" t="n">
        <v>404</v>
      </c>
      <c r="O14" s="4" t="n">
        <v>1999</v>
      </c>
      <c r="P14" s="4" t="n">
        <v>26</v>
      </c>
      <c r="Q14" s="7" t="n">
        <v>174</v>
      </c>
      <c r="R14" s="7" t="n">
        <v>214</v>
      </c>
      <c r="S14" s="7" t="n">
        <v>1</v>
      </c>
      <c r="T14" s="8" t="n">
        <v>29.685</v>
      </c>
      <c r="U14" s="8" t="n">
        <v>95.411</v>
      </c>
      <c r="V14" s="7"/>
      <c r="W14" s="7" t="n">
        <v>2002</v>
      </c>
      <c r="X14" s="7" t="s">
        <v>57</v>
      </c>
      <c r="Y14" s="9" t="s">
        <v>58</v>
      </c>
    </row>
    <row r="15" customFormat="false" ht="15" hidden="false" customHeight="false" outlineLevel="0" collapsed="false">
      <c r="A15" s="3" t="s">
        <v>59</v>
      </c>
      <c r="B15" s="4" t="n">
        <v>1984</v>
      </c>
      <c r="C15" s="4" t="n">
        <f aca="false">$B$35-IF(V15="",W15,V15)</f>
        <v>20</v>
      </c>
      <c r="D15" s="4" t="n">
        <v>23</v>
      </c>
      <c r="E15" s="4" t="n">
        <v>13</v>
      </c>
      <c r="F15" s="5" t="n">
        <f aca="false">ROUND((Q15+0.5*S15)/(Q15+R15+S15),3)</f>
        <v>0.524</v>
      </c>
      <c r="G15" s="4" t="n">
        <v>2008</v>
      </c>
      <c r="H15" s="4" t="n">
        <v>67000</v>
      </c>
      <c r="I15" s="4" t="n">
        <v>720</v>
      </c>
      <c r="J15" s="6" t="n">
        <f aca="false">ROUND(2*6371*(ACOS(MIN(1,SIN(RADIANS(T15))*SIN(RADIANS(T14))+COS(RADIANS(T15))*COS(RADIANS(T14))*COS(RADIANS(U15-U14))))+ACOS(MIN(1,SIN(RADIANS(T15))*SIN(RADIANS(T16))+COS(RADIANS(T15))*COS(RADIANS(T16))*COS(RADIANS(U15-U16))))+ACOS(MIN(1,SIN(RADIANS(T15))*SIN(RADIANS(T32))+COS(RADIANS(T15))*COS(RADIANS(T32))*COS(RADIANS(U15-U32))))),0)</f>
        <v>5863</v>
      </c>
      <c r="K15" s="5" t="n">
        <v>2.206</v>
      </c>
      <c r="L15" s="5" t="n">
        <v>2.3</v>
      </c>
      <c r="M15" s="4" t="n">
        <v>81</v>
      </c>
      <c r="N15" s="4" t="n">
        <v>466</v>
      </c>
      <c r="O15" s="4" t="n">
        <v>1972</v>
      </c>
      <c r="P15" s="4" t="n">
        <v>53</v>
      </c>
      <c r="Q15" s="7" t="n">
        <v>572</v>
      </c>
      <c r="R15" s="7" t="n">
        <v>519</v>
      </c>
      <c r="S15" s="7" t="n">
        <v>8</v>
      </c>
      <c r="T15" s="8" t="n">
        <v>39.76</v>
      </c>
      <c r="U15" s="8" t="n">
        <v>86.164</v>
      </c>
      <c r="V15" s="7" t="n">
        <v>2006</v>
      </c>
      <c r="W15" s="7" t="n">
        <v>1953</v>
      </c>
      <c r="X15" s="7" t="s">
        <v>57</v>
      </c>
      <c r="Y15" s="9" t="s">
        <v>60</v>
      </c>
    </row>
    <row r="16" customFormat="false" ht="22.35" hidden="false" customHeight="false" outlineLevel="0" collapsed="false">
      <c r="A16" s="3" t="s">
        <v>61</v>
      </c>
      <c r="B16" s="4" t="n">
        <v>1995</v>
      </c>
      <c r="C16" s="4" t="n">
        <f aca="false">$B$35-IF(V16="",W16,V16)</f>
        <v>31</v>
      </c>
      <c r="D16" s="4" t="n">
        <v>8</v>
      </c>
      <c r="E16" s="4" t="n">
        <v>1</v>
      </c>
      <c r="F16" s="5" t="n">
        <f aca="false">ROUND((Q16+0.5*S16)/(Q16+R16+S16),3)</f>
        <v>0.429</v>
      </c>
      <c r="G16" s="4" t="n">
        <v>1995</v>
      </c>
      <c r="H16" s="4" t="n">
        <v>69132</v>
      </c>
      <c r="I16" s="4" t="n">
        <v>134</v>
      </c>
      <c r="J16" s="6" t="n">
        <f aca="false">ROUND(2*6371*(ACOS(MIN(1,SIN(RADIANS(T16))*SIN(RADIANS(T14))+COS(RADIANS(T16))*COS(RADIANS(T14))*COS(RADIANS(U16-U14))))+ACOS(MIN(1,SIN(RADIANS(T16))*SIN(RADIANS(T15))+COS(RADIANS(T16))*COS(RADIANS(T15))*COS(RADIANS(U16-U15))))+ACOS(MIN(1,SIN(RADIANS(T16))*SIN(RADIANS(T32))+COS(RADIANS(T16))*COS(RADIANS(T32))*COS(RADIANS(U16-U32))))),0)</f>
        <v>6520</v>
      </c>
      <c r="K16" s="5" t="n">
        <v>1.786</v>
      </c>
      <c r="L16" s="5" t="n">
        <v>2.083</v>
      </c>
      <c r="M16" s="4" t="n">
        <v>31</v>
      </c>
      <c r="N16" s="4" t="n">
        <v>474</v>
      </c>
      <c r="O16" s="4" t="n">
        <v>2012</v>
      </c>
      <c r="P16" s="4" t="n">
        <v>56</v>
      </c>
      <c r="Q16" s="7" t="n">
        <v>215</v>
      </c>
      <c r="R16" s="7" t="n">
        <v>286</v>
      </c>
      <c r="S16" s="7" t="n">
        <v>0</v>
      </c>
      <c r="T16" s="8" t="n">
        <v>30.324</v>
      </c>
      <c r="U16" s="8" t="n">
        <v>81.637</v>
      </c>
      <c r="V16" s="7"/>
      <c r="W16" s="7" t="n">
        <v>1995</v>
      </c>
      <c r="X16" s="7" t="s">
        <v>57</v>
      </c>
      <c r="Y16" s="9" t="s">
        <v>62</v>
      </c>
    </row>
    <row r="17" customFormat="false" ht="22.35" hidden="false" customHeight="false" outlineLevel="0" collapsed="false">
      <c r="A17" s="3" t="s">
        <v>63</v>
      </c>
      <c r="B17" s="4" t="n">
        <v>1963</v>
      </c>
      <c r="C17" s="4" t="n">
        <f aca="false">$B$35-IF(V17="",W17,V17)</f>
        <v>3</v>
      </c>
      <c r="D17" s="4" t="n">
        <v>26</v>
      </c>
      <c r="E17" s="4" t="n">
        <v>13</v>
      </c>
      <c r="F17" s="5" t="n">
        <f aca="false">ROUND((Q17+0.5*S17)/(Q17+R17+S17),3)</f>
        <v>0.55</v>
      </c>
      <c r="G17" s="4" t="n">
        <v>1972</v>
      </c>
      <c r="H17" s="4" t="n">
        <v>73426</v>
      </c>
      <c r="I17" s="4" t="n">
        <v>43</v>
      </c>
      <c r="J17" s="6" t="n">
        <f aca="false">ROUND(2*6371*(ACOS(MIN(1,SIN(RADIANS(T17))*SIN(RADIANS(T11))+COS(RADIANS(T17))*COS(RADIANS(T11))*COS(RADIANS(U17-U11))))+ACOS(MIN(1,SIN(RADIANS(T17))*SIN(RADIANS(T18))+COS(RADIANS(T17))*COS(RADIANS(T18))*COS(RADIANS(U17-U18))))+ACOS(MIN(1,SIN(RADIANS(T17))*SIN(RADIANS(T19))+COS(RADIANS(T17))*COS(RADIANS(T19))*COS(RADIANS(U17-U19))))),0)</f>
        <v>9914</v>
      </c>
      <c r="K17" s="5" t="n">
        <v>2.271</v>
      </c>
      <c r="L17" s="5" t="n">
        <v>8.48</v>
      </c>
      <c r="M17" s="4" t="n">
        <v>51</v>
      </c>
      <c r="N17" s="4" t="n">
        <v>362</v>
      </c>
      <c r="O17" s="4" t="n">
        <v>1960</v>
      </c>
      <c r="P17" s="4" t="n">
        <v>6</v>
      </c>
      <c r="Q17" s="7" t="n">
        <v>553</v>
      </c>
      <c r="R17" s="7" t="n">
        <v>452</v>
      </c>
      <c r="S17" s="7" t="n">
        <v>12</v>
      </c>
      <c r="T17" s="8" t="n">
        <v>39.049</v>
      </c>
      <c r="U17" s="8" t="n">
        <v>94.484</v>
      </c>
      <c r="V17" s="7" t="n">
        <v>2023</v>
      </c>
      <c r="W17" s="7" t="n">
        <v>1960</v>
      </c>
      <c r="X17" s="7" t="s">
        <v>50</v>
      </c>
      <c r="Y17" s="9" t="s">
        <v>64</v>
      </c>
    </row>
    <row r="18" customFormat="false" ht="22.35" hidden="false" customHeight="false" outlineLevel="0" collapsed="false">
      <c r="A18" s="3" t="s">
        <v>65</v>
      </c>
      <c r="B18" s="4" t="n">
        <v>2020</v>
      </c>
      <c r="C18" s="4" t="n">
        <f aca="false">$B$35-IF(V18="",W18,V18)</f>
        <v>43</v>
      </c>
      <c r="D18" s="4" t="n">
        <v>25</v>
      </c>
      <c r="E18" s="4" t="n">
        <v>18</v>
      </c>
      <c r="F18" s="5" t="n">
        <f aca="false">ROUND((Q18+0.5*S18)/(Q18+R18+S18),3)</f>
        <v>0.509</v>
      </c>
      <c r="G18" s="4" t="n">
        <v>2020</v>
      </c>
      <c r="H18" s="4" t="n">
        <v>66000</v>
      </c>
      <c r="I18" s="4" t="n">
        <v>1900</v>
      </c>
      <c r="J18" s="6" t="n">
        <f aca="false">ROUND(2*6371*(ACOS(MIN(1,SIN(RADIANS(T18))*SIN(RADIANS(T11))+COS(RADIANS(T18))*COS(RADIANS(T11))*COS(RADIANS(U18-U11))))+ACOS(MIN(1,SIN(RADIANS(T18))*SIN(RADIANS(T17))+COS(RADIANS(T18))*COS(RADIANS(T17))*COS(RADIANS(U18-U17))))+ACOS(MIN(1,SIN(RADIANS(T18))*SIN(RADIANS(T19))+COS(RADIANS(T18))*COS(RADIANS(T19))*COS(RADIANS(U18-U19))))),0)</f>
        <v>6403</v>
      </c>
      <c r="K18" s="5" t="n">
        <v>2.407</v>
      </c>
      <c r="L18" s="5" t="n">
        <v>4.535</v>
      </c>
      <c r="M18" s="4" t="n">
        <v>191</v>
      </c>
      <c r="N18" s="4" t="n">
        <v>241</v>
      </c>
      <c r="O18" s="4" t="n">
        <v>1972</v>
      </c>
      <c r="P18" s="4" t="n">
        <v>1</v>
      </c>
      <c r="Q18" s="7" t="n">
        <v>512</v>
      </c>
      <c r="R18" s="7" t="n">
        <v>494</v>
      </c>
      <c r="S18" s="7" t="n">
        <v>11</v>
      </c>
      <c r="T18" s="8" t="n">
        <v>36.091</v>
      </c>
      <c r="U18" s="8" t="n">
        <v>115.184</v>
      </c>
      <c r="V18" s="7" t="n">
        <v>1983</v>
      </c>
      <c r="W18" s="7" t="n">
        <v>1960</v>
      </c>
      <c r="X18" s="7" t="s">
        <v>50</v>
      </c>
      <c r="Y18" s="9" t="s">
        <v>66</v>
      </c>
    </row>
    <row r="19" customFormat="false" ht="22.35" hidden="false" customHeight="false" outlineLevel="0" collapsed="false">
      <c r="A19" s="3" t="s">
        <v>67</v>
      </c>
      <c r="B19" s="4" t="n">
        <v>2017</v>
      </c>
      <c r="C19" s="4" t="n">
        <f aca="false">$B$35-IF(V19="",W19,V19)</f>
        <v>63</v>
      </c>
      <c r="D19" s="4" t="n">
        <v>12</v>
      </c>
      <c r="E19" s="4" t="n">
        <v>11</v>
      </c>
      <c r="F19" s="5" t="n">
        <f aca="false">ROUND((Q19+0.5*S19)/(Q19+R19+S19),3)</f>
        <v>0.502</v>
      </c>
      <c r="G19" s="4" t="n">
        <v>2020</v>
      </c>
      <c r="H19" s="4" t="n">
        <v>70000</v>
      </c>
      <c r="I19" s="4" t="n">
        <v>5500</v>
      </c>
      <c r="J19" s="6" t="n">
        <f aca="false">ROUND(2*6371*(ACOS(MIN(1,SIN(RADIANS(T19))*SIN(RADIANS(T11))+COS(RADIANS(T19))*COS(RADIANS(T11))*COS(RADIANS(U19-U11))))+ACOS(MIN(1,SIN(RADIANS(T19))*SIN(RADIANS(T17))+COS(RADIANS(T19))*COS(RADIANS(T17))*COS(RADIANS(U19-U17))))+ACOS(MIN(1,SIN(RADIANS(T19))*SIN(RADIANS(T18))+COS(RADIANS(T19))*COS(RADIANS(T18))*COS(RADIANS(U19-U18))))),0)</f>
        <v>7837</v>
      </c>
      <c r="K19" s="5" t="n">
        <v>12.844</v>
      </c>
      <c r="L19" s="5" t="n">
        <v>2.747</v>
      </c>
      <c r="M19" s="4" t="n">
        <v>57</v>
      </c>
      <c r="N19" s="4" t="n">
        <v>368</v>
      </c>
      <c r="O19" s="4" t="n">
        <v>1984</v>
      </c>
      <c r="P19" s="4" t="n">
        <v>22</v>
      </c>
      <c r="Q19" s="7" t="n">
        <v>505</v>
      </c>
      <c r="R19" s="7" t="n">
        <v>501</v>
      </c>
      <c r="S19" s="7" t="n">
        <v>11</v>
      </c>
      <c r="T19" s="8" t="n">
        <v>33.953</v>
      </c>
      <c r="U19" s="8" t="n">
        <v>118.339</v>
      </c>
      <c r="V19" s="7" t="n">
        <v>1963</v>
      </c>
      <c r="W19" s="7" t="n">
        <v>1960</v>
      </c>
      <c r="X19" s="7" t="s">
        <v>50</v>
      </c>
      <c r="Y19" s="9" t="s">
        <v>68</v>
      </c>
    </row>
    <row r="20" customFormat="false" ht="22.35" hidden="false" customHeight="false" outlineLevel="0" collapsed="false">
      <c r="A20" s="3" t="s">
        <v>69</v>
      </c>
      <c r="B20" s="4" t="n">
        <v>2016</v>
      </c>
      <c r="C20" s="4" t="n">
        <f aca="false">$B$35-IF(V20="",W20,V20)</f>
        <v>5</v>
      </c>
      <c r="D20" s="4" t="n">
        <v>29</v>
      </c>
      <c r="E20" s="4" t="n">
        <v>16</v>
      </c>
      <c r="F20" s="5" t="n">
        <f aca="false">ROUND((Q20+0.5*S20)/(Q20+R20+S20),3)</f>
        <v>0.51</v>
      </c>
      <c r="G20" s="4" t="n">
        <v>2020</v>
      </c>
      <c r="H20" s="4" t="n">
        <v>70000</v>
      </c>
      <c r="I20" s="4" t="n">
        <v>5500</v>
      </c>
      <c r="J20" s="6" t="n">
        <f aca="false">ROUND(2*6371*(ACOS(MIN(1,SIN(RADIANS(T20))*SIN(RADIANS(T2))+COS(RADIANS(T20))*COS(RADIANS(T2))*COS(RADIANS(U20-U2))))+ACOS(MIN(1,SIN(RADIANS(T20))*SIN(RADIANS(T29))+COS(RADIANS(T20))*COS(RADIANS(T29))*COS(RADIANS(U20-U29))))+ACOS(MIN(1,SIN(RADIANS(T20))*SIN(RADIANS(T30))+COS(RADIANS(T20))*COS(RADIANS(T30))*COS(RADIANS(U20-U30))))),0)</f>
        <v>5243</v>
      </c>
      <c r="K20" s="5" t="n">
        <v>12.844</v>
      </c>
      <c r="L20" s="5" t="n">
        <v>3.489</v>
      </c>
      <c r="M20" s="4" t="n">
        <v>335</v>
      </c>
      <c r="N20" s="4" t="n">
        <v>518</v>
      </c>
      <c r="O20" s="4" t="n">
        <v>2010</v>
      </c>
      <c r="P20" s="4" t="n">
        <v>13</v>
      </c>
      <c r="Q20" s="7" t="n">
        <v>636</v>
      </c>
      <c r="R20" s="7" t="n">
        <v>611</v>
      </c>
      <c r="S20" s="7" t="n">
        <v>21</v>
      </c>
      <c r="T20" s="8" t="n">
        <v>33.953</v>
      </c>
      <c r="U20" s="8" t="n">
        <v>118.339</v>
      </c>
      <c r="V20" s="7" t="n">
        <v>2021</v>
      </c>
      <c r="W20" s="7" t="n">
        <v>1937</v>
      </c>
      <c r="X20" s="7" t="s">
        <v>26</v>
      </c>
      <c r="Y20" s="9" t="s">
        <v>70</v>
      </c>
    </row>
    <row r="21" customFormat="false" ht="15" hidden="false" customHeight="false" outlineLevel="0" collapsed="false">
      <c r="A21" s="3" t="s">
        <v>71</v>
      </c>
      <c r="B21" s="4" t="n">
        <v>1966</v>
      </c>
      <c r="C21" s="4" t="n">
        <f aca="false">$B$35-IF(V21="",W21,V21)</f>
        <v>53</v>
      </c>
      <c r="D21" s="4" t="n">
        <v>20</v>
      </c>
      <c r="E21" s="4" t="n">
        <v>10</v>
      </c>
      <c r="F21" s="5" t="n">
        <f aca="false">ROUND((Q21+0.5*S21)/(Q21+R21+S21),3)</f>
        <v>0.55</v>
      </c>
      <c r="G21" s="4" t="n">
        <v>1987</v>
      </c>
      <c r="H21" s="4" t="n">
        <v>65326</v>
      </c>
      <c r="I21" s="4" t="n">
        <v>115</v>
      </c>
      <c r="J21" s="6" t="n">
        <f aca="false">ROUND(2*6371*(ACOS(MIN(1,SIN(RADIANS(T21))*SIN(RADIANS(T5))+COS(RADIANS(T21))*COS(RADIANS(T5))*COS(RADIANS(U21-U5))))+ACOS(MIN(1,SIN(RADIANS(T21))*SIN(RADIANS(T23))+COS(RADIANS(T21))*COS(RADIANS(T23))*COS(RADIANS(U21-U23))))+ACOS(MIN(1,SIN(RADIANS(T21))*SIN(RADIANS(T26))+COS(RADIANS(T21))*COS(RADIANS(T26))*COS(RADIANS(U21-U26))))),0)</f>
        <v>11188</v>
      </c>
      <c r="K21" s="5" t="n">
        <v>6.391</v>
      </c>
      <c r="L21" s="5" t="n">
        <v>3.383</v>
      </c>
      <c r="M21" s="4" t="n">
        <v>198</v>
      </c>
      <c r="N21" s="4" t="n">
        <v>347</v>
      </c>
      <c r="O21" s="4" t="n">
        <v>2008</v>
      </c>
      <c r="P21" s="4" t="n">
        <v>12</v>
      </c>
      <c r="Q21" s="7" t="n">
        <v>511</v>
      </c>
      <c r="R21" s="7" t="n">
        <v>418</v>
      </c>
      <c r="S21" s="7" t="n">
        <v>4</v>
      </c>
      <c r="T21" s="8" t="n">
        <v>25.958</v>
      </c>
      <c r="U21" s="8" t="n">
        <v>80.239</v>
      </c>
      <c r="V21" s="7" t="n">
        <v>1973</v>
      </c>
      <c r="W21" s="7" t="n">
        <v>1966</v>
      </c>
      <c r="X21" s="7" t="s">
        <v>35</v>
      </c>
      <c r="Y21" s="9" t="s">
        <v>72</v>
      </c>
    </row>
    <row r="22" customFormat="false" ht="22.35" hidden="false" customHeight="false" outlineLevel="0" collapsed="false">
      <c r="A22" s="3" t="s">
        <v>73</v>
      </c>
      <c r="B22" s="4" t="n">
        <v>1961</v>
      </c>
      <c r="C22" s="4" t="n">
        <f aca="false">$B$35-IF(V22="",W22,V22)</f>
        <v>65</v>
      </c>
      <c r="D22" s="4" t="n">
        <v>21</v>
      </c>
      <c r="E22" s="4" t="n">
        <v>14</v>
      </c>
      <c r="F22" s="5" t="n">
        <f aca="false">ROUND((Q22+0.5*S22)/(Q22+R22+S22),3)</f>
        <v>0.55</v>
      </c>
      <c r="G22" s="4" t="n">
        <v>2016</v>
      </c>
      <c r="H22" s="4" t="n">
        <v>66655</v>
      </c>
      <c r="I22" s="4" t="n">
        <v>1100</v>
      </c>
      <c r="J22" s="6" t="n">
        <f aca="false">ROUND(2*6371*(ACOS(MIN(1,SIN(RADIANS(T22))*SIN(RADIANS(T7))+COS(RADIANS(T22))*COS(RADIANS(T7))*COS(RADIANS(U22-U7))))+ACOS(MIN(1,SIN(RADIANS(T22))*SIN(RADIANS(T12))+COS(RADIANS(T22))*COS(RADIANS(T12))*COS(RADIANS(U22-U12))))+ACOS(MIN(1,SIN(RADIANS(T22))*SIN(RADIANS(T13))+COS(RADIANS(T22))*COS(RADIANS(T13))*COS(RADIANS(U22-U13))))),0)</f>
        <v>3714</v>
      </c>
      <c r="K22" s="5" t="n">
        <v>3.79</v>
      </c>
      <c r="L22" s="5" t="n">
        <v>3.611</v>
      </c>
      <c r="M22" s="4" t="n">
        <v>25</v>
      </c>
      <c r="N22" s="4" t="n">
        <v>344</v>
      </c>
      <c r="O22" s="4" t="n">
        <v>2005</v>
      </c>
      <c r="P22" s="4" t="n">
        <v>18</v>
      </c>
      <c r="Q22" s="7" t="n">
        <v>546</v>
      </c>
      <c r="R22" s="7" t="n">
        <v>446</v>
      </c>
      <c r="S22" s="7" t="n">
        <v>11</v>
      </c>
      <c r="T22" s="8" t="n">
        <v>44.974</v>
      </c>
      <c r="U22" s="8" t="n">
        <v>93.258</v>
      </c>
      <c r="V22" s="7"/>
      <c r="W22" s="7" t="n">
        <v>1961</v>
      </c>
      <c r="X22" s="7" t="s">
        <v>40</v>
      </c>
      <c r="Y22" s="9" t="s">
        <v>74</v>
      </c>
    </row>
    <row r="23" customFormat="false" ht="22.35" hidden="false" customHeight="false" outlineLevel="0" collapsed="false">
      <c r="A23" s="3" t="s">
        <v>75</v>
      </c>
      <c r="B23" s="4" t="n">
        <v>1960</v>
      </c>
      <c r="C23" s="4" t="n">
        <f aca="false">$B$35-IF(V23="",W23,V23)</f>
        <v>8</v>
      </c>
      <c r="D23" s="4" t="n">
        <v>40</v>
      </c>
      <c r="E23" s="4" t="n">
        <v>6</v>
      </c>
      <c r="F23" s="5" t="n">
        <f aca="false">ROUND((Q23+0.5*S23)/(Q23+R23+S23),3)</f>
        <v>0.554</v>
      </c>
      <c r="G23" s="4" t="n">
        <v>2002</v>
      </c>
      <c r="H23" s="4" t="n">
        <v>66829</v>
      </c>
      <c r="I23" s="4" t="n">
        <v>325</v>
      </c>
      <c r="J23" s="6" t="n">
        <f aca="false">ROUND(2*6371*(ACOS(MIN(1,SIN(RADIANS(T23))*SIN(RADIANS(T5))+COS(RADIANS(T23))*COS(RADIANS(T5))*COS(RADIANS(U23-U5))))+ACOS(MIN(1,SIN(RADIANS(T23))*SIN(RADIANS(T21))+COS(RADIANS(T23))*COS(RADIANS(T21))*COS(RADIANS(U23-U21))))+ACOS(MIN(1,SIN(RADIANS(T23))*SIN(RADIANS(T26))+COS(RADIANS(T23))*COS(RADIANS(T26))*COS(RADIANS(U23-U26))))),0)</f>
        <v>5737</v>
      </c>
      <c r="K23" s="5" t="n">
        <v>5.034</v>
      </c>
      <c r="L23" s="5" t="n">
        <v>10.101</v>
      </c>
      <c r="M23" s="4" t="n">
        <v>186</v>
      </c>
      <c r="N23" s="4" t="n">
        <v>490</v>
      </c>
      <c r="O23" s="4" t="n">
        <v>1994</v>
      </c>
      <c r="P23" s="4" t="n">
        <v>28</v>
      </c>
      <c r="Q23" s="7" t="n">
        <v>559</v>
      </c>
      <c r="R23" s="7" t="n">
        <v>449</v>
      </c>
      <c r="S23" s="7" t="n">
        <v>9</v>
      </c>
      <c r="T23" s="8" t="n">
        <v>42.091</v>
      </c>
      <c r="U23" s="8" t="n">
        <v>71.264</v>
      </c>
      <c r="V23" s="7" t="n">
        <v>2018</v>
      </c>
      <c r="W23" s="7" t="n">
        <v>1960</v>
      </c>
      <c r="X23" s="7" t="s">
        <v>35</v>
      </c>
      <c r="Y23" s="9" t="s">
        <v>76</v>
      </c>
    </row>
    <row r="24" customFormat="false" ht="15" hidden="false" customHeight="false" outlineLevel="0" collapsed="false">
      <c r="A24" s="3" t="s">
        <v>77</v>
      </c>
      <c r="B24" s="4" t="n">
        <v>1967</v>
      </c>
      <c r="C24" s="4" t="n">
        <f aca="false">$B$35-IF(V24="",W24,V24)</f>
        <v>17</v>
      </c>
      <c r="D24" s="4" t="n">
        <v>10</v>
      </c>
      <c r="E24" s="4" t="n">
        <v>5</v>
      </c>
      <c r="F24" s="5" t="n">
        <f aca="false">ROUND((Q24+0.5*S24)/(Q24+R24+S24),3)</f>
        <v>0.463</v>
      </c>
      <c r="G24" s="4" t="n">
        <v>1975</v>
      </c>
      <c r="H24" s="4" t="n">
        <v>73208</v>
      </c>
      <c r="I24" s="4" t="n">
        <v>134</v>
      </c>
      <c r="J24" s="6" t="n">
        <f aca="false">ROUND(2*6371*(ACOS(MIN(1,SIN(RADIANS(T24))*SIN(RADIANS(T3))+COS(RADIANS(T24))*COS(RADIANS(T3))*COS(RADIANS(U24-U3))))+ACOS(MIN(1,SIN(RADIANS(T24))*SIN(RADIANS(T6))+COS(RADIANS(T24))*COS(RADIANS(T6))*COS(RADIANS(U24-U6))))+ACOS(MIN(1,SIN(RADIANS(T24))*SIN(RADIANS(T31))+COS(RADIANS(T24))*COS(RADIANS(T31))*COS(RADIANS(U24-U31))))),0)</f>
        <v>4992</v>
      </c>
      <c r="K24" s="5" t="n">
        <v>0.971</v>
      </c>
      <c r="L24" s="5" t="n">
        <v>3.96</v>
      </c>
      <c r="M24" s="4" t="n">
        <v>165</v>
      </c>
      <c r="N24" s="4" t="n">
        <v>306</v>
      </c>
      <c r="O24" s="4" t="n">
        <v>1985</v>
      </c>
      <c r="P24" s="4" t="n">
        <v>8</v>
      </c>
      <c r="Q24" s="7" t="n">
        <v>423</v>
      </c>
      <c r="R24" s="7" t="n">
        <v>491</v>
      </c>
      <c r="S24" s="7" t="n">
        <v>5</v>
      </c>
      <c r="T24" s="8" t="n">
        <v>29.951</v>
      </c>
      <c r="U24" s="8" t="n">
        <v>90.081</v>
      </c>
      <c r="V24" s="7" t="n">
        <v>2009</v>
      </c>
      <c r="W24" s="7" t="n">
        <v>1967</v>
      </c>
      <c r="X24" s="7" t="s">
        <v>29</v>
      </c>
      <c r="Y24" s="9" t="s">
        <v>78</v>
      </c>
    </row>
    <row r="25" customFormat="false" ht="22.35" hidden="false" customHeight="false" outlineLevel="0" collapsed="false">
      <c r="A25" s="3" t="s">
        <v>79</v>
      </c>
      <c r="B25" s="4" t="n">
        <v>1925</v>
      </c>
      <c r="C25" s="4" t="n">
        <f aca="false">$B$35-IF(V25="",W25,V25)</f>
        <v>15</v>
      </c>
      <c r="D25" s="4" t="n">
        <v>25</v>
      </c>
      <c r="E25" s="4" t="n">
        <v>21</v>
      </c>
      <c r="F25" s="5" t="n">
        <f aca="false">ROUND((Q25+0.5*S25)/(Q25+R25+S25),3)</f>
        <v>0.518</v>
      </c>
      <c r="G25" s="4" t="n">
        <v>2010</v>
      </c>
      <c r="H25" s="4" t="n">
        <v>82500</v>
      </c>
      <c r="I25" s="4" t="n">
        <v>1600</v>
      </c>
      <c r="J25" s="6" t="n">
        <f aca="false">ROUND(2*6371*(ACOS(MIN(1,SIN(RADIANS(T25))*SIN(RADIANS(T10))+COS(RADIANS(T25))*COS(RADIANS(T10))*COS(RADIANS(U25-U10))))+ACOS(MIN(1,SIN(RADIANS(T25))*SIN(RADIANS(T27))+COS(RADIANS(T25))*COS(RADIANS(T27))*COS(RADIANS(U25-U27))))+ACOS(MIN(1,SIN(RADIANS(T25))*SIN(RADIANS(T33))+COS(RADIANS(T25))*COS(RADIANS(T33))*COS(RADIANS(U25-U33))))),0)</f>
        <v>5370</v>
      </c>
      <c r="K25" s="5" t="n">
        <v>20.112</v>
      </c>
      <c r="L25" s="5" t="n">
        <v>4.997</v>
      </c>
      <c r="M25" s="4" t="n">
        <v>181</v>
      </c>
      <c r="N25" s="4" t="n">
        <v>381</v>
      </c>
      <c r="O25" s="4" t="n">
        <v>1925</v>
      </c>
      <c r="P25" s="4" t="n">
        <v>5</v>
      </c>
      <c r="Q25" s="7" t="n">
        <v>728</v>
      </c>
      <c r="R25" s="7" t="n">
        <v>676</v>
      </c>
      <c r="S25" s="7" t="n">
        <v>34</v>
      </c>
      <c r="T25" s="8" t="n">
        <v>40.813</v>
      </c>
      <c r="U25" s="8" t="n">
        <v>74.074</v>
      </c>
      <c r="V25" s="7" t="n">
        <v>2011</v>
      </c>
      <c r="W25" s="7" t="n">
        <v>1925</v>
      </c>
      <c r="X25" s="7" t="s">
        <v>47</v>
      </c>
      <c r="Y25" s="9" t="s">
        <v>80</v>
      </c>
    </row>
    <row r="26" customFormat="false" ht="22.35" hidden="false" customHeight="false" outlineLevel="0" collapsed="false">
      <c r="A26" s="3" t="s">
        <v>81</v>
      </c>
      <c r="B26" s="4" t="n">
        <v>1960</v>
      </c>
      <c r="C26" s="4" t="n">
        <f aca="false">$B$35-IF(V26="",W26,V26)</f>
        <v>58</v>
      </c>
      <c r="D26" s="4" t="n">
        <v>12</v>
      </c>
      <c r="E26" s="4" t="n">
        <v>8</v>
      </c>
      <c r="F26" s="5" t="n">
        <f aca="false">ROUND((Q26+0.5*S26)/(Q26+R26+S26),3)</f>
        <v>0.433</v>
      </c>
      <c r="G26" s="4" t="n">
        <v>2010</v>
      </c>
      <c r="H26" s="4" t="n">
        <v>82500</v>
      </c>
      <c r="I26" s="4" t="n">
        <v>1600</v>
      </c>
      <c r="J26" s="6" t="n">
        <f aca="false">ROUND(2*6371*(ACOS(MIN(1,SIN(RADIANS(T26))*SIN(RADIANS(T5))+COS(RADIANS(T26))*COS(RADIANS(T5))*COS(RADIANS(U26-U5))))+ACOS(MIN(1,SIN(RADIANS(T26))*SIN(RADIANS(T21))+COS(RADIANS(T26))*COS(RADIANS(T21))*COS(RADIANS(U26-U21))))+ACOS(MIN(1,SIN(RADIANS(T26))*SIN(RADIANS(T23))+COS(RADIANS(T26))*COS(RADIANS(T23))*COS(RADIANS(U26-U23))))),0)</f>
        <v>4936</v>
      </c>
      <c r="K26" s="5" t="n">
        <v>20.112</v>
      </c>
      <c r="L26" s="5" t="n">
        <v>2.573</v>
      </c>
      <c r="M26" s="4" t="n">
        <v>216</v>
      </c>
      <c r="N26" s="4" t="n">
        <v>300</v>
      </c>
      <c r="O26" s="4" t="n">
        <v>2000</v>
      </c>
      <c r="P26" s="4" t="n">
        <v>2</v>
      </c>
      <c r="Q26" s="7" t="n">
        <v>436</v>
      </c>
      <c r="R26" s="7" t="n">
        <v>573</v>
      </c>
      <c r="S26" s="7" t="n">
        <v>8</v>
      </c>
      <c r="T26" s="8" t="n">
        <v>40.813</v>
      </c>
      <c r="U26" s="8" t="n">
        <v>74.074</v>
      </c>
      <c r="V26" s="7" t="n">
        <v>1968</v>
      </c>
      <c r="W26" s="7" t="n">
        <v>1960</v>
      </c>
      <c r="X26" s="7" t="s">
        <v>35</v>
      </c>
      <c r="Y26" s="9" t="s">
        <v>82</v>
      </c>
    </row>
    <row r="27" customFormat="false" ht="15" hidden="false" customHeight="false" outlineLevel="0" collapsed="false">
      <c r="A27" s="3" t="s">
        <v>83</v>
      </c>
      <c r="B27" s="4" t="n">
        <v>1933</v>
      </c>
      <c r="C27" s="4" t="n">
        <f aca="false">$B$35-IF(V27="",W27,V27)</f>
        <v>2</v>
      </c>
      <c r="D27" s="4" t="n">
        <v>29</v>
      </c>
      <c r="E27" s="4" t="n">
        <v>12</v>
      </c>
      <c r="F27" s="5" t="n">
        <f aca="false">ROUND((Q27+0.5*S27)/(Q27+R27+S27),3)</f>
        <v>0.502</v>
      </c>
      <c r="G27" s="4" t="n">
        <v>2003</v>
      </c>
      <c r="H27" s="4" t="n">
        <v>69596</v>
      </c>
      <c r="I27" s="4" t="n">
        <v>518</v>
      </c>
      <c r="J27" s="6" t="n">
        <f aca="false">ROUND(2*6371*(ACOS(MIN(1,SIN(RADIANS(T27))*SIN(RADIANS(T10))+COS(RADIANS(T27))*COS(RADIANS(T10))*COS(RADIANS(U27-U10))))+ACOS(MIN(1,SIN(RADIANS(T27))*SIN(RADIANS(T25))+COS(RADIANS(T27))*COS(RADIANS(T25))*COS(RADIANS(U27-U25))))+ACOS(MIN(1,SIN(RADIANS(T27))*SIN(RADIANS(T33))+COS(RADIANS(T27))*COS(RADIANS(T33))*COS(RADIANS(U27-U33))))),0)</f>
        <v>4865</v>
      </c>
      <c r="K27" s="5" t="n">
        <v>6.329</v>
      </c>
      <c r="L27" s="5" t="n">
        <v>9.517</v>
      </c>
      <c r="M27" s="4" t="n">
        <v>154</v>
      </c>
      <c r="N27" s="4" t="n">
        <v>379</v>
      </c>
      <c r="O27" s="4" t="n">
        <v>1994</v>
      </c>
      <c r="P27" s="4" t="n">
        <v>20</v>
      </c>
      <c r="Q27" s="7" t="n">
        <v>649</v>
      </c>
      <c r="R27" s="7" t="n">
        <v>645</v>
      </c>
      <c r="S27" s="7" t="n">
        <v>27</v>
      </c>
      <c r="T27" s="8" t="n">
        <v>39.901</v>
      </c>
      <c r="U27" s="8" t="n">
        <v>75.168</v>
      </c>
      <c r="V27" s="7" t="n">
        <v>2024</v>
      </c>
      <c r="W27" s="7" t="n">
        <v>1933</v>
      </c>
      <c r="X27" s="7" t="s">
        <v>47</v>
      </c>
      <c r="Y27" s="9" t="s">
        <v>84</v>
      </c>
    </row>
    <row r="28" customFormat="false" ht="15" hidden="false" customHeight="false" outlineLevel="0" collapsed="false">
      <c r="A28" s="3" t="s">
        <v>85</v>
      </c>
      <c r="B28" s="4" t="n">
        <v>1933</v>
      </c>
      <c r="C28" s="4" t="n">
        <f aca="false">$B$35-IF(V28="",W28,V28)</f>
        <v>18</v>
      </c>
      <c r="D28" s="4" t="n">
        <v>36</v>
      </c>
      <c r="E28" s="4" t="n">
        <v>26</v>
      </c>
      <c r="F28" s="5" t="n">
        <f aca="false">ROUND((Q28+0.5*S28)/(Q28+R28+S28),3)</f>
        <v>0.538</v>
      </c>
      <c r="G28" s="4" t="n">
        <v>2001</v>
      </c>
      <c r="H28" s="4" t="n">
        <v>68984</v>
      </c>
      <c r="I28" s="4" t="n">
        <v>281</v>
      </c>
      <c r="J28" s="6" t="n">
        <f aca="false">ROUND(2*6371*(ACOS(MIN(1,SIN(RADIANS(T28))*SIN(RADIANS(T4))+COS(RADIANS(T28))*COS(RADIANS(T4))*COS(RADIANS(U28-U4))))+ACOS(MIN(1,SIN(RADIANS(T28))*SIN(RADIANS(T8))+COS(RADIANS(T28))*COS(RADIANS(T8))*COS(RADIANS(U28-U8))))+ACOS(MIN(1,SIN(RADIANS(T28))*SIN(RADIANS(T9))+COS(RADIANS(T28))*COS(RADIANS(T9))*COS(RADIANS(U28-U9))))),0)</f>
        <v>1829</v>
      </c>
      <c r="K28" s="5" t="n">
        <v>2.422</v>
      </c>
      <c r="L28" s="5" t="n">
        <v>7.763</v>
      </c>
      <c r="M28" s="4" t="n">
        <v>74</v>
      </c>
      <c r="N28" s="4" t="n">
        <v>397</v>
      </c>
      <c r="O28" s="4" t="n">
        <v>1933</v>
      </c>
      <c r="P28" s="4" t="n">
        <v>21</v>
      </c>
      <c r="Q28" s="7" t="n">
        <v>691</v>
      </c>
      <c r="R28" s="7" t="n">
        <v>592</v>
      </c>
      <c r="S28" s="7" t="n">
        <v>22</v>
      </c>
      <c r="T28" s="8" t="n">
        <v>40.447</v>
      </c>
      <c r="U28" s="8" t="n">
        <v>80.016</v>
      </c>
      <c r="V28" s="7" t="n">
        <v>2008</v>
      </c>
      <c r="W28" s="7" t="n">
        <v>1933</v>
      </c>
      <c r="X28" s="7" t="s">
        <v>32</v>
      </c>
      <c r="Y28" s="9" t="s">
        <v>86</v>
      </c>
    </row>
    <row r="29" customFormat="false" ht="32.8" hidden="false" customHeight="false" outlineLevel="0" collapsed="false">
      <c r="A29" s="3" t="s">
        <v>87</v>
      </c>
      <c r="B29" s="4" t="n">
        <v>1946</v>
      </c>
      <c r="C29" s="4" t="n">
        <f aca="false">$B$35-IF(V29="",W29,V29)</f>
        <v>32</v>
      </c>
      <c r="D29" s="4" t="n">
        <v>39</v>
      </c>
      <c r="E29" s="4" t="n">
        <v>16</v>
      </c>
      <c r="F29" s="5" t="n">
        <f aca="false">ROUND((Q29+0.5*S29)/(Q29+R29+S29),3)</f>
        <v>0.547</v>
      </c>
      <c r="G29" s="4" t="n">
        <v>2014</v>
      </c>
      <c r="H29" s="4" t="n">
        <v>68500</v>
      </c>
      <c r="I29" s="4" t="n">
        <v>1300</v>
      </c>
      <c r="J29" s="6" t="n">
        <f aca="false">ROUND(2*6371*(ACOS(MIN(1,SIN(RADIANS(T29))*SIN(RADIANS(T2))+COS(RADIANS(T29))*COS(RADIANS(T2))*COS(RADIANS(U29-U2))))+ACOS(MIN(1,SIN(RADIANS(T29))*SIN(RADIANS(T20))+COS(RADIANS(T29))*COS(RADIANS(T20))*COS(RADIANS(U29-U20))))+ACOS(MIN(1,SIN(RADIANS(T29))*SIN(RADIANS(T30))+COS(RADIANS(T29))*COS(RADIANS(T30))*COS(RADIANS(U29-U30))))),0)</f>
        <v>5233</v>
      </c>
      <c r="K29" s="5" t="n">
        <v>4.63</v>
      </c>
      <c r="L29" s="5" t="n">
        <v>6.645</v>
      </c>
      <c r="M29" s="4" t="n">
        <v>126</v>
      </c>
      <c r="N29" s="4" t="n">
        <v>437</v>
      </c>
      <c r="O29" s="4" t="n">
        <v>1977</v>
      </c>
      <c r="P29" s="4" t="n">
        <v>33</v>
      </c>
      <c r="Q29" s="7" t="n">
        <v>642</v>
      </c>
      <c r="R29" s="7" t="n">
        <v>531</v>
      </c>
      <c r="S29" s="7" t="n">
        <v>16</v>
      </c>
      <c r="T29" s="8" t="n">
        <v>37.403</v>
      </c>
      <c r="U29" s="8" t="n">
        <v>121.97</v>
      </c>
      <c r="V29" s="7" t="n">
        <v>1994</v>
      </c>
      <c r="W29" s="7" t="n">
        <v>1946</v>
      </c>
      <c r="X29" s="7" t="s">
        <v>26</v>
      </c>
      <c r="Y29" s="9" t="s">
        <v>88</v>
      </c>
    </row>
    <row r="30" customFormat="false" ht="32.8" hidden="false" customHeight="false" outlineLevel="0" collapsed="false">
      <c r="A30" s="3" t="s">
        <v>89</v>
      </c>
      <c r="B30" s="4" t="n">
        <v>1976</v>
      </c>
      <c r="C30" s="4" t="n">
        <f aca="false">$B$35-IF(V30="",W30,V30)</f>
        <v>1</v>
      </c>
      <c r="D30" s="4" t="n">
        <v>20</v>
      </c>
      <c r="E30" s="4" t="n">
        <v>5</v>
      </c>
      <c r="F30" s="5" t="n">
        <f aca="false">ROUND((Q30+0.5*S30)/(Q30+R30+S30),3)</f>
        <v>0.525</v>
      </c>
      <c r="G30" s="4" t="n">
        <v>2002</v>
      </c>
      <c r="H30" s="4" t="n">
        <v>69000</v>
      </c>
      <c r="I30" s="4" t="n">
        <v>360</v>
      </c>
      <c r="J30" s="6" t="n">
        <f aca="false">ROUND(2*6371*(ACOS(MIN(1,SIN(RADIANS(T30))*SIN(RADIANS(T2))+COS(RADIANS(T30))*COS(RADIANS(T2))*COS(RADIANS(U30-U2))))+ACOS(MIN(1,SIN(RADIANS(T30))*SIN(RADIANS(T20))+COS(RADIANS(T30))*COS(RADIANS(T20))*COS(RADIANS(U30-U20))))+ACOS(MIN(1,SIN(RADIANS(T30))*SIN(RADIANS(T29))+COS(RADIANS(T30))*COS(RADIANS(T29))*COS(RADIANS(U30-U29))))),0)</f>
        <v>8928</v>
      </c>
      <c r="K30" s="5" t="n">
        <v>4.162</v>
      </c>
      <c r="L30" s="5" t="n">
        <v>6.332</v>
      </c>
      <c r="M30" s="4" t="n">
        <v>131</v>
      </c>
      <c r="N30" s="4" t="n">
        <v>483</v>
      </c>
      <c r="O30" s="4" t="n">
        <v>2026</v>
      </c>
      <c r="P30" s="4" t="n">
        <v>32</v>
      </c>
      <c r="Q30" s="7" t="n">
        <v>416</v>
      </c>
      <c r="R30" s="7" t="n">
        <v>376</v>
      </c>
      <c r="S30" s="7" t="n">
        <v>1</v>
      </c>
      <c r="T30" s="8" t="n">
        <v>47.595</v>
      </c>
      <c r="U30" s="8" t="n">
        <v>122.332</v>
      </c>
      <c r="V30" s="7" t="n">
        <v>2025</v>
      </c>
      <c r="W30" s="7" t="n">
        <v>1976</v>
      </c>
      <c r="X30" s="7" t="s">
        <v>26</v>
      </c>
      <c r="Y30" s="9" t="s">
        <v>90</v>
      </c>
    </row>
    <row r="31" customFormat="false" ht="15" hidden="false" customHeight="false" outlineLevel="0" collapsed="false">
      <c r="A31" s="3" t="s">
        <v>91</v>
      </c>
      <c r="B31" s="4" t="n">
        <v>1976</v>
      </c>
      <c r="C31" s="4" t="n">
        <f aca="false">$B$35-IF(V31="",W31,V31)</f>
        <v>6</v>
      </c>
      <c r="D31" s="4" t="n">
        <v>12</v>
      </c>
      <c r="E31" s="4" t="n">
        <v>5</v>
      </c>
      <c r="F31" s="5" t="n">
        <f aca="false">ROUND((Q31+0.5*S31)/(Q31+R31+S31),3)</f>
        <v>0.412</v>
      </c>
      <c r="G31" s="4" t="n">
        <v>1998</v>
      </c>
      <c r="H31" s="4" t="n">
        <v>65890</v>
      </c>
      <c r="I31" s="4" t="n">
        <v>194</v>
      </c>
      <c r="J31" s="6" t="n">
        <f aca="false">ROUND(2*6371*(ACOS(MIN(1,SIN(RADIANS(T31))*SIN(RADIANS(T3))+COS(RADIANS(T31))*COS(RADIANS(T3))*COS(RADIANS(U31-U3))))+ACOS(MIN(1,SIN(RADIANS(T31))*SIN(RADIANS(T6))+COS(RADIANS(T31))*COS(RADIANS(T6))*COS(RADIANS(U31-U6))))+ACOS(MIN(1,SIN(RADIANS(T31))*SIN(RADIANS(T24))+COS(RADIANS(T31))*COS(RADIANS(T24))*COS(RADIANS(U31-U24))))),0)</f>
        <v>4516</v>
      </c>
      <c r="K31" s="5" t="n">
        <v>3.419</v>
      </c>
      <c r="L31" s="5" t="n">
        <v>3.271</v>
      </c>
      <c r="M31" s="4" t="n">
        <v>95</v>
      </c>
      <c r="N31" s="4" t="n">
        <v>380</v>
      </c>
      <c r="O31" s="4" t="n">
        <v>1995</v>
      </c>
      <c r="P31" s="4" t="n">
        <v>15</v>
      </c>
      <c r="Q31" s="7" t="n">
        <v>326</v>
      </c>
      <c r="R31" s="7" t="n">
        <v>466</v>
      </c>
      <c r="S31" s="7" t="n">
        <v>1</v>
      </c>
      <c r="T31" s="8" t="n">
        <v>27.976</v>
      </c>
      <c r="U31" s="8" t="n">
        <v>82.503</v>
      </c>
      <c r="V31" s="7" t="n">
        <v>2020</v>
      </c>
      <c r="W31" s="7" t="n">
        <v>1976</v>
      </c>
      <c r="X31" s="7" t="s">
        <v>29</v>
      </c>
      <c r="Y31" s="9" t="s">
        <v>92</v>
      </c>
    </row>
    <row r="32" customFormat="false" ht="22.35" hidden="false" customHeight="false" outlineLevel="0" collapsed="false">
      <c r="A32" s="3" t="s">
        <v>93</v>
      </c>
      <c r="B32" s="4" t="n">
        <v>1997</v>
      </c>
      <c r="C32" s="4" t="n">
        <f aca="false">$B$35-IF(V32="",W32,V32)</f>
        <v>65</v>
      </c>
      <c r="D32" s="4" t="n">
        <v>17</v>
      </c>
      <c r="E32" s="4" t="n">
        <v>7</v>
      </c>
      <c r="F32" s="5" t="n">
        <f aca="false">ROUND((Q32+0.5*S32)/(Q32+R32+S32),3)</f>
        <v>0.477</v>
      </c>
      <c r="G32" s="4" t="n">
        <v>1999</v>
      </c>
      <c r="H32" s="4" t="n">
        <v>69143</v>
      </c>
      <c r="I32" s="4" t="n">
        <v>290</v>
      </c>
      <c r="J32" s="6" t="n">
        <f aca="false">ROUND(2*6371*(ACOS(MIN(1,SIN(RADIANS(T32))*SIN(RADIANS(T14))+COS(RADIANS(T32))*COS(RADIANS(T14))*COS(RADIANS(U32-U14))))+ACOS(MIN(1,SIN(RADIANS(T32))*SIN(RADIANS(T15))+COS(RADIANS(T32))*COS(RADIANS(T15))*COS(RADIANS(U32-U15))))+ACOS(MIN(1,SIN(RADIANS(T32))*SIN(RADIANS(T16))+COS(RADIANS(T32))*COS(RADIANS(T16))*COS(RADIANS(U32-U16))))),0)</f>
        <v>4579</v>
      </c>
      <c r="K32" s="5" t="n">
        <v>2.197</v>
      </c>
      <c r="L32" s="5" t="n">
        <v>2.086</v>
      </c>
      <c r="M32" s="4" t="n">
        <v>85</v>
      </c>
      <c r="N32" s="4" t="n">
        <v>284</v>
      </c>
      <c r="O32" s="4" t="n">
        <v>1960</v>
      </c>
      <c r="P32" s="4" t="n">
        <v>4</v>
      </c>
      <c r="Q32" s="7" t="n">
        <v>482</v>
      </c>
      <c r="R32" s="7" t="n">
        <v>529</v>
      </c>
      <c r="S32" s="7" t="n">
        <v>6</v>
      </c>
      <c r="T32" s="8" t="n">
        <v>36.166</v>
      </c>
      <c r="U32" s="8" t="n">
        <v>86.771</v>
      </c>
      <c r="V32" s="7" t="n">
        <v>1961</v>
      </c>
      <c r="W32" s="7" t="n">
        <v>1960</v>
      </c>
      <c r="X32" s="7" t="s">
        <v>57</v>
      </c>
      <c r="Y32" s="9" t="s">
        <v>94</v>
      </c>
    </row>
    <row r="33" customFormat="false" ht="15" hidden="false" customHeight="false" outlineLevel="0" collapsed="false">
      <c r="A33" s="3" t="s">
        <v>95</v>
      </c>
      <c r="B33" s="4" t="n">
        <v>1937</v>
      </c>
      <c r="C33" s="4" t="n">
        <f aca="false">$B$35-IF(V33="",W33,V33)</f>
        <v>35</v>
      </c>
      <c r="D33" s="4" t="n">
        <v>25</v>
      </c>
      <c r="E33" s="4" t="n">
        <v>17</v>
      </c>
      <c r="F33" s="5" t="n">
        <f aca="false">ROUND((Q33+0.5*S33)/(Q33+R33+S33),3)</f>
        <v>0.495</v>
      </c>
      <c r="G33" s="4" t="n">
        <v>1997</v>
      </c>
      <c r="H33" s="4" t="n">
        <v>64000</v>
      </c>
      <c r="I33" s="4" t="n">
        <v>250</v>
      </c>
      <c r="J33" s="6" t="n">
        <f aca="false">ROUND(2*6371*(ACOS(MIN(1,SIN(RADIANS(T33))*SIN(RADIANS(T10))+COS(RADIANS(T33))*COS(RADIANS(T10))*COS(RADIANS(U33-U10))))+ACOS(MIN(1,SIN(RADIANS(T33))*SIN(RADIANS(T25))+COS(RADIANS(T33))*COS(RADIANS(T25))*COS(RADIANS(U33-U25))))+ACOS(MIN(1,SIN(RADIANS(T33))*SIN(RADIANS(T27))+COS(RADIANS(T33))*COS(RADIANS(T27))*COS(RADIANS(U33-U27))))),0)</f>
        <v>4889</v>
      </c>
      <c r="K33" s="5" t="n">
        <v>6.466</v>
      </c>
      <c r="L33" s="5" t="n">
        <v>3.017</v>
      </c>
      <c r="M33" s="4" t="n">
        <v>121</v>
      </c>
      <c r="N33" s="4" t="n">
        <v>356</v>
      </c>
      <c r="O33" s="4" t="n">
        <v>2023</v>
      </c>
      <c r="P33" s="4" t="n">
        <v>7</v>
      </c>
      <c r="Q33" s="7" t="n">
        <v>646</v>
      </c>
      <c r="R33" s="7" t="n">
        <v>660</v>
      </c>
      <c r="S33" s="7" t="n">
        <v>29</v>
      </c>
      <c r="T33" s="8" t="n">
        <v>38.908</v>
      </c>
      <c r="U33" s="8" t="n">
        <v>76.864</v>
      </c>
      <c r="V33" s="7" t="n">
        <v>1991</v>
      </c>
      <c r="W33" s="7" t="n">
        <v>1932</v>
      </c>
      <c r="X33" s="7" t="s">
        <v>47</v>
      </c>
      <c r="Y33" s="9" t="s">
        <v>96</v>
      </c>
    </row>
    <row r="35" customFormat="false" ht="15" hidden="false" customHeight="false" outlineLevel="0" collapsed="false">
      <c r="A35" s="10" t="s">
        <v>97</v>
      </c>
      <c r="B35" s="11" t="n">
        <v>2026</v>
      </c>
    </row>
    <row r="36" customFormat="false" ht="15" hidden="false" customHeight="false" outlineLevel="0" collapsed="false">
      <c r="A36" s="12" t="s">
        <v>98</v>
      </c>
    </row>
    <row r="37" customFormat="false" ht="15" hidden="false" customHeight="false" outlineLevel="0" collapsed="false">
      <c r="A37" s="1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3"/>
  </cols>
  <sheetData>
    <row r="1" customFormat="false" ht="48" hidden="false" customHeight="true" outlineLevel="0" collapsed="false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customFormat="false" ht="15" hidden="false" customHeight="false" outlineLevel="0" collapsed="false">
      <c r="A2" s="3" t="str">
        <f aca="false">Daten!A2</f>
        <v>Arizona Cardinals</v>
      </c>
      <c r="B2" s="13" t="n">
        <f aca="false">RANK(Daten!B2,Daten!B$2:B$33,1)</f>
        <v>24</v>
      </c>
      <c r="C2" s="13" t="n">
        <f aca="false">RANK(Daten!C2,Daten!C$2:C$33,0)</f>
        <v>1</v>
      </c>
      <c r="D2" s="13" t="n">
        <f aca="false">RANK(Daten!D2,Daten!D$2:D$33,0)</f>
        <v>31</v>
      </c>
      <c r="E2" s="13" t="n">
        <f aca="false">RANK(Daten!E2,Daten!E$2:E$33,0)</f>
        <v>13</v>
      </c>
      <c r="F2" s="13" t="n">
        <f aca="false">RANK(Daten!F2,Daten!F$2:F$33,0)</f>
        <v>31</v>
      </c>
      <c r="G2" s="13" t="n">
        <f aca="false">RANK(Daten!G2,Daten!G$2:G$33,1)</f>
        <v>21</v>
      </c>
      <c r="H2" s="13" t="n">
        <f aca="false">RANK(Daten!H2,Daten!H$2:H$33,0)</f>
        <v>30</v>
      </c>
      <c r="I2" s="13" t="n">
        <f aca="false">RANK(Daten!I2,Daten!I$2:I$33,0)</f>
        <v>14</v>
      </c>
      <c r="J2" s="13" t="n">
        <f aca="false">RANK(Daten!J2,Daten!J$2:J$33,0)</f>
        <v>7</v>
      </c>
      <c r="K2" s="13" t="n">
        <f aca="false">RANK(Daten!K2,Daten!K$2:K$33,0)</f>
        <v>12</v>
      </c>
      <c r="L2" s="13" t="n">
        <f aca="false">RANK(Daten!L2,Daten!L$2:L$33,0)</f>
        <v>29</v>
      </c>
      <c r="M2" s="13" t="n">
        <f aca="false">RANK(Daten!M2,Daten!M$2:M$33,0)</f>
        <v>15</v>
      </c>
      <c r="N2" s="13" t="n">
        <f aca="false">RANK(Daten!N2,Daten!N$2:N$33,0)</f>
        <v>23</v>
      </c>
      <c r="O2" s="13" t="n">
        <f aca="false">RANK(Daten!O2,Daten!O$2:O$33,1)</f>
        <v>4</v>
      </c>
      <c r="P2" s="13" t="n">
        <f aca="false">RANK(Daten!P2,Daten!P$2:P$33,1)</f>
        <v>3</v>
      </c>
      <c r="Q2" s="14" t="n">
        <f aca="false">COUNTIF(B2:P2,"&lt;=3")</f>
        <v>2</v>
      </c>
      <c r="R2" s="13" t="n">
        <f aca="false">COUNTIF(B2:P2,1)</f>
        <v>1</v>
      </c>
    </row>
    <row r="3" customFormat="false" ht="15" hidden="false" customHeight="false" outlineLevel="0" collapsed="false">
      <c r="A3" s="3" t="str">
        <f aca="false">Daten!A3</f>
        <v>Atlanta Falcons</v>
      </c>
      <c r="B3" s="13" t="n">
        <f aca="false">RANK(Daten!B3,Daten!B$2:B$33,1)</f>
        <v>17</v>
      </c>
      <c r="C3" s="13" t="n">
        <f aca="false">RANK(Daten!C3,Daten!C$2:C$33,0)</f>
        <v>8</v>
      </c>
      <c r="D3" s="13" t="n">
        <f aca="false">RANK(Daten!D3,Daten!D$2:D$33,0)</f>
        <v>25</v>
      </c>
      <c r="E3" s="13" t="n">
        <f aca="false">RANK(Daten!E3,Daten!E$2:E$33,0)</f>
        <v>28</v>
      </c>
      <c r="F3" s="13" t="n">
        <f aca="false">RANK(Daten!F3,Daten!F$2:F$33,0)</f>
        <v>28</v>
      </c>
      <c r="G3" s="13" t="n">
        <f aca="false">RANK(Daten!G3,Daten!G$2:G$33,1)</f>
        <v>28</v>
      </c>
      <c r="H3" s="13" t="n">
        <f aca="false">RANK(Daten!H3,Daten!H$2:H$33,0)</f>
        <v>11</v>
      </c>
      <c r="I3" s="13" t="n">
        <f aca="false">RANK(Daten!I3,Daten!I$2:I$33,0)</f>
        <v>7</v>
      </c>
      <c r="J3" s="13" t="n">
        <f aca="false">RANK(Daten!J3,Daten!J$2:J$33,0)</f>
        <v>26</v>
      </c>
      <c r="K3" s="13" t="n">
        <f aca="false">RANK(Daten!K3,Daten!K$2:K$33,0)</f>
        <v>8</v>
      </c>
      <c r="L3" s="13" t="n">
        <f aca="false">RANK(Daten!L3,Daten!L$2:L$33,0)</f>
        <v>19</v>
      </c>
      <c r="M3" s="13" t="n">
        <f aca="false">RANK(Daten!M3,Daten!M$2:M$33,0)</f>
        <v>3</v>
      </c>
      <c r="N3" s="13" t="n">
        <f aca="false">RANK(Daten!N3,Daten!N$2:N$33,0)</f>
        <v>24</v>
      </c>
      <c r="O3" s="13" t="n">
        <f aca="false">RANK(Daten!O3,Daten!O$2:O$33,1)</f>
        <v>21</v>
      </c>
      <c r="P3" s="13" t="n">
        <f aca="false">RANK(Daten!P3,Daten!P$2:P$33,1)</f>
        <v>28</v>
      </c>
      <c r="Q3" s="14" t="n">
        <f aca="false">COUNTIF(B3:P3,"&lt;=3")</f>
        <v>1</v>
      </c>
      <c r="R3" s="13" t="n">
        <f aca="false">COUNTIF(B3:P3,1)</f>
        <v>0</v>
      </c>
    </row>
    <row r="4" customFormat="false" ht="15" hidden="false" customHeight="false" outlineLevel="0" collapsed="false">
      <c r="A4" s="3" t="str">
        <f aca="false">Daten!A4</f>
        <v>Baltimore Ravens</v>
      </c>
      <c r="B4" s="13" t="n">
        <f aca="false">RANK(Daten!B4,Daten!B$2:B$33,1)</f>
        <v>27</v>
      </c>
      <c r="C4" s="13" t="n">
        <f aca="false">RANK(Daten!C4,Daten!C$2:C$33,0)</f>
        <v>25</v>
      </c>
      <c r="D4" s="13" t="n">
        <f aca="false">RANK(Daten!D4,Daten!D$2:D$33,0)</f>
        <v>18</v>
      </c>
      <c r="E4" s="13" t="n">
        <f aca="false">RANK(Daten!E4,Daten!E$2:E$33,0)</f>
        <v>27</v>
      </c>
      <c r="F4" s="13" t="n">
        <f aca="false">RANK(Daten!F4,Daten!F$2:F$33,0)</f>
        <v>3</v>
      </c>
      <c r="G4" s="13" t="n">
        <f aca="false">RANK(Daten!G4,Daten!G$2:G$33,1)</f>
        <v>9</v>
      </c>
      <c r="H4" s="13" t="n">
        <f aca="false">RANK(Daten!H4,Daten!H$2:H$33,0)</f>
        <v>10</v>
      </c>
      <c r="I4" s="13" t="n">
        <f aca="false">RANK(Daten!I4,Daten!I$2:I$33,0)</f>
        <v>26</v>
      </c>
      <c r="J4" s="13" t="n">
        <f aca="false">RANK(Daten!J4,Daten!J$2:J$33,0)</f>
        <v>27</v>
      </c>
      <c r="K4" s="13" t="n">
        <f aca="false">RANK(Daten!K4,Daten!K$2:K$33,0)</f>
        <v>21</v>
      </c>
      <c r="L4" s="13" t="n">
        <f aca="false">RANK(Daten!L4,Daten!L$2:L$33,0)</f>
        <v>12</v>
      </c>
      <c r="M4" s="13" t="n">
        <f aca="false">RANK(Daten!M4,Daten!M$2:M$33,0)</f>
        <v>22</v>
      </c>
      <c r="N4" s="13" t="n">
        <f aca="false">RANK(Daten!N4,Daten!N$2:N$33,0)</f>
        <v>11</v>
      </c>
      <c r="O4" s="13" t="n">
        <f aca="false">RANK(Daten!O4,Daten!O$2:O$33,1)</f>
        <v>22</v>
      </c>
      <c r="P4" s="13" t="n">
        <f aca="false">RANK(Daten!P4,Daten!P$2:P$33,1)</f>
        <v>13</v>
      </c>
      <c r="Q4" s="14" t="n">
        <f aca="false">COUNTIF(B4:P4,"&lt;=3")</f>
        <v>1</v>
      </c>
      <c r="R4" s="13" t="n">
        <f aca="false">COUNTIF(B4:P4,1)</f>
        <v>0</v>
      </c>
    </row>
    <row r="5" customFormat="false" ht="15" hidden="false" customHeight="false" outlineLevel="0" collapsed="false">
      <c r="A5" s="3" t="str">
        <f aca="false">Daten!A5</f>
        <v>Buffalo Bills</v>
      </c>
      <c r="B5" s="13" t="n">
        <f aca="false">RANK(Daten!B5,Daten!B$2:B$33,1)</f>
        <v>10</v>
      </c>
      <c r="C5" s="13" t="n">
        <f aca="false">RANK(Daten!C5,Daten!C$2:C$33,0)</f>
        <v>7</v>
      </c>
      <c r="D5" s="13" t="n">
        <f aca="false">RANK(Daten!D5,Daten!D$2:D$33,0)</f>
        <v>14</v>
      </c>
      <c r="E5" s="13" t="n">
        <f aca="false">RANK(Daten!E5,Daten!E$2:E$33,0)</f>
        <v>19</v>
      </c>
      <c r="F5" s="13" t="n">
        <f aca="false">RANK(Daten!F5,Daten!F$2:F$33,0)</f>
        <v>21</v>
      </c>
      <c r="G5" s="13" t="n">
        <f aca="false">RANK(Daten!G5,Daten!G$2:G$33,1)</f>
        <v>32</v>
      </c>
      <c r="H5" s="13" t="n">
        <f aca="false">RANK(Daten!H5,Daten!H$2:H$33,0)</f>
        <v>32</v>
      </c>
      <c r="I5" s="13" t="n">
        <f aca="false">RANK(Daten!I5,Daten!I$2:I$33,0)</f>
        <v>3</v>
      </c>
      <c r="J5" s="13" t="n">
        <f aca="false">RANK(Daten!J5,Daten!J$2:J$33,0)</f>
        <v>11</v>
      </c>
      <c r="K5" s="13" t="n">
        <f aca="false">RANK(Daten!K5,Daten!K$2:K$33,0)</f>
        <v>30</v>
      </c>
      <c r="L5" s="13" t="n">
        <f aca="false">RANK(Daten!L5,Daten!L$2:L$33,0)</f>
        <v>11</v>
      </c>
      <c r="M5" s="13" t="n">
        <f aca="false">RANK(Daten!M5,Daten!M$2:M$33,0)</f>
        <v>27</v>
      </c>
      <c r="N5" s="13" t="n">
        <f aca="false">RANK(Daten!N5,Daten!N$2:N$33,0)</f>
        <v>4</v>
      </c>
      <c r="O5" s="13" t="n">
        <f aca="false">RANK(Daten!O5,Daten!O$2:O$33,1)</f>
        <v>28</v>
      </c>
      <c r="P5" s="13" t="n">
        <f aca="false">RANK(Daten!P5,Daten!P$2:P$33,1)</f>
        <v>26</v>
      </c>
      <c r="Q5" s="14" t="n">
        <f aca="false">COUNTIF(B5:P5,"&lt;=3")</f>
        <v>1</v>
      </c>
      <c r="R5" s="13" t="n">
        <f aca="false">COUNTIF(B5:P5,1)</f>
        <v>0</v>
      </c>
    </row>
    <row r="6" customFormat="false" ht="15" hidden="false" customHeight="false" outlineLevel="0" collapsed="false">
      <c r="A6" s="3" t="str">
        <f aca="false">Daten!A6</f>
        <v>Carolina Panthers</v>
      </c>
      <c r="B6" s="13" t="n">
        <f aca="false">RANK(Daten!B6,Daten!B$2:B$33,1)</f>
        <v>25</v>
      </c>
      <c r="C6" s="13" t="n">
        <f aca="false">RANK(Daten!C6,Daten!C$2:C$33,0)</f>
        <v>16</v>
      </c>
      <c r="D6" s="13" t="n">
        <f aca="false">RANK(Daten!D6,Daten!D$2:D$33,0)</f>
        <v>28</v>
      </c>
      <c r="E6" s="13" t="n">
        <f aca="false">RANK(Daten!E6,Daten!E$2:E$33,0)</f>
        <v>28</v>
      </c>
      <c r="F6" s="13" t="n">
        <f aca="false">RANK(Daten!F6,Daten!F$2:F$33,0)</f>
        <v>26</v>
      </c>
      <c r="G6" s="13" t="n">
        <f aca="false">RANK(Daten!G6,Daten!G$2:G$33,1)</f>
        <v>7</v>
      </c>
      <c r="H6" s="13" t="n">
        <f aca="false">RANK(Daten!H6,Daten!H$2:H$33,0)</f>
        <v>6</v>
      </c>
      <c r="I6" s="13" t="n">
        <f aca="false">RANK(Daten!I6,Daten!I$2:I$33,0)</f>
        <v>25</v>
      </c>
      <c r="J6" s="13" t="n">
        <f aca="false">RANK(Daten!J6,Daten!J$2:J$33,0)</f>
        <v>23</v>
      </c>
      <c r="K6" s="13" t="n">
        <f aca="false">RANK(Daten!K6,Daten!K$2:K$33,0)</f>
        <v>20</v>
      </c>
      <c r="L6" s="13" t="n">
        <f aca="false">RANK(Daten!L6,Daten!L$2:L$33,0)</f>
        <v>9</v>
      </c>
      <c r="M6" s="13" t="n">
        <f aca="false">RANK(Daten!M6,Daten!M$2:M$33,0)</f>
        <v>19</v>
      </c>
      <c r="N6" s="13" t="n">
        <f aca="false">RANK(Daten!N6,Daten!N$2:N$33,0)</f>
        <v>27</v>
      </c>
      <c r="O6" s="13" t="n">
        <f aca="false">RANK(Daten!O6,Daten!O$2:O$33,1)</f>
        <v>29</v>
      </c>
      <c r="P6" s="13" t="n">
        <f aca="false">RANK(Daten!P6,Daten!P$2:P$33,1)</f>
        <v>17</v>
      </c>
      <c r="Q6" s="14" t="n">
        <f aca="false">COUNTIF(B6:P6,"&lt;=3")</f>
        <v>0</v>
      </c>
      <c r="R6" s="13" t="n">
        <f aca="false">COUNTIF(B6:P6,1)</f>
        <v>0</v>
      </c>
    </row>
    <row r="7" customFormat="false" ht="15" hidden="false" customHeight="false" outlineLevel="0" collapsed="false">
      <c r="A7" s="3" t="str">
        <f aca="false">Daten!A7</f>
        <v>Chicago Bears</v>
      </c>
      <c r="B7" s="13" t="n">
        <f aca="false">RANK(Daten!B7,Daten!B$2:B$33,1)</f>
        <v>1</v>
      </c>
      <c r="C7" s="13" t="n">
        <f aca="false">RANK(Daten!C7,Daten!C$2:C$33,0)</f>
        <v>13</v>
      </c>
      <c r="D7" s="13" t="n">
        <f aca="false">RANK(Daten!D7,Daten!D$2:D$33,0)</f>
        <v>18</v>
      </c>
      <c r="E7" s="13" t="n">
        <f aca="false">RANK(Daten!E7,Daten!E$2:E$33,0)</f>
        <v>1</v>
      </c>
      <c r="F7" s="13" t="n">
        <f aca="false">RANK(Daten!F7,Daten!F$2:F$33,0)</f>
        <v>5</v>
      </c>
      <c r="G7" s="13" t="n">
        <f aca="false">RANK(Daten!G7,Daten!G$2:G$33,1)</f>
        <v>1</v>
      </c>
      <c r="H7" s="13" t="n">
        <f aca="false">RANK(Daten!H7,Daten!H$2:H$33,0)</f>
        <v>31</v>
      </c>
      <c r="I7" s="13" t="n">
        <f aca="false">RANK(Daten!I7,Daten!I$2:I$33,0)</f>
        <v>12</v>
      </c>
      <c r="J7" s="13" t="n">
        <f aca="false">RANK(Daten!J7,Daten!J$2:J$33,0)</f>
        <v>29</v>
      </c>
      <c r="K7" s="13" t="n">
        <f aca="false">RANK(Daten!K7,Daten!K$2:K$33,0)</f>
        <v>5</v>
      </c>
      <c r="L7" s="13" t="n">
        <f aca="false">RANK(Daten!L7,Daten!L$2:L$33,0)</f>
        <v>14</v>
      </c>
      <c r="M7" s="13" t="n">
        <f aca="false">RANK(Daten!M7,Daten!M$2:M$33,0)</f>
        <v>24</v>
      </c>
      <c r="N7" s="13" t="n">
        <f aca="false">RANK(Daten!N7,Daten!N$2:N$33,0)</f>
        <v>9</v>
      </c>
      <c r="O7" s="13" t="n">
        <f aca="false">RANK(Daten!O7,Daten!O$2:O$33,1)</f>
        <v>1</v>
      </c>
      <c r="P7" s="13" t="n">
        <f aca="false">RANK(Daten!P7,Daten!P$2:P$33,1)</f>
        <v>21</v>
      </c>
      <c r="Q7" s="14" t="n">
        <f aca="false">COUNTIF(B7:P7,"&lt;=3")</f>
        <v>4</v>
      </c>
      <c r="R7" s="13" t="n">
        <f aca="false">COUNTIF(B7:P7,1)</f>
        <v>4</v>
      </c>
    </row>
    <row r="8" customFormat="false" ht="15" hidden="false" customHeight="false" outlineLevel="0" collapsed="false">
      <c r="A8" s="3" t="str">
        <f aca="false">Daten!A8</f>
        <v>Cincinnati Bengals</v>
      </c>
      <c r="B8" s="13" t="n">
        <f aca="false">RANK(Daten!B8,Daten!B$2:B$33,1)</f>
        <v>20</v>
      </c>
      <c r="C8" s="13" t="n">
        <f aca="false">RANK(Daten!C8,Daten!C$2:C$33,0)</f>
        <v>9</v>
      </c>
      <c r="D8" s="13" t="n">
        <f aca="false">RANK(Daten!D8,Daten!D$2:D$33,0)</f>
        <v>25</v>
      </c>
      <c r="E8" s="13" t="n">
        <f aca="false">RANK(Daten!E8,Daten!E$2:E$33,0)</f>
        <v>28</v>
      </c>
      <c r="F8" s="13" t="n">
        <f aca="false">RANK(Daten!F8,Daten!F$2:F$33,0)</f>
        <v>25</v>
      </c>
      <c r="G8" s="13" t="n">
        <f aca="false">RANK(Daten!G8,Daten!G$2:G$33,1)</f>
        <v>13</v>
      </c>
      <c r="H8" s="13" t="n">
        <f aca="false">RANK(Daten!H8,Daten!H$2:H$33,0)</f>
        <v>26</v>
      </c>
      <c r="I8" s="13" t="n">
        <f aca="false">RANK(Daten!I8,Daten!I$2:I$33,0)</f>
        <v>15</v>
      </c>
      <c r="J8" s="13" t="n">
        <f aca="false">RANK(Daten!J8,Daten!J$2:J$33,0)</f>
        <v>28</v>
      </c>
      <c r="K8" s="13" t="n">
        <f aca="false">RANK(Daten!K8,Daten!K$2:K$33,0)</f>
        <v>24</v>
      </c>
      <c r="L8" s="13" t="n">
        <f aca="false">RANK(Daten!L8,Daten!L$2:L$33,0)</f>
        <v>20</v>
      </c>
      <c r="M8" s="13" t="n">
        <f aca="false">RANK(Daten!M8,Daten!M$2:M$33,0)</f>
        <v>26</v>
      </c>
      <c r="N8" s="13" t="n">
        <f aca="false">RANK(Daten!N8,Daten!N$2:N$33,0)</f>
        <v>12</v>
      </c>
      <c r="O8" s="13" t="n">
        <f aca="false">RANK(Daten!O8,Daten!O$2:O$33,1)</f>
        <v>9</v>
      </c>
      <c r="P8" s="13" t="n">
        <f aca="false">RANK(Daten!P8,Daten!P$2:P$33,1)</f>
        <v>27</v>
      </c>
      <c r="Q8" s="14" t="n">
        <f aca="false">COUNTIF(B8:P8,"&lt;=3")</f>
        <v>0</v>
      </c>
      <c r="R8" s="13" t="n">
        <f aca="false">COUNTIF(B8:P8,1)</f>
        <v>0</v>
      </c>
    </row>
    <row r="9" customFormat="false" ht="15" hidden="false" customHeight="false" outlineLevel="0" collapsed="false">
      <c r="A9" s="3" t="str">
        <f aca="false">Daten!A9</f>
        <v>Cleveland Browns</v>
      </c>
      <c r="B9" s="13" t="n">
        <f aca="false">RANK(Daten!B9,Daten!B$2:B$33,1)</f>
        <v>8</v>
      </c>
      <c r="C9" s="13" t="n">
        <f aca="false">RANK(Daten!C9,Daten!C$2:C$33,0)</f>
        <v>6</v>
      </c>
      <c r="D9" s="13" t="n">
        <f aca="false">RANK(Daten!D9,Daten!D$2:D$33,0)</f>
        <v>20</v>
      </c>
      <c r="E9" s="13" t="n">
        <f aca="false">RANK(Daten!E9,Daten!E$2:E$33,0)</f>
        <v>8</v>
      </c>
      <c r="F9" s="13" t="n">
        <f aca="false">RANK(Daten!F9,Daten!F$2:F$33,0)</f>
        <v>17</v>
      </c>
      <c r="G9" s="13" t="n">
        <f aca="false">RANK(Daten!G9,Daten!G$2:G$33,1)</f>
        <v>11</v>
      </c>
      <c r="H9" s="13" t="n">
        <f aca="false">RANK(Daten!H9,Daten!H$2:H$33,0)</f>
        <v>20</v>
      </c>
      <c r="I9" s="13" t="n">
        <f aca="false">RANK(Daten!I9,Daten!I$2:I$33,0)</f>
        <v>21</v>
      </c>
      <c r="J9" s="13" t="n">
        <f aca="false">RANK(Daten!J9,Daten!J$2:J$33,0)</f>
        <v>31</v>
      </c>
      <c r="K9" s="13" t="n">
        <f aca="false">RANK(Daten!K9,Daten!K$2:K$33,0)</f>
        <v>28</v>
      </c>
      <c r="L9" s="13" t="n">
        <f aca="false">RANK(Daten!L9,Daten!L$2:L$33,0)</f>
        <v>22</v>
      </c>
      <c r="M9" s="13" t="n">
        <f aca="false">RANK(Daten!M9,Daten!M$2:M$33,0)</f>
        <v>16</v>
      </c>
      <c r="N9" s="13" t="n">
        <f aca="false">RANK(Daten!N9,Daten!N$2:N$33,0)</f>
        <v>31</v>
      </c>
      <c r="O9" s="13" t="n">
        <f aca="false">RANK(Daten!O9,Daten!O$2:O$33,1)</f>
        <v>26</v>
      </c>
      <c r="P9" s="13" t="n">
        <f aca="false">RANK(Daten!P9,Daten!P$2:P$33,1)</f>
        <v>9</v>
      </c>
      <c r="Q9" s="14" t="n">
        <f aca="false">COUNTIF(B9:P9,"&lt;=3")</f>
        <v>0</v>
      </c>
      <c r="R9" s="13" t="n">
        <f aca="false">COUNTIF(B9:P9,1)</f>
        <v>0</v>
      </c>
    </row>
    <row r="10" customFormat="false" ht="15" hidden="false" customHeight="false" outlineLevel="0" collapsed="false">
      <c r="A10" s="3" t="str">
        <f aca="false">Daten!A10</f>
        <v>Dallas Cowboys</v>
      </c>
      <c r="B10" s="13" t="n">
        <f aca="false">RANK(Daten!B10,Daten!B$2:B$33,1)</f>
        <v>10</v>
      </c>
      <c r="C10" s="13" t="n">
        <f aca="false">RANK(Daten!C10,Daten!C$2:C$33,0)</f>
        <v>16</v>
      </c>
      <c r="D10" s="13" t="n">
        <f aca="false">RANK(Daten!D10,Daten!D$2:D$33,0)</f>
        <v>4</v>
      </c>
      <c r="E10" s="13" t="n">
        <f aca="false">RANK(Daten!E10,Daten!E$2:E$33,0)</f>
        <v>4</v>
      </c>
      <c r="F10" s="13" t="n">
        <f aca="false">RANK(Daten!F10,Daten!F$2:F$33,0)</f>
        <v>1</v>
      </c>
      <c r="G10" s="13" t="n">
        <f aca="false">RANK(Daten!G10,Daten!G$2:G$33,1)</f>
        <v>23</v>
      </c>
      <c r="H10" s="13" t="n">
        <f aca="false">RANK(Daten!H10,Daten!H$2:H$33,0)</f>
        <v>4</v>
      </c>
      <c r="I10" s="13" t="n">
        <f aca="false">RANK(Daten!I10,Daten!I$2:I$33,0)</f>
        <v>8</v>
      </c>
      <c r="J10" s="13" t="n">
        <f aca="false">RANK(Daten!J10,Daten!J$2:J$33,0)</f>
        <v>1</v>
      </c>
      <c r="K10" s="13" t="n">
        <f aca="false">RANK(Daten!K10,Daten!K$2:K$33,0)</f>
        <v>6</v>
      </c>
      <c r="L10" s="13" t="n">
        <f aca="false">RANK(Daten!L10,Daten!L$2:L$33,0)</f>
        <v>2</v>
      </c>
      <c r="M10" s="13" t="n">
        <f aca="false">RANK(Daten!M10,Daten!M$2:M$33,0)</f>
        <v>1</v>
      </c>
      <c r="N10" s="13" t="n">
        <f aca="false">RANK(Daten!N10,Daten!N$2:N$33,0)</f>
        <v>7</v>
      </c>
      <c r="O10" s="13" t="n">
        <f aca="false">RANK(Daten!O10,Daten!O$2:O$33,1)</f>
        <v>15</v>
      </c>
      <c r="P10" s="13" t="n">
        <f aca="false">RANK(Daten!P10,Daten!P$2:P$33,1)</f>
        <v>10</v>
      </c>
      <c r="Q10" s="14" t="n">
        <f aca="false">COUNTIF(B10:P10,"&lt;=3")</f>
        <v>4</v>
      </c>
      <c r="R10" s="13" t="n">
        <f aca="false">COUNTIF(B10:P10,1)</f>
        <v>3</v>
      </c>
    </row>
    <row r="11" customFormat="false" ht="15" hidden="false" customHeight="false" outlineLevel="0" collapsed="false">
      <c r="A11" s="3" t="str">
        <f aca="false">Daten!A11</f>
        <v>Denver Broncos</v>
      </c>
      <c r="B11" s="13" t="n">
        <f aca="false">RANK(Daten!B11,Daten!B$2:B$33,1)</f>
        <v>10</v>
      </c>
      <c r="C11" s="13" t="n">
        <f aca="false">RANK(Daten!C11,Daten!C$2:C$33,0)</f>
        <v>26</v>
      </c>
      <c r="D11" s="13" t="n">
        <f aca="false">RANK(Daten!D11,Daten!D$2:D$33,0)</f>
        <v>12</v>
      </c>
      <c r="E11" s="13" t="n">
        <f aca="false">RANK(Daten!E11,Daten!E$2:E$33,0)</f>
        <v>19</v>
      </c>
      <c r="F11" s="13" t="n">
        <f aca="false">RANK(Daten!F11,Daten!F$2:F$33,0)</f>
        <v>11</v>
      </c>
      <c r="G11" s="13" t="n">
        <f aca="false">RANK(Daten!G11,Daten!G$2:G$33,1)</f>
        <v>14</v>
      </c>
      <c r="H11" s="13" t="n">
        <f aca="false">RANK(Daten!H11,Daten!H$2:H$33,0)</f>
        <v>5</v>
      </c>
      <c r="I11" s="13" t="n">
        <f aca="false">RANK(Daten!I11,Daten!I$2:I$33,0)</f>
        <v>17</v>
      </c>
      <c r="J11" s="13" t="n">
        <f aca="false">RANK(Daten!J11,Daten!J$2:J$33,0)</f>
        <v>9</v>
      </c>
      <c r="K11" s="13" t="n">
        <f aca="false">RANK(Daten!K11,Daten!K$2:K$33,0)</f>
        <v>19</v>
      </c>
      <c r="L11" s="13" t="n">
        <f aca="false">RANK(Daten!L11,Daten!L$2:L$33,0)</f>
        <v>15</v>
      </c>
      <c r="M11" s="13" t="n">
        <f aca="false">RANK(Daten!M11,Daten!M$2:M$33,0)</f>
        <v>17</v>
      </c>
      <c r="N11" s="13" t="n">
        <f aca="false">RANK(Daten!N11,Daten!N$2:N$33,0)</f>
        <v>14</v>
      </c>
      <c r="O11" s="13" t="n">
        <f aca="false">RANK(Daten!O11,Daten!O$2:O$33,1)</f>
        <v>30</v>
      </c>
      <c r="P11" s="13" t="n">
        <f aca="false">RANK(Daten!P11,Daten!P$2:P$33,1)</f>
        <v>32</v>
      </c>
      <c r="Q11" s="14" t="n">
        <f aca="false">COUNTIF(B11:P11,"&lt;=3")</f>
        <v>0</v>
      </c>
      <c r="R11" s="13" t="n">
        <f aca="false">COUNTIF(B11:P11,1)</f>
        <v>0</v>
      </c>
    </row>
    <row r="12" customFormat="false" ht="15" hidden="false" customHeight="false" outlineLevel="0" collapsed="false">
      <c r="A12" s="3" t="str">
        <f aca="false">Daten!A12</f>
        <v>Detroit Lions</v>
      </c>
      <c r="B12" s="13" t="n">
        <f aca="false">RANK(Daten!B12,Daten!B$2:B$33,1)</f>
        <v>6</v>
      </c>
      <c r="C12" s="13" t="n">
        <f aca="false">RANK(Daten!C12,Daten!C$2:C$33,0)</f>
        <v>2</v>
      </c>
      <c r="D12" s="13" t="n">
        <f aca="false">RANK(Daten!D12,Daten!D$2:D$33,0)</f>
        <v>28</v>
      </c>
      <c r="E12" s="13" t="n">
        <f aca="false">RANK(Daten!E12,Daten!E$2:E$33,0)</f>
        <v>8</v>
      </c>
      <c r="F12" s="13" t="n">
        <f aca="false">RANK(Daten!F12,Daten!F$2:F$33,0)</f>
        <v>23</v>
      </c>
      <c r="G12" s="13" t="n">
        <f aca="false">RANK(Daten!G12,Daten!G$2:G$33,1)</f>
        <v>16</v>
      </c>
      <c r="H12" s="13" t="n">
        <f aca="false">RANK(Daten!H12,Daten!H$2:H$33,0)</f>
        <v>28</v>
      </c>
      <c r="I12" s="13" t="n">
        <f aca="false">RANK(Daten!I12,Daten!I$2:I$33,0)</f>
        <v>16</v>
      </c>
      <c r="J12" s="13" t="n">
        <f aca="false">RANK(Daten!J12,Daten!J$2:J$33,0)</f>
        <v>25</v>
      </c>
      <c r="K12" s="13" t="n">
        <f aca="false">RANK(Daten!K12,Daten!K$2:K$33,0)</f>
        <v>15</v>
      </c>
      <c r="L12" s="13" t="n">
        <f aca="false">RANK(Daten!L12,Daten!L$2:L$33,0)</f>
        <v>16</v>
      </c>
      <c r="M12" s="13" t="n">
        <f aca="false">RANK(Daten!M12,Daten!M$2:M$33,0)</f>
        <v>29</v>
      </c>
      <c r="N12" s="13" t="n">
        <f aca="false">RANK(Daten!N12,Daten!N$2:N$33,0)</f>
        <v>4</v>
      </c>
      <c r="O12" s="13" t="n">
        <f aca="false">RANK(Daten!O12,Daten!O$2:O$33,1)</f>
        <v>8</v>
      </c>
      <c r="P12" s="13" t="n">
        <f aca="false">RANK(Daten!P12,Daten!P$2:P$33,1)</f>
        <v>15</v>
      </c>
      <c r="Q12" s="14" t="n">
        <f aca="false">COUNTIF(B12:P12,"&lt;=3")</f>
        <v>1</v>
      </c>
      <c r="R12" s="13" t="n">
        <f aca="false">COUNTIF(B12:P12,1)</f>
        <v>0</v>
      </c>
    </row>
    <row r="13" customFormat="false" ht="15" hidden="false" customHeight="false" outlineLevel="0" collapsed="false">
      <c r="A13" s="3" t="str">
        <f aca="false">Daten!A13</f>
        <v>Green Bay Packers</v>
      </c>
      <c r="B13" s="13" t="n">
        <f aca="false">RANK(Daten!B13,Daten!B$2:B$33,1)</f>
        <v>1</v>
      </c>
      <c r="C13" s="13" t="n">
        <f aca="false">RANK(Daten!C13,Daten!C$2:C$33,0)</f>
        <v>23</v>
      </c>
      <c r="D13" s="13" t="n">
        <f aca="false">RANK(Daten!D13,Daten!D$2:D$33,0)</f>
        <v>3</v>
      </c>
      <c r="E13" s="13" t="n">
        <f aca="false">RANK(Daten!E13,Daten!E$2:E$33,0)</f>
        <v>2</v>
      </c>
      <c r="F13" s="13" t="n">
        <f aca="false">RANK(Daten!F13,Daten!F$2:F$33,0)</f>
        <v>1</v>
      </c>
      <c r="G13" s="13" t="n">
        <f aca="false">RANK(Daten!G13,Daten!G$2:G$33,1)</f>
        <v>2</v>
      </c>
      <c r="H13" s="13" t="n">
        <f aca="false">RANK(Daten!H13,Daten!H$2:H$33,0)</f>
        <v>3</v>
      </c>
      <c r="I13" s="13" t="n">
        <f aca="false">RANK(Daten!I13,Daten!I$2:I$33,0)</f>
        <v>32</v>
      </c>
      <c r="J13" s="13" t="n">
        <f aca="false">RANK(Daten!J13,Daten!J$2:J$33,0)</f>
        <v>30</v>
      </c>
      <c r="K13" s="13" t="n">
        <f aca="false">RANK(Daten!K13,Daten!K$2:K$33,0)</f>
        <v>32</v>
      </c>
      <c r="L13" s="13" t="n">
        <f aca="false">RANK(Daten!L13,Daten!L$2:L$33,0)</f>
        <v>8</v>
      </c>
      <c r="M13" s="13" t="n">
        <f aca="false">RANK(Daten!M13,Daten!M$2:M$33,0)</f>
        <v>24</v>
      </c>
      <c r="N13" s="13" t="n">
        <f aca="false">RANK(Daten!N13,Daten!N$2:N$33,0)</f>
        <v>16</v>
      </c>
      <c r="O13" s="13" t="n">
        <f aca="false">RANK(Daten!O13,Daten!O$2:O$33,1)</f>
        <v>2</v>
      </c>
      <c r="P13" s="13" t="n">
        <f aca="false">RANK(Daten!P13,Daten!P$2:P$33,1)</f>
        <v>29</v>
      </c>
      <c r="Q13" s="14" t="n">
        <f aca="false">COUNTIF(B13:P13,"&lt;=3")</f>
        <v>7</v>
      </c>
      <c r="R13" s="13" t="n">
        <f aca="false">COUNTIF(B13:P13,1)</f>
        <v>2</v>
      </c>
    </row>
    <row r="14" customFormat="false" ht="15" hidden="false" customHeight="false" outlineLevel="0" collapsed="false">
      <c r="A14" s="3" t="str">
        <f aca="false">Daten!A14</f>
        <v>Houston Texans</v>
      </c>
      <c r="B14" s="13" t="n">
        <f aca="false">RANK(Daten!B14,Daten!B$2:B$33,1)</f>
        <v>29</v>
      </c>
      <c r="C14" s="13" t="n">
        <f aca="false">RANK(Daten!C14,Daten!C$2:C$33,0)</f>
        <v>19</v>
      </c>
      <c r="D14" s="13" t="n">
        <f aca="false">RANK(Daten!D14,Daten!D$2:D$33,0)</f>
        <v>31</v>
      </c>
      <c r="E14" s="13" t="n">
        <f aca="false">RANK(Daten!E14,Daten!E$2:E$33,0)</f>
        <v>31</v>
      </c>
      <c r="F14" s="13" t="n">
        <f aca="false">RANK(Daten!F14,Daten!F$2:F$33,0)</f>
        <v>27</v>
      </c>
      <c r="G14" s="13" t="n">
        <f aca="false">RANK(Daten!G14,Daten!G$2:G$33,1)</f>
        <v>16</v>
      </c>
      <c r="H14" s="13" t="n">
        <f aca="false">RANK(Daten!H14,Daten!H$2:H$33,0)</f>
        <v>9</v>
      </c>
      <c r="I14" s="13" t="n">
        <f aca="false">RANK(Daten!I14,Daten!I$2:I$33,0)</f>
        <v>19</v>
      </c>
      <c r="J14" s="13" t="n">
        <f aca="false">RANK(Daten!J14,Daten!J$2:J$33,0)</f>
        <v>6</v>
      </c>
      <c r="K14" s="13" t="n">
        <f aca="false">RANK(Daten!K14,Daten!K$2:K$33,0)</f>
        <v>7</v>
      </c>
      <c r="L14" s="13" t="n">
        <f aca="false">RANK(Daten!L14,Daten!L$2:L$33,0)</f>
        <v>17</v>
      </c>
      <c r="M14" s="13" t="n">
        <f aca="false">RANK(Daten!M14,Daten!M$2:M$33,0)</f>
        <v>10</v>
      </c>
      <c r="N14" s="13" t="n">
        <f aca="false">RANK(Daten!N14,Daten!N$2:N$33,0)</f>
        <v>13</v>
      </c>
      <c r="O14" s="13" t="n">
        <f aca="false">RANK(Daten!O14,Daten!O$2:O$33,1)</f>
        <v>19</v>
      </c>
      <c r="P14" s="13" t="n">
        <f aca="false">RANK(Daten!P14,Daten!P$2:P$33,1)</f>
        <v>22</v>
      </c>
      <c r="Q14" s="14" t="n">
        <f aca="false">COUNTIF(B14:P14,"&lt;=3")</f>
        <v>0</v>
      </c>
      <c r="R14" s="13" t="n">
        <f aca="false">COUNTIF(B14:P14,1)</f>
        <v>0</v>
      </c>
    </row>
    <row r="15" customFormat="false" ht="15" hidden="false" customHeight="false" outlineLevel="0" collapsed="false">
      <c r="A15" s="3" t="str">
        <f aca="false">Daten!A15</f>
        <v>Indianapolis Colts</v>
      </c>
      <c r="B15" s="13" t="n">
        <f aca="false">RANK(Daten!B15,Daten!B$2:B$33,1)</f>
        <v>23</v>
      </c>
      <c r="C15" s="13" t="n">
        <f aca="false">RANK(Daten!C15,Daten!C$2:C$33,0)</f>
        <v>20</v>
      </c>
      <c r="D15" s="13" t="n">
        <f aca="false">RANK(Daten!D15,Daten!D$2:D$33,0)</f>
        <v>13</v>
      </c>
      <c r="E15" s="13" t="n">
        <f aca="false">RANK(Daten!E15,Daten!E$2:E$33,0)</f>
        <v>13</v>
      </c>
      <c r="F15" s="13" t="n">
        <f aca="false">RANK(Daten!F15,Daten!F$2:F$33,0)</f>
        <v>13</v>
      </c>
      <c r="G15" s="13" t="n">
        <f aca="false">RANK(Daten!G15,Daten!G$2:G$33,1)</f>
        <v>22</v>
      </c>
      <c r="H15" s="13" t="n">
        <f aca="false">RANK(Daten!H15,Daten!H$2:H$33,0)</f>
        <v>21</v>
      </c>
      <c r="I15" s="13" t="n">
        <f aca="false">RANK(Daten!I15,Daten!I$2:I$33,0)</f>
        <v>11</v>
      </c>
      <c r="J15" s="13" t="n">
        <f aca="false">RANK(Daten!J15,Daten!J$2:J$33,0)</f>
        <v>12</v>
      </c>
      <c r="K15" s="13" t="n">
        <f aca="false">RANK(Daten!K15,Daten!K$2:K$33,0)</f>
        <v>26</v>
      </c>
      <c r="L15" s="13" t="n">
        <f aca="false">RANK(Daten!L15,Daten!L$2:L$33,0)</f>
        <v>30</v>
      </c>
      <c r="M15" s="13" t="n">
        <f aca="false">RANK(Daten!M15,Daten!M$2:M$33,0)</f>
        <v>21</v>
      </c>
      <c r="N15" s="13" t="n">
        <f aca="false">RANK(Daten!N15,Daten!N$2:N$33,0)</f>
        <v>8</v>
      </c>
      <c r="O15" s="13" t="n">
        <f aca="false">RANK(Daten!O15,Daten!O$2:O$33,1)</f>
        <v>10</v>
      </c>
      <c r="P15" s="13" t="n">
        <f aca="false">RANK(Daten!P15,Daten!P$2:P$33,1)</f>
        <v>30</v>
      </c>
      <c r="Q15" s="14" t="n">
        <f aca="false">COUNTIF(B15:P15,"&lt;=3")</f>
        <v>0</v>
      </c>
      <c r="R15" s="13" t="n">
        <f aca="false">COUNTIF(B15:P15,1)</f>
        <v>0</v>
      </c>
    </row>
    <row r="16" customFormat="false" ht="15" hidden="false" customHeight="false" outlineLevel="0" collapsed="false">
      <c r="A16" s="3" t="str">
        <f aca="false">Daten!A16</f>
        <v>Jacksonville Jaguars</v>
      </c>
      <c r="B16" s="13" t="n">
        <f aca="false">RANK(Daten!B16,Daten!B$2:B$33,1)</f>
        <v>25</v>
      </c>
      <c r="C16" s="13" t="n">
        <f aca="false">RANK(Daten!C16,Daten!C$2:C$33,0)</f>
        <v>16</v>
      </c>
      <c r="D16" s="13" t="n">
        <f aca="false">RANK(Daten!D16,Daten!D$2:D$33,0)</f>
        <v>30</v>
      </c>
      <c r="E16" s="13" t="n">
        <f aca="false">RANK(Daten!E16,Daten!E$2:E$33,0)</f>
        <v>31</v>
      </c>
      <c r="F16" s="13" t="n">
        <f aca="false">RANK(Daten!F16,Daten!F$2:F$33,0)</f>
        <v>30</v>
      </c>
      <c r="G16" s="13" t="n">
        <f aca="false">RANK(Daten!G16,Daten!G$2:G$33,1)</f>
        <v>6</v>
      </c>
      <c r="H16" s="13" t="n">
        <f aca="false">RANK(Daten!H16,Daten!H$2:H$33,0)</f>
        <v>16</v>
      </c>
      <c r="I16" s="13" t="n">
        <f aca="false">RANK(Daten!I16,Daten!I$2:I$33,0)</f>
        <v>28</v>
      </c>
      <c r="J16" s="13" t="n">
        <f aca="false">RANK(Daten!J16,Daten!J$2:J$33,0)</f>
        <v>8</v>
      </c>
      <c r="K16" s="13" t="n">
        <f aca="false">RANK(Daten!K16,Daten!K$2:K$33,0)</f>
        <v>29</v>
      </c>
      <c r="L16" s="13" t="n">
        <f aca="false">RANK(Daten!L16,Daten!L$2:L$33,0)</f>
        <v>32</v>
      </c>
      <c r="M16" s="13" t="n">
        <f aca="false">RANK(Daten!M16,Daten!M$2:M$33,0)</f>
        <v>31</v>
      </c>
      <c r="N16" s="13" t="n">
        <f aca="false">RANK(Daten!N16,Daten!N$2:N$33,0)</f>
        <v>6</v>
      </c>
      <c r="O16" s="13" t="n">
        <f aca="false">RANK(Daten!O16,Daten!O$2:O$33,1)</f>
        <v>26</v>
      </c>
      <c r="P16" s="13" t="n">
        <f aca="false">RANK(Daten!P16,Daten!P$2:P$33,1)</f>
        <v>31</v>
      </c>
      <c r="Q16" s="14" t="n">
        <f aca="false">COUNTIF(B16:P16,"&lt;=3")</f>
        <v>0</v>
      </c>
      <c r="R16" s="13" t="n">
        <f aca="false">COUNTIF(B16:P16,1)</f>
        <v>0</v>
      </c>
    </row>
    <row r="17" customFormat="false" ht="15" hidden="false" customHeight="false" outlineLevel="0" collapsed="false">
      <c r="A17" s="3" t="str">
        <f aca="false">Daten!A17</f>
        <v>Kansas City Chiefs</v>
      </c>
      <c r="B17" s="13" t="n">
        <f aca="false">RANK(Daten!B17,Daten!B$2:B$33,1)</f>
        <v>16</v>
      </c>
      <c r="C17" s="13" t="n">
        <f aca="false">RANK(Daten!C17,Daten!C$2:C$33,0)</f>
        <v>30</v>
      </c>
      <c r="D17" s="13" t="n">
        <f aca="false">RANK(Daten!D17,Daten!D$2:D$33,0)</f>
        <v>8</v>
      </c>
      <c r="E17" s="13" t="n">
        <f aca="false">RANK(Daten!E17,Daten!E$2:E$33,0)</f>
        <v>13</v>
      </c>
      <c r="F17" s="13" t="n">
        <f aca="false">RANK(Daten!F17,Daten!F$2:F$33,0)</f>
        <v>6</v>
      </c>
      <c r="G17" s="13" t="n">
        <f aca="false">RANK(Daten!G17,Daten!G$2:G$33,1)</f>
        <v>3</v>
      </c>
      <c r="H17" s="13" t="n">
        <f aca="false">RANK(Daten!H17,Daten!H$2:H$33,0)</f>
        <v>7</v>
      </c>
      <c r="I17" s="13" t="n">
        <f aca="false">RANK(Daten!I17,Daten!I$2:I$33,0)</f>
        <v>31</v>
      </c>
      <c r="J17" s="13" t="n">
        <f aca="false">RANK(Daten!J17,Daten!J$2:J$33,0)</f>
        <v>3</v>
      </c>
      <c r="K17" s="13" t="n">
        <f aca="false">RANK(Daten!K17,Daten!K$2:K$33,0)</f>
        <v>25</v>
      </c>
      <c r="L17" s="13" t="n">
        <f aca="false">RANK(Daten!L17,Daten!L$2:L$33,0)</f>
        <v>4</v>
      </c>
      <c r="M17" s="13" t="n">
        <f aca="false">RANK(Daten!M17,Daten!M$2:M$33,0)</f>
        <v>30</v>
      </c>
      <c r="N17" s="13" t="n">
        <f aca="false">RANK(Daten!N17,Daten!N$2:N$33,0)</f>
        <v>21</v>
      </c>
      <c r="O17" s="13" t="n">
        <f aca="false">RANK(Daten!O17,Daten!O$2:O$33,1)</f>
        <v>6</v>
      </c>
      <c r="P17" s="13" t="n">
        <f aca="false">RANK(Daten!P17,Daten!P$2:P$33,1)</f>
        <v>6</v>
      </c>
      <c r="Q17" s="14" t="n">
        <f aca="false">COUNTIF(B17:P17,"&lt;=3")</f>
        <v>2</v>
      </c>
      <c r="R17" s="13" t="n">
        <f aca="false">COUNTIF(B17:P17,1)</f>
        <v>0</v>
      </c>
    </row>
    <row r="18" customFormat="false" ht="15" hidden="false" customHeight="false" outlineLevel="0" collapsed="false">
      <c r="A18" s="3" t="str">
        <f aca="false">Daten!A18</f>
        <v>Las Vegas Raiders</v>
      </c>
      <c r="B18" s="13" t="n">
        <f aca="false">RANK(Daten!B18,Daten!B$2:B$33,1)</f>
        <v>32</v>
      </c>
      <c r="C18" s="13" t="n">
        <f aca="false">RANK(Daten!C18,Daten!C$2:C$33,0)</f>
        <v>12</v>
      </c>
      <c r="D18" s="13" t="n">
        <f aca="false">RANK(Daten!D18,Daten!D$2:D$33,0)</f>
        <v>9</v>
      </c>
      <c r="E18" s="13" t="n">
        <f aca="false">RANK(Daten!E18,Daten!E$2:E$33,0)</f>
        <v>6</v>
      </c>
      <c r="F18" s="13" t="n">
        <f aca="false">RANK(Daten!F18,Daten!F$2:F$33,0)</f>
        <v>16</v>
      </c>
      <c r="G18" s="13" t="n">
        <f aca="false">RANK(Daten!G18,Daten!G$2:G$33,1)</f>
        <v>29</v>
      </c>
      <c r="H18" s="13" t="n">
        <f aca="false">RANK(Daten!H18,Daten!H$2:H$33,0)</f>
        <v>24</v>
      </c>
      <c r="I18" s="13" t="n">
        <f aca="false">RANK(Daten!I18,Daten!I$2:I$33,0)</f>
        <v>4</v>
      </c>
      <c r="J18" s="13" t="n">
        <f aca="false">RANK(Daten!J18,Daten!J$2:J$33,0)</f>
        <v>10</v>
      </c>
      <c r="K18" s="13" t="n">
        <f aca="false">RANK(Daten!K18,Daten!K$2:K$33,0)</f>
        <v>23</v>
      </c>
      <c r="L18" s="13" t="n">
        <f aca="false">RANK(Daten!L18,Daten!L$2:L$33,0)</f>
        <v>13</v>
      </c>
      <c r="M18" s="13" t="n">
        <f aca="false">RANK(Daten!M18,Daten!M$2:M$33,0)</f>
        <v>6</v>
      </c>
      <c r="N18" s="13" t="n">
        <f aca="false">RANK(Daten!N18,Daten!N$2:N$33,0)</f>
        <v>32</v>
      </c>
      <c r="O18" s="13" t="n">
        <f aca="false">RANK(Daten!O18,Daten!O$2:O$33,1)</f>
        <v>10</v>
      </c>
      <c r="P18" s="13" t="n">
        <f aca="false">RANK(Daten!P18,Daten!P$2:P$33,1)</f>
        <v>1</v>
      </c>
      <c r="Q18" s="14" t="n">
        <f aca="false">COUNTIF(B18:P18,"&lt;=3")</f>
        <v>1</v>
      </c>
      <c r="R18" s="13" t="n">
        <f aca="false">COUNTIF(B18:P18,1)</f>
        <v>1</v>
      </c>
    </row>
    <row r="19" customFormat="false" ht="15" hidden="false" customHeight="false" outlineLevel="0" collapsed="false">
      <c r="A19" s="3" t="str">
        <f aca="false">Daten!A19</f>
        <v>Los Angeles Chargers</v>
      </c>
      <c r="B19" s="13" t="n">
        <f aca="false">RANK(Daten!B19,Daten!B$2:B$33,1)</f>
        <v>31</v>
      </c>
      <c r="C19" s="13" t="n">
        <f aca="false">RANK(Daten!C19,Daten!C$2:C$33,0)</f>
        <v>5</v>
      </c>
      <c r="D19" s="13" t="n">
        <f aca="false">RANK(Daten!D19,Daten!D$2:D$33,0)</f>
        <v>22</v>
      </c>
      <c r="E19" s="13" t="n">
        <f aca="false">RANK(Daten!E19,Daten!E$2:E$33,0)</f>
        <v>17</v>
      </c>
      <c r="F19" s="13" t="n">
        <f aca="false">RANK(Daten!F19,Daten!F$2:F$33,0)</f>
        <v>18</v>
      </c>
      <c r="G19" s="13" t="n">
        <f aca="false">RANK(Daten!G19,Daten!G$2:G$33,1)</f>
        <v>29</v>
      </c>
      <c r="H19" s="13" t="n">
        <f aca="false">RANK(Daten!H19,Daten!H$2:H$33,0)</f>
        <v>12</v>
      </c>
      <c r="I19" s="13" t="n">
        <f aca="false">RANK(Daten!I19,Daten!I$2:I$33,0)</f>
        <v>1</v>
      </c>
      <c r="J19" s="13" t="n">
        <f aca="false">RANK(Daten!J19,Daten!J$2:J$33,0)</f>
        <v>5</v>
      </c>
      <c r="K19" s="13" t="n">
        <f aca="false">RANK(Daten!K19,Daten!K$2:K$33,0)</f>
        <v>3</v>
      </c>
      <c r="L19" s="13" t="n">
        <f aca="false">RANK(Daten!L19,Daten!L$2:L$33,0)</f>
        <v>27</v>
      </c>
      <c r="M19" s="13" t="n">
        <f aca="false">RANK(Daten!M19,Daten!M$2:M$33,0)</f>
        <v>28</v>
      </c>
      <c r="N19" s="13" t="n">
        <f aca="false">RANK(Daten!N19,Daten!N$2:N$33,0)</f>
        <v>20</v>
      </c>
      <c r="O19" s="13" t="n">
        <f aca="false">RANK(Daten!O19,Daten!O$2:O$33,1)</f>
        <v>13</v>
      </c>
      <c r="P19" s="13" t="n">
        <f aca="false">RANK(Daten!P19,Daten!P$2:P$33,1)</f>
        <v>20</v>
      </c>
      <c r="Q19" s="14" t="n">
        <f aca="false">COUNTIF(B19:P19,"&lt;=3")</f>
        <v>2</v>
      </c>
      <c r="R19" s="13" t="n">
        <f aca="false">COUNTIF(B19:P19,1)</f>
        <v>1</v>
      </c>
    </row>
    <row r="20" customFormat="false" ht="15" hidden="false" customHeight="false" outlineLevel="0" collapsed="false">
      <c r="A20" s="3" t="str">
        <f aca="false">Daten!A20</f>
        <v>Los Angeles Rams</v>
      </c>
      <c r="B20" s="13" t="n">
        <f aca="false">RANK(Daten!B20,Daten!B$2:B$33,1)</f>
        <v>30</v>
      </c>
      <c r="C20" s="13" t="n">
        <f aca="false">RANK(Daten!C20,Daten!C$2:C$33,0)</f>
        <v>29</v>
      </c>
      <c r="D20" s="13" t="n">
        <f aca="false">RANK(Daten!D20,Daten!D$2:D$33,0)</f>
        <v>6</v>
      </c>
      <c r="E20" s="13" t="n">
        <f aca="false">RANK(Daten!E20,Daten!E$2:E$33,0)</f>
        <v>8</v>
      </c>
      <c r="F20" s="13" t="n">
        <f aca="false">RANK(Daten!F20,Daten!F$2:F$33,0)</f>
        <v>15</v>
      </c>
      <c r="G20" s="13" t="n">
        <f aca="false">RANK(Daten!G20,Daten!G$2:G$33,1)</f>
        <v>29</v>
      </c>
      <c r="H20" s="13" t="n">
        <f aca="false">RANK(Daten!H20,Daten!H$2:H$33,0)</f>
        <v>12</v>
      </c>
      <c r="I20" s="13" t="n">
        <f aca="false">RANK(Daten!I20,Daten!I$2:I$33,0)</f>
        <v>1</v>
      </c>
      <c r="J20" s="13" t="n">
        <f aca="false">RANK(Daten!J20,Daten!J$2:J$33,0)</f>
        <v>15</v>
      </c>
      <c r="K20" s="13" t="n">
        <f aca="false">RANK(Daten!K20,Daten!K$2:K$33,0)</f>
        <v>3</v>
      </c>
      <c r="L20" s="13" t="n">
        <f aca="false">RANK(Daten!L20,Daten!L$2:L$33,0)</f>
        <v>23</v>
      </c>
      <c r="M20" s="13" t="n">
        <f aca="false">RANK(Daten!M20,Daten!M$2:M$33,0)</f>
        <v>2</v>
      </c>
      <c r="N20" s="13" t="n">
        <f aca="false">RANK(Daten!N20,Daten!N$2:N$33,0)</f>
        <v>1</v>
      </c>
      <c r="O20" s="13" t="n">
        <f aca="false">RANK(Daten!O20,Daten!O$2:O$33,1)</f>
        <v>25</v>
      </c>
      <c r="P20" s="13" t="n">
        <f aca="false">RANK(Daten!P20,Daten!P$2:P$33,1)</f>
        <v>12</v>
      </c>
      <c r="Q20" s="14" t="n">
        <f aca="false">COUNTIF(B20:P20,"&lt;=3")</f>
        <v>4</v>
      </c>
      <c r="R20" s="13" t="n">
        <f aca="false">COUNTIF(B20:P20,1)</f>
        <v>2</v>
      </c>
    </row>
    <row r="21" customFormat="false" ht="15" hidden="false" customHeight="false" outlineLevel="0" collapsed="false">
      <c r="A21" s="3" t="str">
        <f aca="false">Daten!A21</f>
        <v>Miami Dolphins</v>
      </c>
      <c r="B21" s="13" t="n">
        <f aca="false">RANK(Daten!B21,Daten!B$2:B$33,1)</f>
        <v>17</v>
      </c>
      <c r="C21" s="13" t="n">
        <f aca="false">RANK(Daten!C21,Daten!C$2:C$33,0)</f>
        <v>11</v>
      </c>
      <c r="D21" s="13" t="n">
        <f aca="false">RANK(Daten!D21,Daten!D$2:D$33,0)</f>
        <v>16</v>
      </c>
      <c r="E21" s="13" t="n">
        <f aca="false">RANK(Daten!E21,Daten!E$2:E$33,0)</f>
        <v>18</v>
      </c>
      <c r="F21" s="13" t="n">
        <f aca="false">RANK(Daten!F21,Daten!F$2:F$33,0)</f>
        <v>6</v>
      </c>
      <c r="G21" s="13" t="n">
        <f aca="false">RANK(Daten!G21,Daten!G$2:G$33,1)</f>
        <v>5</v>
      </c>
      <c r="H21" s="13" t="n">
        <f aca="false">RANK(Daten!H21,Daten!H$2:H$33,0)</f>
        <v>27</v>
      </c>
      <c r="I21" s="13" t="n">
        <f aca="false">RANK(Daten!I21,Daten!I$2:I$33,0)</f>
        <v>30</v>
      </c>
      <c r="J21" s="13" t="n">
        <f aca="false">RANK(Daten!J21,Daten!J$2:J$33,0)</f>
        <v>2</v>
      </c>
      <c r="K21" s="13" t="n">
        <f aca="false">RANK(Daten!K21,Daten!K$2:K$33,0)</f>
        <v>10</v>
      </c>
      <c r="L21" s="13" t="n">
        <f aca="false">RANK(Daten!L21,Daten!L$2:L$33,0)</f>
        <v>24</v>
      </c>
      <c r="M21" s="13" t="n">
        <f aca="false">RANK(Daten!M21,Daten!M$2:M$33,0)</f>
        <v>5</v>
      </c>
      <c r="N21" s="13" t="n">
        <f aca="false">RANK(Daten!N21,Daten!N$2:N$33,0)</f>
        <v>25</v>
      </c>
      <c r="O21" s="13" t="n">
        <f aca="false">RANK(Daten!O21,Daten!O$2:O$33,1)</f>
        <v>24</v>
      </c>
      <c r="P21" s="13" t="n">
        <f aca="false">RANK(Daten!P21,Daten!P$2:P$33,1)</f>
        <v>11</v>
      </c>
      <c r="Q21" s="14" t="n">
        <f aca="false">COUNTIF(B21:P21,"&lt;=3")</f>
        <v>1</v>
      </c>
      <c r="R21" s="13" t="n">
        <f aca="false">COUNTIF(B21:P21,1)</f>
        <v>0</v>
      </c>
    </row>
    <row r="22" customFormat="false" ht="15" hidden="false" customHeight="false" outlineLevel="0" collapsed="false">
      <c r="A22" s="3" t="str">
        <f aca="false">Daten!A22</f>
        <v>Minnesota Vikings</v>
      </c>
      <c r="B22" s="13" t="n">
        <f aca="false">RANK(Daten!B22,Daten!B$2:B$33,1)</f>
        <v>15</v>
      </c>
      <c r="C22" s="13" t="n">
        <f aca="false">RANK(Daten!C22,Daten!C$2:C$33,0)</f>
        <v>3</v>
      </c>
      <c r="D22" s="13" t="n">
        <f aca="false">RANK(Daten!D22,Daten!D$2:D$33,0)</f>
        <v>15</v>
      </c>
      <c r="E22" s="13" t="n">
        <f aca="false">RANK(Daten!E22,Daten!E$2:E$33,0)</f>
        <v>12</v>
      </c>
      <c r="F22" s="13" t="n">
        <f aca="false">RANK(Daten!F22,Daten!F$2:F$33,0)</f>
        <v>6</v>
      </c>
      <c r="G22" s="13" t="n">
        <f aca="false">RANK(Daten!G22,Daten!G$2:G$33,1)</f>
        <v>27</v>
      </c>
      <c r="H22" s="13" t="n">
        <f aca="false">RANK(Daten!H22,Daten!H$2:H$33,0)</f>
        <v>23</v>
      </c>
      <c r="I22" s="13" t="n">
        <f aca="false">RANK(Daten!I22,Daten!I$2:I$33,0)</f>
        <v>10</v>
      </c>
      <c r="J22" s="13" t="n">
        <f aca="false">RANK(Daten!J22,Daten!J$2:J$33,0)</f>
        <v>24</v>
      </c>
      <c r="K22" s="13" t="n">
        <f aca="false">RANK(Daten!K22,Daten!K$2:K$33,0)</f>
        <v>17</v>
      </c>
      <c r="L22" s="13" t="n">
        <f aca="false">RANK(Daten!L22,Daten!L$2:L$33,0)</f>
        <v>21</v>
      </c>
      <c r="M22" s="13" t="n">
        <f aca="false">RANK(Daten!M22,Daten!M$2:M$33,0)</f>
        <v>32</v>
      </c>
      <c r="N22" s="13" t="n">
        <f aca="false">RANK(Daten!N22,Daten!N$2:N$33,0)</f>
        <v>26</v>
      </c>
      <c r="O22" s="13" t="n">
        <f aca="false">RANK(Daten!O22,Daten!O$2:O$33,1)</f>
        <v>23</v>
      </c>
      <c r="P22" s="13" t="n">
        <f aca="false">RANK(Daten!P22,Daten!P$2:P$33,1)</f>
        <v>16</v>
      </c>
      <c r="Q22" s="14" t="n">
        <f aca="false">COUNTIF(B22:P22,"&lt;=3")</f>
        <v>1</v>
      </c>
      <c r="R22" s="13" t="n">
        <f aca="false">COUNTIF(B22:P22,1)</f>
        <v>0</v>
      </c>
    </row>
    <row r="23" customFormat="false" ht="15" hidden="false" customHeight="false" outlineLevel="0" collapsed="false">
      <c r="A23" s="3" t="str">
        <f aca="false">Daten!A23</f>
        <v>New England Patriots</v>
      </c>
      <c r="B23" s="13" t="n">
        <f aca="false">RANK(Daten!B23,Daten!B$2:B$33,1)</f>
        <v>10</v>
      </c>
      <c r="C23" s="13" t="n">
        <f aca="false">RANK(Daten!C23,Daten!C$2:C$33,0)</f>
        <v>27</v>
      </c>
      <c r="D23" s="13" t="n">
        <f aca="false">RANK(Daten!D23,Daten!D$2:D$33,0)</f>
        <v>1</v>
      </c>
      <c r="E23" s="13" t="n">
        <f aca="false">RANK(Daten!E23,Daten!E$2:E$33,0)</f>
        <v>23</v>
      </c>
      <c r="F23" s="13" t="n">
        <f aca="false">RANK(Daten!F23,Daten!F$2:F$33,0)</f>
        <v>4</v>
      </c>
      <c r="G23" s="13" t="n">
        <f aca="false">RANK(Daten!G23,Daten!G$2:G$33,1)</f>
        <v>16</v>
      </c>
      <c r="H23" s="13" t="n">
        <f aca="false">RANK(Daten!H23,Daten!H$2:H$33,0)</f>
        <v>22</v>
      </c>
      <c r="I23" s="13" t="n">
        <f aca="false">RANK(Daten!I23,Daten!I$2:I$33,0)</f>
        <v>20</v>
      </c>
      <c r="J23" s="13" t="n">
        <f aca="false">RANK(Daten!J23,Daten!J$2:J$33,0)</f>
        <v>13</v>
      </c>
      <c r="K23" s="13" t="n">
        <f aca="false">RANK(Daten!K23,Daten!K$2:K$33,0)</f>
        <v>13</v>
      </c>
      <c r="L23" s="13" t="n">
        <f aca="false">RANK(Daten!L23,Daten!L$2:L$33,0)</f>
        <v>1</v>
      </c>
      <c r="M23" s="13" t="n">
        <f aca="false">RANK(Daten!M23,Daten!M$2:M$33,0)</f>
        <v>7</v>
      </c>
      <c r="N23" s="13" t="n">
        <f aca="false">RANK(Daten!N23,Daten!N$2:N$33,0)</f>
        <v>2</v>
      </c>
      <c r="O23" s="13" t="n">
        <f aca="false">RANK(Daten!O23,Daten!O$2:O$33,1)</f>
        <v>16</v>
      </c>
      <c r="P23" s="13" t="n">
        <f aca="false">RANK(Daten!P23,Daten!P$2:P$33,1)</f>
        <v>23</v>
      </c>
      <c r="Q23" s="14" t="n">
        <f aca="false">COUNTIF(B23:P23,"&lt;=3")</f>
        <v>3</v>
      </c>
      <c r="R23" s="13" t="n">
        <f aca="false">COUNTIF(B23:P23,1)</f>
        <v>2</v>
      </c>
    </row>
    <row r="24" customFormat="false" ht="15" hidden="false" customHeight="false" outlineLevel="0" collapsed="false">
      <c r="A24" s="3" t="str">
        <f aca="false">Daten!A24</f>
        <v>New Orleans Saints</v>
      </c>
      <c r="B24" s="13" t="n">
        <f aca="false">RANK(Daten!B24,Daten!B$2:B$33,1)</f>
        <v>19</v>
      </c>
      <c r="C24" s="13" t="n">
        <f aca="false">RANK(Daten!C24,Daten!C$2:C$33,0)</f>
        <v>22</v>
      </c>
      <c r="D24" s="13" t="n">
        <f aca="false">RANK(Daten!D24,Daten!D$2:D$33,0)</f>
        <v>25</v>
      </c>
      <c r="E24" s="13" t="n">
        <f aca="false">RANK(Daten!E24,Daten!E$2:E$33,0)</f>
        <v>24</v>
      </c>
      <c r="F24" s="13" t="n">
        <f aca="false">RANK(Daten!F24,Daten!F$2:F$33,0)</f>
        <v>23</v>
      </c>
      <c r="G24" s="13" t="n">
        <f aca="false">RANK(Daten!G24,Daten!G$2:G$33,1)</f>
        <v>4</v>
      </c>
      <c r="H24" s="13" t="n">
        <f aca="false">RANK(Daten!H24,Daten!H$2:H$33,0)</f>
        <v>8</v>
      </c>
      <c r="I24" s="13" t="n">
        <f aca="false">RANK(Daten!I24,Daten!I$2:I$33,0)</f>
        <v>28</v>
      </c>
      <c r="J24" s="13" t="n">
        <f aca="false">RANK(Daten!J24,Daten!J$2:J$33,0)</f>
        <v>17</v>
      </c>
      <c r="K24" s="13" t="n">
        <f aca="false">RANK(Daten!K24,Daten!K$2:K$33,0)</f>
        <v>31</v>
      </c>
      <c r="L24" s="13" t="n">
        <f aca="false">RANK(Daten!L24,Daten!L$2:L$33,0)</f>
        <v>18</v>
      </c>
      <c r="M24" s="13" t="n">
        <f aca="false">RANK(Daten!M24,Daten!M$2:M$33,0)</f>
        <v>9</v>
      </c>
      <c r="N24" s="13" t="n">
        <f aca="false">RANK(Daten!N24,Daten!N$2:N$33,0)</f>
        <v>28</v>
      </c>
      <c r="O24" s="13" t="n">
        <f aca="false">RANK(Daten!O24,Daten!O$2:O$33,1)</f>
        <v>14</v>
      </c>
      <c r="P24" s="13" t="n">
        <f aca="false">RANK(Daten!P24,Daten!P$2:P$33,1)</f>
        <v>8</v>
      </c>
      <c r="Q24" s="14" t="n">
        <f aca="false">COUNTIF(B24:P24,"&lt;=3")</f>
        <v>0</v>
      </c>
      <c r="R24" s="13" t="n">
        <f aca="false">COUNTIF(B24:P24,1)</f>
        <v>0</v>
      </c>
    </row>
    <row r="25" customFormat="false" ht="15" hidden="false" customHeight="false" outlineLevel="0" collapsed="false">
      <c r="A25" s="3" t="str">
        <f aca="false">Daten!A25</f>
        <v>New York Giants</v>
      </c>
      <c r="B25" s="13" t="n">
        <f aca="false">RANK(Daten!B25,Daten!B$2:B$33,1)</f>
        <v>3</v>
      </c>
      <c r="C25" s="13" t="n">
        <f aca="false">RANK(Daten!C25,Daten!C$2:C$33,0)</f>
        <v>24</v>
      </c>
      <c r="D25" s="13" t="n">
        <f aca="false">RANK(Daten!D25,Daten!D$2:D$33,0)</f>
        <v>9</v>
      </c>
      <c r="E25" s="13" t="n">
        <f aca="false">RANK(Daten!E25,Daten!E$2:E$33,0)</f>
        <v>4</v>
      </c>
      <c r="F25" s="13" t="n">
        <f aca="false">RANK(Daten!F25,Daten!F$2:F$33,0)</f>
        <v>14</v>
      </c>
      <c r="G25" s="13" t="n">
        <f aca="false">RANK(Daten!G25,Daten!G$2:G$33,1)</f>
        <v>24</v>
      </c>
      <c r="H25" s="13" t="n">
        <f aca="false">RANK(Daten!H25,Daten!H$2:H$33,0)</f>
        <v>1</v>
      </c>
      <c r="I25" s="13" t="n">
        <f aca="false">RANK(Daten!I25,Daten!I$2:I$33,0)</f>
        <v>5</v>
      </c>
      <c r="J25" s="13" t="n">
        <f aca="false">RANK(Daten!J25,Daten!J$2:J$33,0)</f>
        <v>14</v>
      </c>
      <c r="K25" s="13" t="n">
        <f aca="false">RANK(Daten!K25,Daten!K$2:K$33,0)</f>
        <v>1</v>
      </c>
      <c r="L25" s="13" t="n">
        <f aca="false">RANK(Daten!L25,Daten!L$2:L$33,0)</f>
        <v>10</v>
      </c>
      <c r="M25" s="13" t="n">
        <f aca="false">RANK(Daten!M25,Daten!M$2:M$33,0)</f>
        <v>8</v>
      </c>
      <c r="N25" s="13" t="n">
        <f aca="false">RANK(Daten!N25,Daten!N$2:N$33,0)</f>
        <v>17</v>
      </c>
      <c r="O25" s="13" t="n">
        <f aca="false">RANK(Daten!O25,Daten!O$2:O$33,1)</f>
        <v>3</v>
      </c>
      <c r="P25" s="13" t="n">
        <f aca="false">RANK(Daten!P25,Daten!P$2:P$33,1)</f>
        <v>5</v>
      </c>
      <c r="Q25" s="14" t="n">
        <f aca="false">COUNTIF(B25:P25,"&lt;=3")</f>
        <v>4</v>
      </c>
      <c r="R25" s="13" t="n">
        <f aca="false">COUNTIF(B25:P25,1)</f>
        <v>2</v>
      </c>
    </row>
    <row r="26" customFormat="false" ht="15" hidden="false" customHeight="false" outlineLevel="0" collapsed="false">
      <c r="A26" s="3" t="str">
        <f aca="false">Daten!A26</f>
        <v>New York Jets</v>
      </c>
      <c r="B26" s="13" t="n">
        <f aca="false">RANK(Daten!B26,Daten!B$2:B$33,1)</f>
        <v>10</v>
      </c>
      <c r="C26" s="13" t="n">
        <f aca="false">RANK(Daten!C26,Daten!C$2:C$33,0)</f>
        <v>9</v>
      </c>
      <c r="D26" s="13" t="n">
        <f aca="false">RANK(Daten!D26,Daten!D$2:D$33,0)</f>
        <v>22</v>
      </c>
      <c r="E26" s="13" t="n">
        <f aca="false">RANK(Daten!E26,Daten!E$2:E$33,0)</f>
        <v>21</v>
      </c>
      <c r="F26" s="13" t="n">
        <f aca="false">RANK(Daten!F26,Daten!F$2:F$33,0)</f>
        <v>29</v>
      </c>
      <c r="G26" s="13" t="n">
        <f aca="false">RANK(Daten!G26,Daten!G$2:G$33,1)</f>
        <v>24</v>
      </c>
      <c r="H26" s="13" t="n">
        <f aca="false">RANK(Daten!H26,Daten!H$2:H$33,0)</f>
        <v>1</v>
      </c>
      <c r="I26" s="13" t="n">
        <f aca="false">RANK(Daten!I26,Daten!I$2:I$33,0)</f>
        <v>5</v>
      </c>
      <c r="J26" s="13" t="n">
        <f aca="false">RANK(Daten!J26,Daten!J$2:J$33,0)</f>
        <v>18</v>
      </c>
      <c r="K26" s="13" t="n">
        <f aca="false">RANK(Daten!K26,Daten!K$2:K$33,0)</f>
        <v>1</v>
      </c>
      <c r="L26" s="13" t="n">
        <f aca="false">RANK(Daten!L26,Daten!L$2:L$33,0)</f>
        <v>28</v>
      </c>
      <c r="M26" s="13" t="n">
        <f aca="false">RANK(Daten!M26,Daten!M$2:M$33,0)</f>
        <v>4</v>
      </c>
      <c r="N26" s="13" t="n">
        <f aca="false">RANK(Daten!N26,Daten!N$2:N$33,0)</f>
        <v>29</v>
      </c>
      <c r="O26" s="13" t="n">
        <f aca="false">RANK(Daten!O26,Daten!O$2:O$33,1)</f>
        <v>20</v>
      </c>
      <c r="P26" s="13" t="n">
        <f aca="false">RANK(Daten!P26,Daten!P$2:P$33,1)</f>
        <v>2</v>
      </c>
      <c r="Q26" s="14" t="n">
        <f aca="false">COUNTIF(B26:P26,"&lt;=3")</f>
        <v>3</v>
      </c>
      <c r="R26" s="13" t="n">
        <f aca="false">COUNTIF(B26:P26,1)</f>
        <v>2</v>
      </c>
    </row>
    <row r="27" customFormat="false" ht="15" hidden="false" customHeight="false" outlineLevel="0" collapsed="false">
      <c r="A27" s="3" t="str">
        <f aca="false">Daten!A27</f>
        <v>Philadelphia Eagles</v>
      </c>
      <c r="B27" s="13" t="n">
        <f aca="false">RANK(Daten!B27,Daten!B$2:B$33,1)</f>
        <v>4</v>
      </c>
      <c r="C27" s="13" t="n">
        <f aca="false">RANK(Daten!C27,Daten!C$2:C$33,0)</f>
        <v>31</v>
      </c>
      <c r="D27" s="13" t="n">
        <f aca="false">RANK(Daten!D27,Daten!D$2:D$33,0)</f>
        <v>6</v>
      </c>
      <c r="E27" s="13" t="n">
        <f aca="false">RANK(Daten!E27,Daten!E$2:E$33,0)</f>
        <v>16</v>
      </c>
      <c r="F27" s="13" t="n">
        <f aca="false">RANK(Daten!F27,Daten!F$2:F$33,0)</f>
        <v>18</v>
      </c>
      <c r="G27" s="13" t="n">
        <f aca="false">RANK(Daten!G27,Daten!G$2:G$33,1)</f>
        <v>20</v>
      </c>
      <c r="H27" s="13" t="n">
        <f aca="false">RANK(Daten!H27,Daten!H$2:H$33,0)</f>
        <v>14</v>
      </c>
      <c r="I27" s="13" t="n">
        <f aca="false">RANK(Daten!I27,Daten!I$2:I$33,0)</f>
        <v>13</v>
      </c>
      <c r="J27" s="13" t="n">
        <f aca="false">RANK(Daten!J27,Daten!J$2:J$33,0)</f>
        <v>20</v>
      </c>
      <c r="K27" s="13" t="n">
        <f aca="false">RANK(Daten!K27,Daten!K$2:K$33,0)</f>
        <v>11</v>
      </c>
      <c r="L27" s="13" t="n">
        <f aca="false">RANK(Daten!L27,Daten!L$2:L$33,0)</f>
        <v>3</v>
      </c>
      <c r="M27" s="13" t="n">
        <f aca="false">RANK(Daten!M27,Daten!M$2:M$33,0)</f>
        <v>11</v>
      </c>
      <c r="N27" s="13" t="n">
        <f aca="false">RANK(Daten!N27,Daten!N$2:N$33,0)</f>
        <v>19</v>
      </c>
      <c r="O27" s="13" t="n">
        <f aca="false">RANK(Daten!O27,Daten!O$2:O$33,1)</f>
        <v>16</v>
      </c>
      <c r="P27" s="13" t="n">
        <f aca="false">RANK(Daten!P27,Daten!P$2:P$33,1)</f>
        <v>18</v>
      </c>
      <c r="Q27" s="14" t="n">
        <f aca="false">COUNTIF(B27:P27,"&lt;=3")</f>
        <v>1</v>
      </c>
      <c r="R27" s="13" t="n">
        <f aca="false">COUNTIF(B27:P27,1)</f>
        <v>0</v>
      </c>
    </row>
    <row r="28" customFormat="false" ht="15" hidden="false" customHeight="false" outlineLevel="0" collapsed="false">
      <c r="A28" s="3" t="str">
        <f aca="false">Daten!A28</f>
        <v>Pittsburgh Steelers</v>
      </c>
      <c r="B28" s="13" t="n">
        <f aca="false">RANK(Daten!B28,Daten!B$2:B$33,1)</f>
        <v>4</v>
      </c>
      <c r="C28" s="13" t="n">
        <f aca="false">RANK(Daten!C28,Daten!C$2:C$33,0)</f>
        <v>21</v>
      </c>
      <c r="D28" s="13" t="n">
        <f aca="false">RANK(Daten!D28,Daten!D$2:D$33,0)</f>
        <v>4</v>
      </c>
      <c r="E28" s="13" t="n">
        <f aca="false">RANK(Daten!E28,Daten!E$2:E$33,0)</f>
        <v>3</v>
      </c>
      <c r="F28" s="13" t="n">
        <f aca="false">RANK(Daten!F28,Daten!F$2:F$33,0)</f>
        <v>10</v>
      </c>
      <c r="G28" s="13" t="n">
        <f aca="false">RANK(Daten!G28,Daten!G$2:G$33,1)</f>
        <v>14</v>
      </c>
      <c r="H28" s="13" t="n">
        <f aca="false">RANK(Daten!H28,Daten!H$2:H$33,0)</f>
        <v>18</v>
      </c>
      <c r="I28" s="13" t="n">
        <f aca="false">RANK(Daten!I28,Daten!I$2:I$33,0)</f>
        <v>23</v>
      </c>
      <c r="J28" s="13" t="n">
        <f aca="false">RANK(Daten!J28,Daten!J$2:J$33,0)</f>
        <v>32</v>
      </c>
      <c r="K28" s="13" t="n">
        <f aca="false">RANK(Daten!K28,Daten!K$2:K$33,0)</f>
        <v>22</v>
      </c>
      <c r="L28" s="13" t="n">
        <f aca="false">RANK(Daten!L28,Daten!L$2:L$33,0)</f>
        <v>5</v>
      </c>
      <c r="M28" s="13" t="n">
        <f aca="false">RANK(Daten!M28,Daten!M$2:M$33,0)</f>
        <v>23</v>
      </c>
      <c r="N28" s="13" t="n">
        <f aca="false">RANK(Daten!N28,Daten!N$2:N$33,0)</f>
        <v>15</v>
      </c>
      <c r="O28" s="13" t="n">
        <f aca="false">RANK(Daten!O28,Daten!O$2:O$33,1)</f>
        <v>4</v>
      </c>
      <c r="P28" s="13" t="n">
        <f aca="false">RANK(Daten!P28,Daten!P$2:P$33,1)</f>
        <v>19</v>
      </c>
      <c r="Q28" s="14" t="n">
        <f aca="false">COUNTIF(B28:P28,"&lt;=3")</f>
        <v>1</v>
      </c>
      <c r="R28" s="13" t="n">
        <f aca="false">COUNTIF(B28:P28,1)</f>
        <v>0</v>
      </c>
    </row>
    <row r="29" customFormat="false" ht="15" hidden="false" customHeight="false" outlineLevel="0" collapsed="false">
      <c r="A29" s="3" t="str">
        <f aca="false">Daten!A29</f>
        <v>San Francisco 49ers</v>
      </c>
      <c r="B29" s="13" t="n">
        <f aca="false">RANK(Daten!B29,Daten!B$2:B$33,1)</f>
        <v>8</v>
      </c>
      <c r="C29" s="13" t="n">
        <f aca="false">RANK(Daten!C29,Daten!C$2:C$33,0)</f>
        <v>15</v>
      </c>
      <c r="D29" s="13" t="n">
        <f aca="false">RANK(Daten!D29,Daten!D$2:D$33,0)</f>
        <v>2</v>
      </c>
      <c r="E29" s="13" t="n">
        <f aca="false">RANK(Daten!E29,Daten!E$2:E$33,0)</f>
        <v>8</v>
      </c>
      <c r="F29" s="13" t="n">
        <f aca="false">RANK(Daten!F29,Daten!F$2:F$33,0)</f>
        <v>9</v>
      </c>
      <c r="G29" s="13" t="n">
        <f aca="false">RANK(Daten!G29,Daten!G$2:G$33,1)</f>
        <v>26</v>
      </c>
      <c r="H29" s="13" t="n">
        <f aca="false">RANK(Daten!H29,Daten!H$2:H$33,0)</f>
        <v>19</v>
      </c>
      <c r="I29" s="13" t="n">
        <f aca="false">RANK(Daten!I29,Daten!I$2:I$33,0)</f>
        <v>8</v>
      </c>
      <c r="J29" s="13" t="n">
        <f aca="false">RANK(Daten!J29,Daten!J$2:J$33,0)</f>
        <v>16</v>
      </c>
      <c r="K29" s="13" t="n">
        <f aca="false">RANK(Daten!K29,Daten!K$2:K$33,0)</f>
        <v>14</v>
      </c>
      <c r="L29" s="13" t="n">
        <f aca="false">RANK(Daten!L29,Daten!L$2:L$33,0)</f>
        <v>6</v>
      </c>
      <c r="M29" s="13" t="n">
        <f aca="false">RANK(Daten!M29,Daten!M$2:M$33,0)</f>
        <v>13</v>
      </c>
      <c r="N29" s="13" t="n">
        <f aca="false">RANK(Daten!N29,Daten!N$2:N$33,0)</f>
        <v>10</v>
      </c>
      <c r="O29" s="13" t="n">
        <f aca="false">RANK(Daten!O29,Daten!O$2:O$33,1)</f>
        <v>12</v>
      </c>
      <c r="P29" s="13" t="n">
        <f aca="false">RANK(Daten!P29,Daten!P$2:P$33,1)</f>
        <v>25</v>
      </c>
      <c r="Q29" s="14" t="n">
        <f aca="false">COUNTIF(B29:P29,"&lt;=3")</f>
        <v>1</v>
      </c>
      <c r="R29" s="13" t="n">
        <f aca="false">COUNTIF(B29:P29,1)</f>
        <v>0</v>
      </c>
    </row>
    <row r="30" customFormat="false" ht="15" hidden="false" customHeight="false" outlineLevel="0" collapsed="false">
      <c r="A30" s="3" t="str">
        <f aca="false">Daten!A30</f>
        <v>Seattle Seahawks</v>
      </c>
      <c r="B30" s="13" t="n">
        <f aca="false">RANK(Daten!B30,Daten!B$2:B$33,1)</f>
        <v>21</v>
      </c>
      <c r="C30" s="13" t="n">
        <f aca="false">RANK(Daten!C30,Daten!C$2:C$33,0)</f>
        <v>32</v>
      </c>
      <c r="D30" s="13" t="n">
        <f aca="false">RANK(Daten!D30,Daten!D$2:D$33,0)</f>
        <v>16</v>
      </c>
      <c r="E30" s="13" t="n">
        <f aca="false">RANK(Daten!E30,Daten!E$2:E$33,0)</f>
        <v>24</v>
      </c>
      <c r="F30" s="13" t="n">
        <f aca="false">RANK(Daten!F30,Daten!F$2:F$33,0)</f>
        <v>12</v>
      </c>
      <c r="G30" s="13" t="n">
        <f aca="false">RANK(Daten!G30,Daten!G$2:G$33,1)</f>
        <v>16</v>
      </c>
      <c r="H30" s="13" t="n">
        <f aca="false">RANK(Daten!H30,Daten!H$2:H$33,0)</f>
        <v>17</v>
      </c>
      <c r="I30" s="13" t="n">
        <f aca="false">RANK(Daten!I30,Daten!I$2:I$33,0)</f>
        <v>18</v>
      </c>
      <c r="J30" s="13" t="n">
        <f aca="false">RANK(Daten!J30,Daten!J$2:J$33,0)</f>
        <v>4</v>
      </c>
      <c r="K30" s="13" t="n">
        <f aca="false">RANK(Daten!K30,Daten!K$2:K$33,0)</f>
        <v>16</v>
      </c>
      <c r="L30" s="13" t="n">
        <f aca="false">RANK(Daten!L30,Daten!L$2:L$33,0)</f>
        <v>7</v>
      </c>
      <c r="M30" s="13" t="n">
        <f aca="false">RANK(Daten!M30,Daten!M$2:M$33,0)</f>
        <v>12</v>
      </c>
      <c r="N30" s="13" t="n">
        <f aca="false">RANK(Daten!N30,Daten!N$2:N$33,0)</f>
        <v>3</v>
      </c>
      <c r="O30" s="13" t="n">
        <f aca="false">RANK(Daten!O30,Daten!O$2:O$33,1)</f>
        <v>32</v>
      </c>
      <c r="P30" s="13" t="n">
        <f aca="false">RANK(Daten!P30,Daten!P$2:P$33,1)</f>
        <v>24</v>
      </c>
      <c r="Q30" s="14" t="n">
        <f aca="false">COUNTIF(B30:P30,"&lt;=3")</f>
        <v>1</v>
      </c>
      <c r="R30" s="13" t="n">
        <f aca="false">COUNTIF(B30:P30,1)</f>
        <v>0</v>
      </c>
    </row>
    <row r="31" customFormat="false" ht="15" hidden="false" customHeight="false" outlineLevel="0" collapsed="false">
      <c r="A31" s="3" t="str">
        <f aca="false">Daten!A31</f>
        <v>Tampa Bay Buccaneers</v>
      </c>
      <c r="B31" s="13" t="n">
        <f aca="false">RANK(Daten!B31,Daten!B$2:B$33,1)</f>
        <v>21</v>
      </c>
      <c r="C31" s="13" t="n">
        <f aca="false">RANK(Daten!C31,Daten!C$2:C$33,0)</f>
        <v>28</v>
      </c>
      <c r="D31" s="13" t="n">
        <f aca="false">RANK(Daten!D31,Daten!D$2:D$33,0)</f>
        <v>22</v>
      </c>
      <c r="E31" s="13" t="n">
        <f aca="false">RANK(Daten!E31,Daten!E$2:E$33,0)</f>
        <v>24</v>
      </c>
      <c r="F31" s="13" t="n">
        <f aca="false">RANK(Daten!F31,Daten!F$2:F$33,0)</f>
        <v>32</v>
      </c>
      <c r="G31" s="13" t="n">
        <f aca="false">RANK(Daten!G31,Daten!G$2:G$33,1)</f>
        <v>9</v>
      </c>
      <c r="H31" s="13" t="n">
        <f aca="false">RANK(Daten!H31,Daten!H$2:H$33,0)</f>
        <v>25</v>
      </c>
      <c r="I31" s="13" t="n">
        <f aca="false">RANK(Daten!I31,Daten!I$2:I$33,0)</f>
        <v>27</v>
      </c>
      <c r="J31" s="13" t="n">
        <f aca="false">RANK(Daten!J31,Daten!J$2:J$33,0)</f>
        <v>22</v>
      </c>
      <c r="K31" s="13" t="n">
        <f aca="false">RANK(Daten!K31,Daten!K$2:K$33,0)</f>
        <v>18</v>
      </c>
      <c r="L31" s="13" t="n">
        <f aca="false">RANK(Daten!L31,Daten!L$2:L$33,0)</f>
        <v>25</v>
      </c>
      <c r="M31" s="13" t="n">
        <f aca="false">RANK(Daten!M31,Daten!M$2:M$33,0)</f>
        <v>18</v>
      </c>
      <c r="N31" s="13" t="n">
        <f aca="false">RANK(Daten!N31,Daten!N$2:N$33,0)</f>
        <v>18</v>
      </c>
      <c r="O31" s="13" t="n">
        <f aca="false">RANK(Daten!O31,Daten!O$2:O$33,1)</f>
        <v>18</v>
      </c>
      <c r="P31" s="13" t="n">
        <f aca="false">RANK(Daten!P31,Daten!P$2:P$33,1)</f>
        <v>14</v>
      </c>
      <c r="Q31" s="14" t="n">
        <f aca="false">COUNTIF(B31:P31,"&lt;=3")</f>
        <v>0</v>
      </c>
      <c r="R31" s="13" t="n">
        <f aca="false">COUNTIF(B31:P31,1)</f>
        <v>0</v>
      </c>
    </row>
    <row r="32" customFormat="false" ht="15" hidden="false" customHeight="false" outlineLevel="0" collapsed="false">
      <c r="A32" s="3" t="str">
        <f aca="false">Daten!A32</f>
        <v>Tennessee Titans</v>
      </c>
      <c r="B32" s="13" t="n">
        <f aca="false">RANK(Daten!B32,Daten!B$2:B$33,1)</f>
        <v>28</v>
      </c>
      <c r="C32" s="13" t="n">
        <f aca="false">RANK(Daten!C32,Daten!C$2:C$33,0)</f>
        <v>3</v>
      </c>
      <c r="D32" s="13" t="n">
        <f aca="false">RANK(Daten!D32,Daten!D$2:D$33,0)</f>
        <v>20</v>
      </c>
      <c r="E32" s="13" t="n">
        <f aca="false">RANK(Daten!E32,Daten!E$2:E$33,0)</f>
        <v>22</v>
      </c>
      <c r="F32" s="13" t="n">
        <f aca="false">RANK(Daten!F32,Daten!F$2:F$33,0)</f>
        <v>22</v>
      </c>
      <c r="G32" s="13" t="n">
        <f aca="false">RANK(Daten!G32,Daten!G$2:G$33,1)</f>
        <v>11</v>
      </c>
      <c r="H32" s="13" t="n">
        <f aca="false">RANK(Daten!H32,Daten!H$2:H$33,0)</f>
        <v>15</v>
      </c>
      <c r="I32" s="13" t="n">
        <f aca="false">RANK(Daten!I32,Daten!I$2:I$33,0)</f>
        <v>21</v>
      </c>
      <c r="J32" s="13" t="n">
        <f aca="false">RANK(Daten!J32,Daten!J$2:J$33,0)</f>
        <v>21</v>
      </c>
      <c r="K32" s="13" t="n">
        <f aca="false">RANK(Daten!K32,Daten!K$2:K$33,0)</f>
        <v>27</v>
      </c>
      <c r="L32" s="13" t="n">
        <f aca="false">RANK(Daten!L32,Daten!L$2:L$33,0)</f>
        <v>31</v>
      </c>
      <c r="M32" s="13" t="n">
        <f aca="false">RANK(Daten!M32,Daten!M$2:M$33,0)</f>
        <v>20</v>
      </c>
      <c r="N32" s="13" t="n">
        <f aca="false">RANK(Daten!N32,Daten!N$2:N$33,0)</f>
        <v>30</v>
      </c>
      <c r="O32" s="13" t="n">
        <f aca="false">RANK(Daten!O32,Daten!O$2:O$33,1)</f>
        <v>6</v>
      </c>
      <c r="P32" s="13" t="n">
        <f aca="false">RANK(Daten!P32,Daten!P$2:P$33,1)</f>
        <v>4</v>
      </c>
      <c r="Q32" s="14" t="n">
        <f aca="false">COUNTIF(B32:P32,"&lt;=3")</f>
        <v>1</v>
      </c>
      <c r="R32" s="13" t="n">
        <f aca="false">COUNTIF(B32:P32,1)</f>
        <v>0</v>
      </c>
    </row>
    <row r="33" customFormat="false" ht="15" hidden="false" customHeight="false" outlineLevel="0" collapsed="false">
      <c r="A33" s="3" t="str">
        <f aca="false">Daten!A33</f>
        <v>Washington Commanders</v>
      </c>
      <c r="B33" s="13" t="n">
        <f aca="false">RANK(Daten!B33,Daten!B$2:B$33,1)</f>
        <v>7</v>
      </c>
      <c r="C33" s="13" t="n">
        <f aca="false">RANK(Daten!C33,Daten!C$2:C$33,0)</f>
        <v>14</v>
      </c>
      <c r="D33" s="13" t="n">
        <f aca="false">RANK(Daten!D33,Daten!D$2:D$33,0)</f>
        <v>9</v>
      </c>
      <c r="E33" s="13" t="n">
        <f aca="false">RANK(Daten!E33,Daten!E$2:E$33,0)</f>
        <v>7</v>
      </c>
      <c r="F33" s="13" t="n">
        <f aca="false">RANK(Daten!F33,Daten!F$2:F$33,0)</f>
        <v>20</v>
      </c>
      <c r="G33" s="13" t="n">
        <f aca="false">RANK(Daten!G33,Daten!G$2:G$33,1)</f>
        <v>8</v>
      </c>
      <c r="H33" s="13" t="n">
        <f aca="false">RANK(Daten!H33,Daten!H$2:H$33,0)</f>
        <v>29</v>
      </c>
      <c r="I33" s="13" t="n">
        <f aca="false">RANK(Daten!I33,Daten!I$2:I$33,0)</f>
        <v>24</v>
      </c>
      <c r="J33" s="13" t="n">
        <f aca="false">RANK(Daten!J33,Daten!J$2:J$33,0)</f>
        <v>19</v>
      </c>
      <c r="K33" s="13" t="n">
        <f aca="false">RANK(Daten!K33,Daten!K$2:K$33,0)</f>
        <v>9</v>
      </c>
      <c r="L33" s="13" t="n">
        <f aca="false">RANK(Daten!L33,Daten!L$2:L$33,0)</f>
        <v>26</v>
      </c>
      <c r="M33" s="13" t="n">
        <f aca="false">RANK(Daten!M33,Daten!M$2:M$33,0)</f>
        <v>14</v>
      </c>
      <c r="N33" s="13" t="n">
        <f aca="false">RANK(Daten!N33,Daten!N$2:N$33,0)</f>
        <v>22</v>
      </c>
      <c r="O33" s="13" t="n">
        <f aca="false">RANK(Daten!O33,Daten!O$2:O$33,1)</f>
        <v>31</v>
      </c>
      <c r="P33" s="13" t="n">
        <f aca="false">RANK(Daten!P33,Daten!P$2:P$33,1)</f>
        <v>7</v>
      </c>
      <c r="Q33" s="14" t="n">
        <f aca="false">COUNTIF(B33:P33,"&lt;=3")</f>
        <v>0</v>
      </c>
      <c r="R33" s="13" t="n">
        <f aca="false">COUNTIF(B33:P33,1)</f>
        <v>0</v>
      </c>
    </row>
    <row r="35" customFormat="false" ht="15" hidden="false" customHeight="false" outlineLevel="0" collapsed="false">
      <c r="A35" s="10" t="s">
        <v>117</v>
      </c>
      <c r="B35" s="10" t="n">
        <f aca="false">COUNTIF(Q2:Q33,"&gt;0")</f>
        <v>22</v>
      </c>
    </row>
    <row r="36" customFormat="false" ht="15" hidden="false" customHeight="false" outlineLevel="0" collapsed="false">
      <c r="A36" s="10" t="s">
        <v>118</v>
      </c>
      <c r="B36" s="10" t="n">
        <f aca="false">COUNTIF(Q2:Q33,0)</f>
        <v>10</v>
      </c>
    </row>
    <row r="37" customFormat="false" ht="15" hidden="false" customHeight="false" outlineLevel="0" collapsed="false">
      <c r="A37" s="10" t="s">
        <v>119</v>
      </c>
      <c r="B37" s="10" t="n">
        <f aca="false">COUNTIF(R2:R33,"&gt;0")</f>
        <v>10</v>
      </c>
    </row>
    <row r="39" customFormat="false" ht="15" hidden="false" customHeight="false" outlineLevel="0" collapsed="false">
      <c r="A39" s="1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8" hidden="false" customHeight="true" outlineLevel="0" collapsed="false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</row>
    <row r="2" customFormat="false" ht="35.05" hidden="false" customHeight="false" outlineLevel="0" collapsed="false">
      <c r="A2" s="15" t="n">
        <v>1</v>
      </c>
      <c r="B2" s="15" t="s">
        <v>100</v>
      </c>
      <c r="C2" s="15" t="s">
        <v>133</v>
      </c>
      <c r="D2" s="15" t="s">
        <v>134</v>
      </c>
      <c r="E2" s="15" t="s">
        <v>135</v>
      </c>
      <c r="F2" s="15" t="s">
        <v>136</v>
      </c>
      <c r="G2" s="15" t="s">
        <v>137</v>
      </c>
      <c r="H2" s="15" t="n">
        <v>35</v>
      </c>
      <c r="I2" s="15" t="s">
        <v>138</v>
      </c>
      <c r="J2" s="15" t="s">
        <v>139</v>
      </c>
      <c r="K2" s="15" t="s">
        <v>140</v>
      </c>
      <c r="L2" s="15" t="s">
        <v>141</v>
      </c>
    </row>
    <row r="3" customFormat="false" ht="46.25" hidden="false" customHeight="false" outlineLevel="0" collapsed="false">
      <c r="A3" s="15" t="n">
        <v>2</v>
      </c>
      <c r="B3" s="15" t="s">
        <v>101</v>
      </c>
      <c r="C3" s="15" t="s">
        <v>142</v>
      </c>
      <c r="D3" s="15" t="s">
        <v>143</v>
      </c>
      <c r="E3" s="15" t="s">
        <v>25</v>
      </c>
      <c r="F3" s="15" t="s">
        <v>136</v>
      </c>
      <c r="G3" s="15" t="s">
        <v>137</v>
      </c>
      <c r="H3" s="15" t="n">
        <v>32</v>
      </c>
      <c r="I3" s="15" t="s">
        <v>144</v>
      </c>
      <c r="J3" s="15" t="s">
        <v>145</v>
      </c>
      <c r="K3" s="15" t="s">
        <v>146</v>
      </c>
      <c r="L3" s="15" t="s">
        <v>147</v>
      </c>
    </row>
    <row r="4" customFormat="false" ht="35.05" hidden="false" customHeight="false" outlineLevel="0" collapsed="false">
      <c r="A4" s="15" t="n">
        <v>3</v>
      </c>
      <c r="B4" s="15" t="s">
        <v>102</v>
      </c>
      <c r="C4" s="15" t="s">
        <v>148</v>
      </c>
      <c r="D4" s="15" t="s">
        <v>149</v>
      </c>
      <c r="E4" s="15" t="s">
        <v>75</v>
      </c>
      <c r="F4" s="15" t="s">
        <v>136</v>
      </c>
      <c r="G4" s="15" t="s">
        <v>150</v>
      </c>
      <c r="H4" s="15" t="n">
        <v>44</v>
      </c>
      <c r="I4" s="15" t="s">
        <v>151</v>
      </c>
      <c r="J4" s="15" t="s">
        <v>152</v>
      </c>
      <c r="K4" s="15" t="s">
        <v>153</v>
      </c>
      <c r="L4" s="15" t="s">
        <v>154</v>
      </c>
    </row>
    <row r="5" customFormat="false" ht="35.05" hidden="false" customHeight="false" outlineLevel="0" collapsed="false">
      <c r="A5" s="15" t="n">
        <v>4</v>
      </c>
      <c r="B5" s="15" t="s">
        <v>103</v>
      </c>
      <c r="C5" s="15" t="s">
        <v>155</v>
      </c>
      <c r="D5" s="15" t="s">
        <v>149</v>
      </c>
      <c r="E5" s="15" t="s">
        <v>39</v>
      </c>
      <c r="F5" s="15" t="s">
        <v>156</v>
      </c>
      <c r="G5" s="15" t="s">
        <v>157</v>
      </c>
      <c r="H5" s="15" t="n">
        <v>50</v>
      </c>
      <c r="I5" s="15" t="s">
        <v>158</v>
      </c>
      <c r="J5" s="15" t="s">
        <v>159</v>
      </c>
      <c r="K5" s="15" t="s">
        <v>160</v>
      </c>
      <c r="L5" s="15" t="s">
        <v>161</v>
      </c>
    </row>
    <row r="6" customFormat="false" ht="35.05" hidden="false" customHeight="false" outlineLevel="0" collapsed="false">
      <c r="A6" s="15" t="n">
        <v>5</v>
      </c>
      <c r="B6" s="15" t="s">
        <v>104</v>
      </c>
      <c r="C6" s="15" t="s">
        <v>162</v>
      </c>
      <c r="D6" s="15" t="s">
        <v>163</v>
      </c>
      <c r="E6" s="15" t="s">
        <v>164</v>
      </c>
      <c r="F6" s="15" t="s">
        <v>136</v>
      </c>
      <c r="G6" s="15" t="s">
        <v>165</v>
      </c>
      <c r="H6" s="15" t="n">
        <v>56</v>
      </c>
      <c r="I6" s="15" t="s">
        <v>166</v>
      </c>
      <c r="J6" s="15" t="s">
        <v>167</v>
      </c>
      <c r="K6" s="15" t="s">
        <v>168</v>
      </c>
      <c r="L6" s="15" t="s">
        <v>169</v>
      </c>
    </row>
    <row r="7" customFormat="false" ht="35.05" hidden="false" customHeight="false" outlineLevel="0" collapsed="false">
      <c r="A7" s="15" t="n">
        <v>6</v>
      </c>
      <c r="B7" s="15" t="s">
        <v>105</v>
      </c>
      <c r="C7" s="15" t="s">
        <v>133</v>
      </c>
      <c r="D7" s="15" t="s">
        <v>170</v>
      </c>
      <c r="E7" s="15" t="s">
        <v>39</v>
      </c>
      <c r="F7" s="15" t="s">
        <v>136</v>
      </c>
      <c r="G7" s="15" t="s">
        <v>137</v>
      </c>
      <c r="H7" s="15" t="n">
        <v>62</v>
      </c>
      <c r="I7" s="15" t="s">
        <v>171</v>
      </c>
      <c r="J7" s="15" t="s">
        <v>172</v>
      </c>
      <c r="K7" s="15" t="s">
        <v>173</v>
      </c>
      <c r="L7" s="15" t="s">
        <v>174</v>
      </c>
    </row>
    <row r="8" customFormat="false" ht="23.85" hidden="false" customHeight="false" outlineLevel="0" collapsed="false">
      <c r="A8" s="15" t="n">
        <v>7</v>
      </c>
      <c r="B8" s="15" t="s">
        <v>106</v>
      </c>
      <c r="C8" s="15" t="s">
        <v>175</v>
      </c>
      <c r="D8" s="15" t="s">
        <v>176</v>
      </c>
      <c r="E8" s="15" t="s">
        <v>177</v>
      </c>
      <c r="F8" s="15" t="s">
        <v>136</v>
      </c>
      <c r="G8" s="15" t="s">
        <v>178</v>
      </c>
      <c r="H8" s="15" t="n">
        <v>78</v>
      </c>
      <c r="I8" s="15" t="s">
        <v>179</v>
      </c>
      <c r="J8" s="15" t="s">
        <v>180</v>
      </c>
      <c r="K8" s="15" t="s">
        <v>181</v>
      </c>
      <c r="L8" s="15" t="s">
        <v>182</v>
      </c>
    </row>
    <row r="9" customFormat="false" ht="35.05" hidden="false" customHeight="false" outlineLevel="0" collapsed="false">
      <c r="A9" s="15" t="n">
        <v>8</v>
      </c>
      <c r="B9" s="15" t="s">
        <v>107</v>
      </c>
      <c r="C9" s="15" t="s">
        <v>183</v>
      </c>
      <c r="D9" s="15" t="s">
        <v>184</v>
      </c>
      <c r="E9" s="15" t="s">
        <v>185</v>
      </c>
      <c r="F9" s="15" t="s">
        <v>156</v>
      </c>
      <c r="G9" s="15" t="s">
        <v>186</v>
      </c>
      <c r="H9" s="15" t="n">
        <v>37</v>
      </c>
      <c r="I9" s="15" t="s">
        <v>187</v>
      </c>
      <c r="J9" s="15" t="s">
        <v>188</v>
      </c>
      <c r="K9" s="15" t="s">
        <v>189</v>
      </c>
      <c r="L9" s="15" t="s">
        <v>190</v>
      </c>
    </row>
    <row r="10" customFormat="false" ht="23.85" hidden="false" customHeight="false" outlineLevel="0" collapsed="false">
      <c r="A10" s="15" t="n">
        <v>9</v>
      </c>
      <c r="B10" s="15" t="s">
        <v>108</v>
      </c>
      <c r="C10" s="15" t="s">
        <v>191</v>
      </c>
      <c r="D10" s="15" t="s">
        <v>192</v>
      </c>
      <c r="E10" s="15" t="s">
        <v>46</v>
      </c>
      <c r="F10" s="15" t="s">
        <v>136</v>
      </c>
      <c r="G10" s="15" t="s">
        <v>193</v>
      </c>
      <c r="H10" s="15" t="n">
        <v>33</v>
      </c>
      <c r="I10" s="15" t="s">
        <v>194</v>
      </c>
      <c r="J10" s="15" t="s">
        <v>195</v>
      </c>
      <c r="K10" s="15" t="s">
        <v>196</v>
      </c>
      <c r="L10" s="15" t="s">
        <v>197</v>
      </c>
    </row>
    <row r="11" customFormat="false" ht="23.85" hidden="false" customHeight="false" outlineLevel="0" collapsed="false">
      <c r="A11" s="15" t="n">
        <v>10</v>
      </c>
      <c r="B11" s="15" t="s">
        <v>109</v>
      </c>
      <c r="C11" s="15" t="s">
        <v>198</v>
      </c>
      <c r="D11" s="15" t="s">
        <v>176</v>
      </c>
      <c r="E11" s="15" t="s">
        <v>177</v>
      </c>
      <c r="F11" s="15" t="s">
        <v>136</v>
      </c>
      <c r="G11" s="15" t="s">
        <v>199</v>
      </c>
      <c r="H11" s="15" t="n">
        <v>38</v>
      </c>
      <c r="I11" s="15" t="s">
        <v>200</v>
      </c>
      <c r="J11" s="15" t="s">
        <v>201</v>
      </c>
      <c r="K11" s="15" t="s">
        <v>202</v>
      </c>
      <c r="L11" s="15" t="s">
        <v>203</v>
      </c>
    </row>
    <row r="12" customFormat="false" ht="23.85" hidden="false" customHeight="false" outlineLevel="0" collapsed="false">
      <c r="A12" s="15" t="n">
        <v>11</v>
      </c>
      <c r="B12" s="15" t="s">
        <v>110</v>
      </c>
      <c r="C12" s="15" t="s">
        <v>198</v>
      </c>
      <c r="D12" s="15" t="s">
        <v>149</v>
      </c>
      <c r="E12" s="15" t="s">
        <v>75</v>
      </c>
      <c r="F12" s="15" t="s">
        <v>156</v>
      </c>
      <c r="G12" s="15" t="s">
        <v>199</v>
      </c>
      <c r="H12" s="15" t="n">
        <v>63</v>
      </c>
      <c r="I12" s="15" t="s">
        <v>204</v>
      </c>
      <c r="J12" s="15" t="s">
        <v>205</v>
      </c>
      <c r="K12" s="15" t="s">
        <v>206</v>
      </c>
      <c r="L12" s="15" t="s">
        <v>207</v>
      </c>
    </row>
    <row r="13" customFormat="false" ht="35.05" hidden="false" customHeight="false" outlineLevel="0" collapsed="false">
      <c r="A13" s="15" t="n">
        <v>12</v>
      </c>
      <c r="B13" s="15" t="s">
        <v>111</v>
      </c>
      <c r="C13" s="15" t="s">
        <v>183</v>
      </c>
      <c r="D13" s="15" t="s">
        <v>208</v>
      </c>
      <c r="E13" s="15" t="s">
        <v>46</v>
      </c>
      <c r="F13" s="15" t="s">
        <v>156</v>
      </c>
      <c r="G13" s="15" t="s">
        <v>199</v>
      </c>
      <c r="H13" s="15" t="n">
        <v>44</v>
      </c>
      <c r="I13" s="15" t="s">
        <v>209</v>
      </c>
      <c r="J13" s="15" t="s">
        <v>210</v>
      </c>
      <c r="K13" s="15" t="s">
        <v>211</v>
      </c>
      <c r="L13" s="15" t="s">
        <v>212</v>
      </c>
    </row>
    <row r="14" customFormat="false" ht="15" hidden="false" customHeight="false" outlineLevel="0" collapsed="false">
      <c r="A14" s="15" t="n">
        <v>13</v>
      </c>
      <c r="B14" s="15" t="s">
        <v>112</v>
      </c>
      <c r="C14" s="15" t="s">
        <v>213</v>
      </c>
      <c r="D14" s="15" t="s">
        <v>149</v>
      </c>
      <c r="E14" s="15" t="s">
        <v>69</v>
      </c>
      <c r="F14" s="15" t="s">
        <v>136</v>
      </c>
      <c r="G14" s="15" t="s">
        <v>214</v>
      </c>
      <c r="H14" s="15" t="n">
        <v>35</v>
      </c>
      <c r="I14" s="15" t="s">
        <v>215</v>
      </c>
      <c r="J14" s="15" t="s">
        <v>216</v>
      </c>
      <c r="K14" s="15" t="s">
        <v>217</v>
      </c>
      <c r="L14" s="15" t="s">
        <v>218</v>
      </c>
    </row>
    <row r="15" customFormat="false" ht="35.05" hidden="false" customHeight="false" outlineLevel="0" collapsed="false">
      <c r="A15" s="15" t="n">
        <v>14</v>
      </c>
      <c r="B15" s="15" t="s">
        <v>113</v>
      </c>
      <c r="C15" s="15" t="s">
        <v>133</v>
      </c>
      <c r="D15" s="15" t="s">
        <v>219</v>
      </c>
      <c r="E15" s="15" t="s">
        <v>39</v>
      </c>
      <c r="F15" s="15" t="s">
        <v>156</v>
      </c>
      <c r="G15" s="15" t="s">
        <v>137</v>
      </c>
      <c r="H15" s="15" t="n">
        <v>19</v>
      </c>
      <c r="I15" s="15" t="s">
        <v>220</v>
      </c>
      <c r="J15" s="15" t="s">
        <v>221</v>
      </c>
      <c r="K15" s="15" t="s">
        <v>222</v>
      </c>
      <c r="L15" s="15" t="s">
        <v>223</v>
      </c>
    </row>
    <row r="16" customFormat="false" ht="23.85" hidden="false" customHeight="false" outlineLevel="0" collapsed="false">
      <c r="A16" s="15" t="n">
        <v>15</v>
      </c>
      <c r="B16" s="15" t="s">
        <v>114</v>
      </c>
      <c r="C16" s="15" t="s">
        <v>224</v>
      </c>
      <c r="D16" s="15" t="s">
        <v>225</v>
      </c>
      <c r="E16" s="15" t="s">
        <v>65</v>
      </c>
      <c r="F16" s="15" t="s">
        <v>136</v>
      </c>
      <c r="G16" s="15" t="s">
        <v>226</v>
      </c>
      <c r="H16" s="15" t="n">
        <v>20</v>
      </c>
      <c r="I16" s="15" t="s">
        <v>227</v>
      </c>
      <c r="J16" s="15" t="s">
        <v>228</v>
      </c>
      <c r="K16" s="15" t="s">
        <v>229</v>
      </c>
      <c r="L16" s="15" t="s">
        <v>230</v>
      </c>
    </row>
    <row r="19" customFormat="false" ht="15" hidden="false" customHeight="false" outlineLevel="0" collapsed="false">
      <c r="A19" s="10" t="s">
        <v>131</v>
      </c>
    </row>
    <row r="20" customFormat="false" ht="15" hidden="false" customHeight="false" outlineLevel="0" collapsed="false">
      <c r="A20" s="16" t="s">
        <v>231</v>
      </c>
    </row>
    <row r="21" customFormat="false" ht="15" hidden="false" customHeight="false" outlineLevel="0" collapsed="false">
      <c r="A21" s="16" t="s">
        <v>232</v>
      </c>
    </row>
    <row r="22" customFormat="false" ht="15" hidden="false" customHeight="false" outlineLevel="0" collapsed="false">
      <c r="A22" s="16" t="s">
        <v>233</v>
      </c>
    </row>
    <row r="23" customFormat="false" ht="15" hidden="false" customHeight="false" outlineLevel="0" collapsed="false">
      <c r="A23" s="16" t="s">
        <v>234</v>
      </c>
    </row>
    <row r="24" customFormat="false" ht="15" hidden="false" customHeight="false" outlineLevel="0" collapsed="false">
      <c r="A24" s="16" t="s">
        <v>235</v>
      </c>
    </row>
    <row r="25" customFormat="false" ht="15" hidden="false" customHeight="false" outlineLevel="0" collapsed="false">
      <c r="A25" s="16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8" hidden="false" customHeight="true" outlineLevel="0" collapsed="false">
      <c r="A1" s="1" t="s">
        <v>122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</row>
    <row r="2" customFormat="false" ht="15" hidden="false" customHeight="false" outlineLevel="0" collapsed="false">
      <c r="A2" s="17" t="s">
        <v>100</v>
      </c>
      <c r="B2" s="17" t="s">
        <v>28</v>
      </c>
      <c r="C2" s="17" t="n">
        <v>1966</v>
      </c>
      <c r="D2" s="17" t="s">
        <v>42</v>
      </c>
      <c r="E2" s="17" t="n">
        <v>1968</v>
      </c>
      <c r="F2" s="17" t="n">
        <v>2</v>
      </c>
      <c r="G2" s="17"/>
    </row>
    <row r="3" customFormat="false" ht="15" hidden="false" customHeight="false" outlineLevel="0" collapsed="false">
      <c r="A3" s="17" t="s">
        <v>100</v>
      </c>
      <c r="B3" s="17" t="s">
        <v>28</v>
      </c>
      <c r="C3" s="17" t="n">
        <v>1966</v>
      </c>
      <c r="D3" s="17" t="s">
        <v>71</v>
      </c>
      <c r="E3" s="17" t="n">
        <v>1966</v>
      </c>
      <c r="F3" s="17" t="n">
        <v>0</v>
      </c>
      <c r="G3" s="17" t="s">
        <v>243</v>
      </c>
    </row>
    <row r="4" customFormat="false" ht="15" hidden="false" customHeight="false" outlineLevel="0" collapsed="false">
      <c r="A4" s="17" t="s">
        <v>100</v>
      </c>
      <c r="B4" s="17" t="s">
        <v>28</v>
      </c>
      <c r="C4" s="17" t="n">
        <v>1966</v>
      </c>
      <c r="D4" s="17" t="s">
        <v>77</v>
      </c>
      <c r="E4" s="17" t="n">
        <v>1967</v>
      </c>
      <c r="F4" s="17" t="n">
        <v>1</v>
      </c>
      <c r="G4" s="17"/>
    </row>
    <row r="5" customFormat="false" ht="15" hidden="false" customHeight="false" outlineLevel="0" collapsed="false">
      <c r="A5" s="17" t="s">
        <v>100</v>
      </c>
      <c r="B5" s="17" t="s">
        <v>31</v>
      </c>
      <c r="C5" s="17" t="n">
        <v>1996</v>
      </c>
      <c r="D5" s="17" t="s">
        <v>37</v>
      </c>
      <c r="E5" s="17" t="n">
        <v>1995</v>
      </c>
      <c r="F5" s="17" t="n">
        <v>1</v>
      </c>
      <c r="G5" s="17"/>
    </row>
    <row r="6" customFormat="false" ht="15" hidden="false" customHeight="false" outlineLevel="0" collapsed="false">
      <c r="A6" s="17" t="s">
        <v>100</v>
      </c>
      <c r="B6" s="17" t="s">
        <v>31</v>
      </c>
      <c r="C6" s="17" t="n">
        <v>1996</v>
      </c>
      <c r="D6" s="17" t="s">
        <v>61</v>
      </c>
      <c r="E6" s="17" t="n">
        <v>1995</v>
      </c>
      <c r="F6" s="17" t="n">
        <v>1</v>
      </c>
      <c r="G6" s="17"/>
    </row>
    <row r="7" customFormat="false" ht="15" hidden="false" customHeight="false" outlineLevel="0" collapsed="false">
      <c r="A7" s="17" t="s">
        <v>100</v>
      </c>
      <c r="B7" s="17" t="s">
        <v>31</v>
      </c>
      <c r="C7" s="17" t="n">
        <v>1996</v>
      </c>
      <c r="D7" s="17" t="s">
        <v>93</v>
      </c>
      <c r="E7" s="17" t="n">
        <v>1997</v>
      </c>
      <c r="F7" s="17" t="n">
        <v>1</v>
      </c>
      <c r="G7" s="17"/>
    </row>
    <row r="8" customFormat="false" ht="15" hidden="false" customHeight="false" outlineLevel="0" collapsed="false">
      <c r="A8" s="17" t="s">
        <v>100</v>
      </c>
      <c r="B8" s="17" t="s">
        <v>34</v>
      </c>
      <c r="C8" s="17" t="n">
        <v>1960</v>
      </c>
      <c r="D8" s="17" t="s">
        <v>46</v>
      </c>
      <c r="E8" s="17" t="n">
        <v>1960</v>
      </c>
      <c r="F8" s="17" t="n">
        <v>0</v>
      </c>
      <c r="G8" s="17" t="s">
        <v>243</v>
      </c>
    </row>
    <row r="9" customFormat="false" ht="15" hidden="false" customHeight="false" outlineLevel="0" collapsed="false">
      <c r="A9" s="17" t="s">
        <v>100</v>
      </c>
      <c r="B9" s="17" t="s">
        <v>34</v>
      </c>
      <c r="C9" s="17" t="n">
        <v>1960</v>
      </c>
      <c r="D9" s="17" t="s">
        <v>49</v>
      </c>
      <c r="E9" s="17" t="n">
        <v>1960</v>
      </c>
      <c r="F9" s="17" t="n">
        <v>0</v>
      </c>
      <c r="G9" s="17" t="s">
        <v>243</v>
      </c>
    </row>
    <row r="10" customFormat="false" ht="15" hidden="false" customHeight="false" outlineLevel="0" collapsed="false">
      <c r="A10" s="17" t="s">
        <v>100</v>
      </c>
      <c r="B10" s="17" t="s">
        <v>34</v>
      </c>
      <c r="C10" s="17" t="n">
        <v>1960</v>
      </c>
      <c r="D10" s="17" t="s">
        <v>73</v>
      </c>
      <c r="E10" s="17" t="n">
        <v>1961</v>
      </c>
      <c r="F10" s="17" t="n">
        <v>1</v>
      </c>
      <c r="G10" s="17"/>
    </row>
    <row r="11" customFormat="false" ht="15" hidden="false" customHeight="false" outlineLevel="0" collapsed="false">
      <c r="A11" s="17" t="s">
        <v>100</v>
      </c>
      <c r="B11" s="17" t="s">
        <v>34</v>
      </c>
      <c r="C11" s="17" t="n">
        <v>1960</v>
      </c>
      <c r="D11" s="17" t="s">
        <v>75</v>
      </c>
      <c r="E11" s="17" t="n">
        <v>1960</v>
      </c>
      <c r="F11" s="17" t="n">
        <v>0</v>
      </c>
      <c r="G11" s="17" t="s">
        <v>243</v>
      </c>
    </row>
    <row r="12" customFormat="false" ht="15" hidden="false" customHeight="false" outlineLevel="0" collapsed="false">
      <c r="A12" s="17" t="s">
        <v>100</v>
      </c>
      <c r="B12" s="17" t="s">
        <v>34</v>
      </c>
      <c r="C12" s="17" t="n">
        <v>1960</v>
      </c>
      <c r="D12" s="17" t="s">
        <v>81</v>
      </c>
      <c r="E12" s="17" t="n">
        <v>1960</v>
      </c>
      <c r="F12" s="17" t="n">
        <v>0</v>
      </c>
      <c r="G12" s="17" t="s">
        <v>243</v>
      </c>
    </row>
    <row r="13" customFormat="false" ht="15" hidden="false" customHeight="false" outlineLevel="0" collapsed="false">
      <c r="A13" s="17" t="s">
        <v>100</v>
      </c>
      <c r="B13" s="17" t="s">
        <v>37</v>
      </c>
      <c r="C13" s="17" t="n">
        <v>1995</v>
      </c>
      <c r="D13" s="17" t="s">
        <v>61</v>
      </c>
      <c r="E13" s="17" t="n">
        <v>1995</v>
      </c>
      <c r="F13" s="17" t="n">
        <v>0</v>
      </c>
      <c r="G13" s="17" t="s">
        <v>243</v>
      </c>
    </row>
    <row r="14" customFormat="false" ht="15" hidden="false" customHeight="false" outlineLevel="0" collapsed="false">
      <c r="A14" s="17" t="s">
        <v>100</v>
      </c>
      <c r="B14" s="17" t="s">
        <v>37</v>
      </c>
      <c r="C14" s="17" t="n">
        <v>1995</v>
      </c>
      <c r="D14" s="17" t="s">
        <v>93</v>
      </c>
      <c r="E14" s="17" t="n">
        <v>1997</v>
      </c>
      <c r="F14" s="17" t="n">
        <v>2</v>
      </c>
      <c r="G14" s="17"/>
    </row>
    <row r="15" customFormat="false" ht="15" hidden="false" customHeight="false" outlineLevel="0" collapsed="false">
      <c r="A15" s="17" t="s">
        <v>100</v>
      </c>
      <c r="B15" s="17" t="s">
        <v>39</v>
      </c>
      <c r="C15" s="17" t="n">
        <v>1921</v>
      </c>
      <c r="D15" s="17" t="s">
        <v>54</v>
      </c>
      <c r="E15" s="17" t="n">
        <v>1921</v>
      </c>
      <c r="F15" s="17" t="n">
        <v>0</v>
      </c>
      <c r="G15" s="17" t="s">
        <v>243</v>
      </c>
    </row>
    <row r="16" customFormat="false" ht="15" hidden="false" customHeight="false" outlineLevel="0" collapsed="false">
      <c r="A16" s="17" t="s">
        <v>100</v>
      </c>
      <c r="B16" s="17" t="s">
        <v>42</v>
      </c>
      <c r="C16" s="17" t="n">
        <v>1968</v>
      </c>
      <c r="D16" s="17" t="s">
        <v>71</v>
      </c>
      <c r="E16" s="17" t="n">
        <v>1966</v>
      </c>
      <c r="F16" s="17" t="n">
        <v>2</v>
      </c>
      <c r="G16" s="17"/>
    </row>
    <row r="17" customFormat="false" ht="15" hidden="false" customHeight="false" outlineLevel="0" collapsed="false">
      <c r="A17" s="17" t="s">
        <v>100</v>
      </c>
      <c r="B17" s="17" t="s">
        <v>42</v>
      </c>
      <c r="C17" s="17" t="n">
        <v>1968</v>
      </c>
      <c r="D17" s="17" t="s">
        <v>77</v>
      </c>
      <c r="E17" s="17" t="n">
        <v>1967</v>
      </c>
      <c r="F17" s="17" t="n">
        <v>1</v>
      </c>
      <c r="G17" s="17"/>
    </row>
    <row r="18" customFormat="false" ht="15" hidden="false" customHeight="false" outlineLevel="0" collapsed="false">
      <c r="A18" s="17" t="s">
        <v>100</v>
      </c>
      <c r="B18" s="17" t="s">
        <v>44</v>
      </c>
      <c r="C18" s="17" t="n">
        <v>1946</v>
      </c>
      <c r="D18" s="17" t="s">
        <v>87</v>
      </c>
      <c r="E18" s="17" t="n">
        <v>1946</v>
      </c>
      <c r="F18" s="17" t="n">
        <v>0</v>
      </c>
      <c r="G18" s="17" t="s">
        <v>243</v>
      </c>
    </row>
    <row r="19" customFormat="false" ht="15" hidden="false" customHeight="false" outlineLevel="0" collapsed="false">
      <c r="A19" s="17" t="s">
        <v>100</v>
      </c>
      <c r="B19" s="17" t="s">
        <v>46</v>
      </c>
      <c r="C19" s="17" t="n">
        <v>1960</v>
      </c>
      <c r="D19" s="17" t="s">
        <v>49</v>
      </c>
      <c r="E19" s="17" t="n">
        <v>1960</v>
      </c>
      <c r="F19" s="17" t="n">
        <v>0</v>
      </c>
      <c r="G19" s="17" t="s">
        <v>243</v>
      </c>
    </row>
    <row r="20" customFormat="false" ht="15" hidden="false" customHeight="false" outlineLevel="0" collapsed="false">
      <c r="A20" s="17" t="s">
        <v>100</v>
      </c>
      <c r="B20" s="17" t="s">
        <v>46</v>
      </c>
      <c r="C20" s="17" t="n">
        <v>1960</v>
      </c>
      <c r="D20" s="17" t="s">
        <v>73</v>
      </c>
      <c r="E20" s="17" t="n">
        <v>1961</v>
      </c>
      <c r="F20" s="17" t="n">
        <v>1</v>
      </c>
      <c r="G20" s="17"/>
    </row>
    <row r="21" customFormat="false" ht="15" hidden="false" customHeight="false" outlineLevel="0" collapsed="false">
      <c r="A21" s="17" t="s">
        <v>100</v>
      </c>
      <c r="B21" s="17" t="s">
        <v>46</v>
      </c>
      <c r="C21" s="17" t="n">
        <v>1960</v>
      </c>
      <c r="D21" s="17" t="s">
        <v>75</v>
      </c>
      <c r="E21" s="17" t="n">
        <v>1960</v>
      </c>
      <c r="F21" s="17" t="n">
        <v>0</v>
      </c>
      <c r="G21" s="17" t="s">
        <v>243</v>
      </c>
    </row>
    <row r="22" customFormat="false" ht="15" hidden="false" customHeight="false" outlineLevel="0" collapsed="false">
      <c r="A22" s="17" t="s">
        <v>100</v>
      </c>
      <c r="B22" s="17" t="s">
        <v>46</v>
      </c>
      <c r="C22" s="17" t="n">
        <v>1960</v>
      </c>
      <c r="D22" s="17" t="s">
        <v>81</v>
      </c>
      <c r="E22" s="17" t="n">
        <v>1960</v>
      </c>
      <c r="F22" s="17" t="n">
        <v>0</v>
      </c>
      <c r="G22" s="17" t="s">
        <v>243</v>
      </c>
    </row>
    <row r="23" customFormat="false" ht="15" hidden="false" customHeight="false" outlineLevel="0" collapsed="false">
      <c r="A23" s="17" t="s">
        <v>100</v>
      </c>
      <c r="B23" s="17" t="s">
        <v>49</v>
      </c>
      <c r="C23" s="17" t="n">
        <v>1960</v>
      </c>
      <c r="D23" s="17" t="s">
        <v>73</v>
      </c>
      <c r="E23" s="17" t="n">
        <v>1961</v>
      </c>
      <c r="F23" s="17" t="n">
        <v>1</v>
      </c>
      <c r="G23" s="17"/>
    </row>
    <row r="24" customFormat="false" ht="15" hidden="false" customHeight="false" outlineLevel="0" collapsed="false">
      <c r="A24" s="17" t="s">
        <v>100</v>
      </c>
      <c r="B24" s="17" t="s">
        <v>49</v>
      </c>
      <c r="C24" s="17" t="n">
        <v>1960</v>
      </c>
      <c r="D24" s="17" t="s">
        <v>75</v>
      </c>
      <c r="E24" s="17" t="n">
        <v>1960</v>
      </c>
      <c r="F24" s="17" t="n">
        <v>0</v>
      </c>
      <c r="G24" s="17" t="s">
        <v>243</v>
      </c>
    </row>
    <row r="25" customFormat="false" ht="15" hidden="false" customHeight="false" outlineLevel="0" collapsed="false">
      <c r="A25" s="17" t="s">
        <v>100</v>
      </c>
      <c r="B25" s="17" t="s">
        <v>49</v>
      </c>
      <c r="C25" s="17" t="n">
        <v>1960</v>
      </c>
      <c r="D25" s="17" t="s">
        <v>81</v>
      </c>
      <c r="E25" s="17" t="n">
        <v>1960</v>
      </c>
      <c r="F25" s="17" t="n">
        <v>0</v>
      </c>
      <c r="G25" s="17" t="s">
        <v>243</v>
      </c>
    </row>
    <row r="26" customFormat="false" ht="15" hidden="false" customHeight="false" outlineLevel="0" collapsed="false">
      <c r="A26" s="17" t="s">
        <v>100</v>
      </c>
      <c r="B26" s="17" t="s">
        <v>52</v>
      </c>
      <c r="C26" s="17" t="n">
        <v>1934</v>
      </c>
      <c r="D26" s="17" t="s">
        <v>83</v>
      </c>
      <c r="E26" s="17" t="n">
        <v>1933</v>
      </c>
      <c r="F26" s="17" t="n">
        <v>1</v>
      </c>
      <c r="G26" s="17"/>
    </row>
    <row r="27" customFormat="false" ht="15" hidden="false" customHeight="false" outlineLevel="0" collapsed="false">
      <c r="A27" s="17" t="s">
        <v>100</v>
      </c>
      <c r="B27" s="17" t="s">
        <v>52</v>
      </c>
      <c r="C27" s="17" t="n">
        <v>1934</v>
      </c>
      <c r="D27" s="17" t="s">
        <v>85</v>
      </c>
      <c r="E27" s="17" t="n">
        <v>1933</v>
      </c>
      <c r="F27" s="17" t="n">
        <v>1</v>
      </c>
      <c r="G27" s="17"/>
    </row>
    <row r="28" customFormat="false" ht="15" hidden="false" customHeight="false" outlineLevel="0" collapsed="false">
      <c r="A28" s="17" t="s">
        <v>100</v>
      </c>
      <c r="B28" s="17" t="s">
        <v>61</v>
      </c>
      <c r="C28" s="17" t="n">
        <v>1995</v>
      </c>
      <c r="D28" s="17" t="s">
        <v>93</v>
      </c>
      <c r="E28" s="17" t="n">
        <v>1997</v>
      </c>
      <c r="F28" s="17" t="n">
        <v>2</v>
      </c>
      <c r="G28" s="17"/>
    </row>
    <row r="29" customFormat="false" ht="15" hidden="false" customHeight="false" outlineLevel="0" collapsed="false">
      <c r="A29" s="17" t="s">
        <v>100</v>
      </c>
      <c r="B29" s="17" t="s">
        <v>63</v>
      </c>
      <c r="C29" s="17" t="n">
        <v>1963</v>
      </c>
      <c r="D29" s="17" t="s">
        <v>73</v>
      </c>
      <c r="E29" s="17" t="n">
        <v>1961</v>
      </c>
      <c r="F29" s="17" t="n">
        <v>2</v>
      </c>
      <c r="G29" s="17"/>
    </row>
    <row r="30" customFormat="false" ht="15" hidden="false" customHeight="false" outlineLevel="0" collapsed="false">
      <c r="A30" s="17" t="s">
        <v>100</v>
      </c>
      <c r="B30" s="17" t="s">
        <v>67</v>
      </c>
      <c r="C30" s="17" t="n">
        <v>2017</v>
      </c>
      <c r="D30" s="17" t="s">
        <v>69</v>
      </c>
      <c r="E30" s="17" t="n">
        <v>2016</v>
      </c>
      <c r="F30" s="17" t="n">
        <v>1</v>
      </c>
      <c r="G30" s="17"/>
    </row>
    <row r="31" customFormat="false" ht="15" hidden="false" customHeight="false" outlineLevel="0" collapsed="false">
      <c r="A31" s="17" t="s">
        <v>100</v>
      </c>
      <c r="B31" s="17" t="s">
        <v>71</v>
      </c>
      <c r="C31" s="17" t="n">
        <v>1966</v>
      </c>
      <c r="D31" s="17" t="s">
        <v>77</v>
      </c>
      <c r="E31" s="17" t="n">
        <v>1967</v>
      </c>
      <c r="F31" s="17" t="n">
        <v>1</v>
      </c>
      <c r="G31" s="17"/>
    </row>
    <row r="32" customFormat="false" ht="15" hidden="false" customHeight="false" outlineLevel="0" collapsed="false">
      <c r="A32" s="17" t="s">
        <v>100</v>
      </c>
      <c r="B32" s="17" t="s">
        <v>73</v>
      </c>
      <c r="C32" s="17" t="n">
        <v>1961</v>
      </c>
      <c r="D32" s="17" t="s">
        <v>75</v>
      </c>
      <c r="E32" s="17" t="n">
        <v>1960</v>
      </c>
      <c r="F32" s="17" t="n">
        <v>1</v>
      </c>
      <c r="G32" s="17"/>
    </row>
    <row r="33" customFormat="false" ht="15" hidden="false" customHeight="false" outlineLevel="0" collapsed="false">
      <c r="A33" s="17" t="s">
        <v>100</v>
      </c>
      <c r="B33" s="17" t="s">
        <v>73</v>
      </c>
      <c r="C33" s="17" t="n">
        <v>1961</v>
      </c>
      <c r="D33" s="17" t="s">
        <v>81</v>
      </c>
      <c r="E33" s="17" t="n">
        <v>1960</v>
      </c>
      <c r="F33" s="17" t="n">
        <v>1</v>
      </c>
      <c r="G33" s="17"/>
    </row>
    <row r="34" customFormat="false" ht="15" hidden="false" customHeight="false" outlineLevel="0" collapsed="false">
      <c r="A34" s="17" t="s">
        <v>100</v>
      </c>
      <c r="B34" s="17" t="s">
        <v>75</v>
      </c>
      <c r="C34" s="17" t="n">
        <v>1960</v>
      </c>
      <c r="D34" s="17" t="s">
        <v>81</v>
      </c>
      <c r="E34" s="17" t="n">
        <v>1960</v>
      </c>
      <c r="F34" s="17" t="n">
        <v>0</v>
      </c>
      <c r="G34" s="17" t="s">
        <v>243</v>
      </c>
    </row>
    <row r="35" customFormat="false" ht="15" hidden="false" customHeight="false" outlineLevel="0" collapsed="false">
      <c r="A35" s="17" t="s">
        <v>100</v>
      </c>
      <c r="B35" s="17" t="s">
        <v>83</v>
      </c>
      <c r="C35" s="17" t="n">
        <v>1933</v>
      </c>
      <c r="D35" s="17" t="s">
        <v>85</v>
      </c>
      <c r="E35" s="17" t="n">
        <v>1933</v>
      </c>
      <c r="F35" s="17" t="n">
        <v>0</v>
      </c>
      <c r="G35" s="17" t="s">
        <v>243</v>
      </c>
    </row>
    <row r="36" customFormat="false" ht="15" hidden="false" customHeight="false" outlineLevel="0" collapsed="false">
      <c r="A36" s="17" t="s">
        <v>100</v>
      </c>
      <c r="B36" s="17" t="s">
        <v>89</v>
      </c>
      <c r="C36" s="17" t="n">
        <v>1976</v>
      </c>
      <c r="D36" s="17" t="s">
        <v>91</v>
      </c>
      <c r="E36" s="17" t="n">
        <v>1976</v>
      </c>
      <c r="F36" s="17" t="n">
        <v>0</v>
      </c>
      <c r="G36" s="17" t="s">
        <v>243</v>
      </c>
    </row>
    <row r="37" customFormat="false" ht="15" hidden="false" customHeight="false" outlineLevel="0" collapsed="false">
      <c r="A37" s="17" t="s">
        <v>101</v>
      </c>
      <c r="B37" s="17" t="s">
        <v>28</v>
      </c>
      <c r="C37" s="17" t="n">
        <v>60</v>
      </c>
      <c r="D37" s="17" t="s">
        <v>34</v>
      </c>
      <c r="E37" s="17" t="n">
        <v>61</v>
      </c>
      <c r="F37" s="17" t="n">
        <v>1</v>
      </c>
      <c r="G37" s="17"/>
    </row>
    <row r="38" customFormat="false" ht="15" hidden="false" customHeight="false" outlineLevel="0" collapsed="false">
      <c r="A38" s="17" t="s">
        <v>101</v>
      </c>
      <c r="B38" s="17" t="s">
        <v>28</v>
      </c>
      <c r="C38" s="17" t="n">
        <v>60</v>
      </c>
      <c r="D38" s="17" t="s">
        <v>42</v>
      </c>
      <c r="E38" s="17" t="n">
        <v>58</v>
      </c>
      <c r="F38" s="17" t="n">
        <v>2</v>
      </c>
      <c r="G38" s="17"/>
    </row>
    <row r="39" customFormat="false" ht="15" hidden="false" customHeight="false" outlineLevel="0" collapsed="false">
      <c r="A39" s="17" t="s">
        <v>101</v>
      </c>
      <c r="B39" s="17" t="s">
        <v>28</v>
      </c>
      <c r="C39" s="17" t="n">
        <v>60</v>
      </c>
      <c r="D39" s="17" t="s">
        <v>44</v>
      </c>
      <c r="E39" s="17" t="n">
        <v>62</v>
      </c>
      <c r="F39" s="17" t="n">
        <v>2</v>
      </c>
      <c r="G39" s="17"/>
    </row>
    <row r="40" customFormat="false" ht="15" hidden="false" customHeight="false" outlineLevel="0" collapsed="false">
      <c r="A40" s="17" t="s">
        <v>101</v>
      </c>
      <c r="B40" s="17" t="s">
        <v>28</v>
      </c>
      <c r="C40" s="17" t="n">
        <v>60</v>
      </c>
      <c r="D40" s="17" t="s">
        <v>81</v>
      </c>
      <c r="E40" s="17" t="n">
        <v>58</v>
      </c>
      <c r="F40" s="17" t="n">
        <v>2</v>
      </c>
      <c r="G40" s="17"/>
    </row>
    <row r="41" customFormat="false" ht="15" hidden="false" customHeight="false" outlineLevel="0" collapsed="false">
      <c r="A41" s="17" t="s">
        <v>101</v>
      </c>
      <c r="B41" s="17" t="s">
        <v>31</v>
      </c>
      <c r="C41" s="17" t="n">
        <v>14</v>
      </c>
      <c r="D41" s="17" t="s">
        <v>54</v>
      </c>
      <c r="E41" s="17" t="n">
        <v>16</v>
      </c>
      <c r="F41" s="17" t="n">
        <v>2</v>
      </c>
      <c r="G41" s="17"/>
    </row>
    <row r="42" customFormat="false" ht="15" hidden="false" customHeight="false" outlineLevel="0" collapsed="false">
      <c r="A42" s="17" t="s">
        <v>101</v>
      </c>
      <c r="B42" s="17" t="s">
        <v>31</v>
      </c>
      <c r="C42" s="17" t="n">
        <v>14</v>
      </c>
      <c r="D42" s="17" t="s">
        <v>79</v>
      </c>
      <c r="E42" s="17" t="n">
        <v>15</v>
      </c>
      <c r="F42" s="17" t="n">
        <v>1</v>
      </c>
      <c r="G42" s="17"/>
    </row>
    <row r="43" customFormat="false" ht="15" hidden="false" customHeight="false" outlineLevel="0" collapsed="false">
      <c r="A43" s="17" t="s">
        <v>101</v>
      </c>
      <c r="B43" s="17" t="s">
        <v>34</v>
      </c>
      <c r="C43" s="17" t="n">
        <v>61</v>
      </c>
      <c r="D43" s="17" t="s">
        <v>44</v>
      </c>
      <c r="E43" s="17" t="n">
        <v>62</v>
      </c>
      <c r="F43" s="17" t="n">
        <v>1</v>
      </c>
      <c r="G43" s="17"/>
    </row>
    <row r="44" customFormat="false" ht="15" hidden="false" customHeight="false" outlineLevel="0" collapsed="false">
      <c r="A44" s="17" t="s">
        <v>101</v>
      </c>
      <c r="B44" s="17" t="s">
        <v>34</v>
      </c>
      <c r="C44" s="17" t="n">
        <v>61</v>
      </c>
      <c r="D44" s="17" t="s">
        <v>67</v>
      </c>
      <c r="E44" s="17" t="n">
        <v>63</v>
      </c>
      <c r="F44" s="17" t="n">
        <v>2</v>
      </c>
      <c r="G44" s="17"/>
    </row>
    <row r="45" customFormat="false" ht="15" hidden="false" customHeight="false" outlineLevel="0" collapsed="false">
      <c r="A45" s="17" t="s">
        <v>101</v>
      </c>
      <c r="B45" s="17" t="s">
        <v>37</v>
      </c>
      <c r="C45" s="17" t="n">
        <v>31</v>
      </c>
      <c r="D45" s="17" t="s">
        <v>46</v>
      </c>
      <c r="E45" s="17" t="n">
        <v>31</v>
      </c>
      <c r="F45" s="17" t="n">
        <v>0</v>
      </c>
      <c r="G45" s="17" t="s">
        <v>243</v>
      </c>
    </row>
    <row r="46" customFormat="false" ht="15" hidden="false" customHeight="false" outlineLevel="0" collapsed="false">
      <c r="A46" s="17" t="s">
        <v>101</v>
      </c>
      <c r="B46" s="17" t="s">
        <v>37</v>
      </c>
      <c r="C46" s="17" t="n">
        <v>31</v>
      </c>
      <c r="D46" s="17" t="s">
        <v>61</v>
      </c>
      <c r="E46" s="17" t="n">
        <v>31</v>
      </c>
      <c r="F46" s="17" t="n">
        <v>0</v>
      </c>
      <c r="G46" s="17" t="s">
        <v>243</v>
      </c>
    </row>
    <row r="47" customFormat="false" ht="15" hidden="false" customHeight="false" outlineLevel="0" collapsed="false">
      <c r="A47" s="17" t="s">
        <v>101</v>
      </c>
      <c r="B47" s="17" t="s">
        <v>37</v>
      </c>
      <c r="C47" s="17" t="n">
        <v>31</v>
      </c>
      <c r="D47" s="17" t="s">
        <v>87</v>
      </c>
      <c r="E47" s="17" t="n">
        <v>32</v>
      </c>
      <c r="F47" s="17" t="n">
        <v>1</v>
      </c>
      <c r="G47" s="17"/>
    </row>
    <row r="48" customFormat="false" ht="15" hidden="false" customHeight="false" outlineLevel="0" collapsed="false">
      <c r="A48" s="17" t="s">
        <v>101</v>
      </c>
      <c r="B48" s="17" t="s">
        <v>39</v>
      </c>
      <c r="C48" s="17" t="n">
        <v>41</v>
      </c>
      <c r="D48" s="17" t="s">
        <v>65</v>
      </c>
      <c r="E48" s="17" t="n">
        <v>43</v>
      </c>
      <c r="F48" s="17" t="n">
        <v>2</v>
      </c>
      <c r="G48" s="17"/>
    </row>
    <row r="49" customFormat="false" ht="15" hidden="false" customHeight="false" outlineLevel="0" collapsed="false">
      <c r="A49" s="17" t="s">
        <v>101</v>
      </c>
      <c r="B49" s="17" t="s">
        <v>42</v>
      </c>
      <c r="C49" s="17" t="n">
        <v>58</v>
      </c>
      <c r="D49" s="17" t="s">
        <v>81</v>
      </c>
      <c r="E49" s="17" t="n">
        <v>58</v>
      </c>
      <c r="F49" s="17" t="n">
        <v>0</v>
      </c>
      <c r="G49" s="17" t="s">
        <v>243</v>
      </c>
    </row>
    <row r="50" customFormat="false" ht="15" hidden="false" customHeight="false" outlineLevel="0" collapsed="false">
      <c r="A50" s="17" t="s">
        <v>101</v>
      </c>
      <c r="B50" s="17" t="s">
        <v>44</v>
      </c>
      <c r="C50" s="17" t="n">
        <v>62</v>
      </c>
      <c r="D50" s="17" t="s">
        <v>67</v>
      </c>
      <c r="E50" s="17" t="n">
        <v>63</v>
      </c>
      <c r="F50" s="17" t="n">
        <v>1</v>
      </c>
      <c r="G50" s="17"/>
    </row>
    <row r="51" customFormat="false" ht="15" hidden="false" customHeight="false" outlineLevel="0" collapsed="false">
      <c r="A51" s="17" t="s">
        <v>101</v>
      </c>
      <c r="B51" s="17" t="s">
        <v>46</v>
      </c>
      <c r="C51" s="17" t="n">
        <v>31</v>
      </c>
      <c r="D51" s="17" t="s">
        <v>61</v>
      </c>
      <c r="E51" s="17" t="n">
        <v>31</v>
      </c>
      <c r="F51" s="17" t="n">
        <v>0</v>
      </c>
      <c r="G51" s="17" t="s">
        <v>243</v>
      </c>
    </row>
    <row r="52" customFormat="false" ht="15" hidden="false" customHeight="false" outlineLevel="0" collapsed="false">
      <c r="A52" s="17" t="s">
        <v>101</v>
      </c>
      <c r="B52" s="17" t="s">
        <v>46</v>
      </c>
      <c r="C52" s="17" t="n">
        <v>31</v>
      </c>
      <c r="D52" s="17" t="s">
        <v>87</v>
      </c>
      <c r="E52" s="17" t="n">
        <v>32</v>
      </c>
      <c r="F52" s="17" t="n">
        <v>1</v>
      </c>
      <c r="G52" s="17"/>
    </row>
    <row r="53" customFormat="false" ht="15" hidden="false" customHeight="false" outlineLevel="0" collapsed="false">
      <c r="A53" s="17" t="s">
        <v>101</v>
      </c>
      <c r="B53" s="17" t="s">
        <v>54</v>
      </c>
      <c r="C53" s="17" t="n">
        <v>16</v>
      </c>
      <c r="D53" s="17" t="s">
        <v>77</v>
      </c>
      <c r="E53" s="17" t="n">
        <v>17</v>
      </c>
      <c r="F53" s="17" t="n">
        <v>1</v>
      </c>
      <c r="G53" s="17"/>
    </row>
    <row r="54" customFormat="false" ht="15" hidden="false" customHeight="false" outlineLevel="0" collapsed="false">
      <c r="A54" s="17" t="s">
        <v>101</v>
      </c>
      <c r="B54" s="17" t="s">
        <v>54</v>
      </c>
      <c r="C54" s="17" t="n">
        <v>16</v>
      </c>
      <c r="D54" s="17" t="s">
        <v>79</v>
      </c>
      <c r="E54" s="17" t="n">
        <v>15</v>
      </c>
      <c r="F54" s="17" t="n">
        <v>1</v>
      </c>
      <c r="G54" s="17"/>
    </row>
    <row r="55" customFormat="false" ht="15" hidden="false" customHeight="false" outlineLevel="0" collapsed="false">
      <c r="A55" s="17" t="s">
        <v>101</v>
      </c>
      <c r="B55" s="17" t="s">
        <v>54</v>
      </c>
      <c r="C55" s="17" t="n">
        <v>16</v>
      </c>
      <c r="D55" s="17" t="s">
        <v>85</v>
      </c>
      <c r="E55" s="17" t="n">
        <v>18</v>
      </c>
      <c r="F55" s="17" t="n">
        <v>2</v>
      </c>
      <c r="G55" s="17"/>
    </row>
    <row r="56" customFormat="false" ht="15" hidden="false" customHeight="false" outlineLevel="0" collapsed="false">
      <c r="A56" s="17" t="s">
        <v>101</v>
      </c>
      <c r="B56" s="17" t="s">
        <v>59</v>
      </c>
      <c r="C56" s="17" t="n">
        <v>20</v>
      </c>
      <c r="D56" s="17" t="s">
        <v>85</v>
      </c>
      <c r="E56" s="17" t="n">
        <v>18</v>
      </c>
      <c r="F56" s="17" t="n">
        <v>2</v>
      </c>
      <c r="G56" s="17"/>
    </row>
    <row r="57" customFormat="false" ht="15" hidden="false" customHeight="false" outlineLevel="0" collapsed="false">
      <c r="A57" s="17" t="s">
        <v>101</v>
      </c>
      <c r="B57" s="17" t="s">
        <v>61</v>
      </c>
      <c r="C57" s="17" t="n">
        <v>31</v>
      </c>
      <c r="D57" s="17" t="s">
        <v>87</v>
      </c>
      <c r="E57" s="17" t="n">
        <v>32</v>
      </c>
      <c r="F57" s="17" t="n">
        <v>1</v>
      </c>
      <c r="G57" s="17"/>
    </row>
    <row r="58" customFormat="false" ht="15" hidden="false" customHeight="false" outlineLevel="0" collapsed="false">
      <c r="A58" s="17" t="s">
        <v>101</v>
      </c>
      <c r="B58" s="17" t="s">
        <v>63</v>
      </c>
      <c r="C58" s="17" t="n">
        <v>3</v>
      </c>
      <c r="D58" s="17" t="s">
        <v>69</v>
      </c>
      <c r="E58" s="17" t="n">
        <v>5</v>
      </c>
      <c r="F58" s="17" t="n">
        <v>2</v>
      </c>
      <c r="G58" s="17"/>
    </row>
    <row r="59" customFormat="false" ht="15" hidden="false" customHeight="false" outlineLevel="0" collapsed="false">
      <c r="A59" s="17" t="s">
        <v>101</v>
      </c>
      <c r="B59" s="17" t="s">
        <v>63</v>
      </c>
      <c r="C59" s="17" t="n">
        <v>3</v>
      </c>
      <c r="D59" s="17" t="s">
        <v>83</v>
      </c>
      <c r="E59" s="17" t="n">
        <v>2</v>
      </c>
      <c r="F59" s="17" t="n">
        <v>1</v>
      </c>
      <c r="G59" s="17"/>
    </row>
    <row r="60" customFormat="false" ht="15" hidden="false" customHeight="false" outlineLevel="0" collapsed="false">
      <c r="A60" s="17" t="s">
        <v>101</v>
      </c>
      <c r="B60" s="17" t="s">
        <v>63</v>
      </c>
      <c r="C60" s="17" t="n">
        <v>3</v>
      </c>
      <c r="D60" s="17" t="s">
        <v>89</v>
      </c>
      <c r="E60" s="17" t="n">
        <v>1</v>
      </c>
      <c r="F60" s="17" t="n">
        <v>2</v>
      </c>
      <c r="G60" s="17"/>
    </row>
    <row r="61" customFormat="false" ht="15" hidden="false" customHeight="false" outlineLevel="0" collapsed="false">
      <c r="A61" s="17" t="s">
        <v>101</v>
      </c>
      <c r="B61" s="17" t="s">
        <v>67</v>
      </c>
      <c r="C61" s="17" t="n">
        <v>63</v>
      </c>
      <c r="D61" s="17" t="s">
        <v>73</v>
      </c>
      <c r="E61" s="17" t="n">
        <v>65</v>
      </c>
      <c r="F61" s="17" t="n">
        <v>2</v>
      </c>
      <c r="G61" s="17"/>
    </row>
    <row r="62" customFormat="false" ht="15" hidden="false" customHeight="false" outlineLevel="0" collapsed="false">
      <c r="A62" s="17" t="s">
        <v>101</v>
      </c>
      <c r="B62" s="17" t="s">
        <v>67</v>
      </c>
      <c r="C62" s="17" t="n">
        <v>63</v>
      </c>
      <c r="D62" s="17" t="s">
        <v>93</v>
      </c>
      <c r="E62" s="17" t="n">
        <v>65</v>
      </c>
      <c r="F62" s="17" t="n">
        <v>2</v>
      </c>
      <c r="G62" s="17"/>
    </row>
    <row r="63" customFormat="false" ht="15" hidden="false" customHeight="false" outlineLevel="0" collapsed="false">
      <c r="A63" s="17" t="s">
        <v>101</v>
      </c>
      <c r="B63" s="17" t="s">
        <v>69</v>
      </c>
      <c r="C63" s="17" t="n">
        <v>5</v>
      </c>
      <c r="D63" s="17" t="s">
        <v>91</v>
      </c>
      <c r="E63" s="17" t="n">
        <v>6</v>
      </c>
      <c r="F63" s="17" t="n">
        <v>1</v>
      </c>
      <c r="G63" s="17"/>
    </row>
    <row r="64" customFormat="false" ht="15" hidden="false" customHeight="false" outlineLevel="0" collapsed="false">
      <c r="A64" s="17" t="s">
        <v>101</v>
      </c>
      <c r="B64" s="17" t="s">
        <v>73</v>
      </c>
      <c r="C64" s="17" t="n">
        <v>65</v>
      </c>
      <c r="D64" s="17" t="s">
        <v>93</v>
      </c>
      <c r="E64" s="17" t="n">
        <v>65</v>
      </c>
      <c r="F64" s="17" t="n">
        <v>0</v>
      </c>
      <c r="G64" s="17" t="s">
        <v>243</v>
      </c>
    </row>
    <row r="65" customFormat="false" ht="15" hidden="false" customHeight="false" outlineLevel="0" collapsed="false">
      <c r="A65" s="17" t="s">
        <v>101</v>
      </c>
      <c r="B65" s="17" t="s">
        <v>75</v>
      </c>
      <c r="C65" s="17" t="n">
        <v>8</v>
      </c>
      <c r="D65" s="17" t="s">
        <v>91</v>
      </c>
      <c r="E65" s="17" t="n">
        <v>6</v>
      </c>
      <c r="F65" s="17" t="n">
        <v>2</v>
      </c>
      <c r="G65" s="17"/>
    </row>
    <row r="66" customFormat="false" ht="15" hidden="false" customHeight="false" outlineLevel="0" collapsed="false">
      <c r="A66" s="17" t="s">
        <v>101</v>
      </c>
      <c r="B66" s="17" t="s">
        <v>77</v>
      </c>
      <c r="C66" s="17" t="n">
        <v>17</v>
      </c>
      <c r="D66" s="17" t="s">
        <v>79</v>
      </c>
      <c r="E66" s="17" t="n">
        <v>15</v>
      </c>
      <c r="F66" s="17" t="n">
        <v>2</v>
      </c>
      <c r="G66" s="17"/>
    </row>
    <row r="67" customFormat="false" ht="15" hidden="false" customHeight="false" outlineLevel="0" collapsed="false">
      <c r="A67" s="17" t="s">
        <v>101</v>
      </c>
      <c r="B67" s="17" t="s">
        <v>77</v>
      </c>
      <c r="C67" s="17" t="n">
        <v>17</v>
      </c>
      <c r="D67" s="17" t="s">
        <v>85</v>
      </c>
      <c r="E67" s="17" t="n">
        <v>18</v>
      </c>
      <c r="F67" s="17" t="n">
        <v>1</v>
      </c>
      <c r="G67" s="17"/>
    </row>
    <row r="68" customFormat="false" ht="15" hidden="false" customHeight="false" outlineLevel="0" collapsed="false">
      <c r="A68" s="17" t="s">
        <v>101</v>
      </c>
      <c r="B68" s="17" t="s">
        <v>83</v>
      </c>
      <c r="C68" s="17" t="n">
        <v>2</v>
      </c>
      <c r="D68" s="17" t="s">
        <v>89</v>
      </c>
      <c r="E68" s="17" t="n">
        <v>1</v>
      </c>
      <c r="F68" s="17" t="n">
        <v>1</v>
      </c>
      <c r="G68" s="17"/>
    </row>
    <row r="69" customFormat="false" ht="15" hidden="false" customHeight="false" outlineLevel="0" collapsed="false">
      <c r="A69" s="17" t="s">
        <v>102</v>
      </c>
      <c r="B69" s="17" t="s">
        <v>25</v>
      </c>
      <c r="C69" s="17" t="n">
        <v>7</v>
      </c>
      <c r="D69" s="17" t="s">
        <v>56</v>
      </c>
      <c r="E69" s="17" t="n">
        <v>7</v>
      </c>
      <c r="F69" s="17" t="n">
        <v>0</v>
      </c>
      <c r="G69" s="17" t="s">
        <v>243</v>
      </c>
    </row>
    <row r="70" customFormat="false" ht="15" hidden="false" customHeight="false" outlineLevel="0" collapsed="false">
      <c r="A70" s="17" t="s">
        <v>102</v>
      </c>
      <c r="B70" s="17" t="s">
        <v>25</v>
      </c>
      <c r="C70" s="17" t="n">
        <v>7</v>
      </c>
      <c r="D70" s="17" t="s">
        <v>61</v>
      </c>
      <c r="E70" s="17" t="n">
        <v>8</v>
      </c>
      <c r="F70" s="17" t="n">
        <v>1</v>
      </c>
      <c r="G70" s="17"/>
    </row>
    <row r="71" customFormat="false" ht="15" hidden="false" customHeight="false" outlineLevel="0" collapsed="false">
      <c r="A71" s="17" t="s">
        <v>102</v>
      </c>
      <c r="B71" s="17" t="s">
        <v>28</v>
      </c>
      <c r="C71" s="17" t="n">
        <v>10</v>
      </c>
      <c r="D71" s="17" t="s">
        <v>37</v>
      </c>
      <c r="E71" s="17" t="n">
        <v>9</v>
      </c>
      <c r="F71" s="17" t="n">
        <v>1</v>
      </c>
      <c r="G71" s="17"/>
    </row>
    <row r="72" customFormat="false" ht="15" hidden="false" customHeight="false" outlineLevel="0" collapsed="false">
      <c r="A72" s="17" t="s">
        <v>102</v>
      </c>
      <c r="B72" s="17" t="s">
        <v>28</v>
      </c>
      <c r="C72" s="17" t="n">
        <v>10</v>
      </c>
      <c r="D72" s="17" t="s">
        <v>42</v>
      </c>
      <c r="E72" s="17" t="n">
        <v>10</v>
      </c>
      <c r="F72" s="17" t="n">
        <v>0</v>
      </c>
      <c r="G72" s="17" t="s">
        <v>243</v>
      </c>
    </row>
    <row r="73" customFormat="false" ht="15" hidden="false" customHeight="false" outlineLevel="0" collapsed="false">
      <c r="A73" s="17" t="s">
        <v>102</v>
      </c>
      <c r="B73" s="17" t="s">
        <v>28</v>
      </c>
      <c r="C73" s="17" t="n">
        <v>10</v>
      </c>
      <c r="D73" s="17" t="s">
        <v>52</v>
      </c>
      <c r="E73" s="17" t="n">
        <v>9</v>
      </c>
      <c r="F73" s="17" t="n">
        <v>1</v>
      </c>
      <c r="G73" s="17"/>
    </row>
    <row r="74" customFormat="false" ht="15" hidden="false" customHeight="false" outlineLevel="0" collapsed="false">
      <c r="A74" s="17" t="s">
        <v>102</v>
      </c>
      <c r="B74" s="17" t="s">
        <v>28</v>
      </c>
      <c r="C74" s="17" t="n">
        <v>10</v>
      </c>
      <c r="D74" s="17" t="s">
        <v>77</v>
      </c>
      <c r="E74" s="17" t="n">
        <v>10</v>
      </c>
      <c r="F74" s="17" t="n">
        <v>0</v>
      </c>
      <c r="G74" s="17" t="s">
        <v>243</v>
      </c>
    </row>
    <row r="75" customFormat="false" ht="15" hidden="false" customHeight="false" outlineLevel="0" collapsed="false">
      <c r="A75" s="17" t="s">
        <v>102</v>
      </c>
      <c r="B75" s="17" t="s">
        <v>31</v>
      </c>
      <c r="C75" s="17" t="n">
        <v>18</v>
      </c>
      <c r="D75" s="17" t="s">
        <v>39</v>
      </c>
      <c r="E75" s="17" t="n">
        <v>18</v>
      </c>
      <c r="F75" s="17" t="n">
        <v>0</v>
      </c>
      <c r="G75" s="17" t="s">
        <v>243</v>
      </c>
    </row>
    <row r="76" customFormat="false" ht="15" hidden="false" customHeight="false" outlineLevel="0" collapsed="false">
      <c r="A76" s="17" t="s">
        <v>102</v>
      </c>
      <c r="B76" s="17" t="s">
        <v>31</v>
      </c>
      <c r="C76" s="17" t="n">
        <v>18</v>
      </c>
      <c r="D76" s="17" t="s">
        <v>44</v>
      </c>
      <c r="E76" s="17" t="n">
        <v>17</v>
      </c>
      <c r="F76" s="17" t="n">
        <v>1</v>
      </c>
      <c r="G76" s="17"/>
    </row>
    <row r="77" customFormat="false" ht="15" hidden="false" customHeight="false" outlineLevel="0" collapsed="false">
      <c r="A77" s="17" t="s">
        <v>102</v>
      </c>
      <c r="B77" s="17" t="s">
        <v>31</v>
      </c>
      <c r="C77" s="17" t="n">
        <v>18</v>
      </c>
      <c r="D77" s="17" t="s">
        <v>93</v>
      </c>
      <c r="E77" s="17" t="n">
        <v>17</v>
      </c>
      <c r="F77" s="17" t="n">
        <v>1</v>
      </c>
      <c r="G77" s="17"/>
    </row>
    <row r="78" customFormat="false" ht="15" hidden="false" customHeight="false" outlineLevel="0" collapsed="false">
      <c r="A78" s="17" t="s">
        <v>102</v>
      </c>
      <c r="B78" s="17" t="s">
        <v>34</v>
      </c>
      <c r="C78" s="17" t="n">
        <v>22</v>
      </c>
      <c r="D78" s="17" t="s">
        <v>59</v>
      </c>
      <c r="E78" s="17" t="n">
        <v>23</v>
      </c>
      <c r="F78" s="17" t="n">
        <v>1</v>
      </c>
      <c r="G78" s="17"/>
    </row>
    <row r="79" customFormat="false" ht="15" hidden="false" customHeight="false" outlineLevel="0" collapsed="false">
      <c r="A79" s="17" t="s">
        <v>102</v>
      </c>
      <c r="B79" s="17" t="s">
        <v>34</v>
      </c>
      <c r="C79" s="17" t="n">
        <v>22</v>
      </c>
      <c r="D79" s="17" t="s">
        <v>73</v>
      </c>
      <c r="E79" s="17" t="n">
        <v>21</v>
      </c>
      <c r="F79" s="17" t="n">
        <v>1</v>
      </c>
      <c r="G79" s="17"/>
    </row>
    <row r="80" customFormat="false" ht="15" hidden="false" customHeight="false" outlineLevel="0" collapsed="false">
      <c r="A80" s="17" t="s">
        <v>102</v>
      </c>
      <c r="B80" s="17" t="s">
        <v>37</v>
      </c>
      <c r="C80" s="17" t="n">
        <v>9</v>
      </c>
      <c r="D80" s="17" t="s">
        <v>42</v>
      </c>
      <c r="E80" s="17" t="n">
        <v>10</v>
      </c>
      <c r="F80" s="17" t="n">
        <v>1</v>
      </c>
      <c r="G80" s="17"/>
    </row>
    <row r="81" customFormat="false" ht="15" hidden="false" customHeight="false" outlineLevel="0" collapsed="false">
      <c r="A81" s="17" t="s">
        <v>102</v>
      </c>
      <c r="B81" s="17" t="s">
        <v>37</v>
      </c>
      <c r="C81" s="17" t="n">
        <v>9</v>
      </c>
      <c r="D81" s="17" t="s">
        <v>52</v>
      </c>
      <c r="E81" s="17" t="n">
        <v>9</v>
      </c>
      <c r="F81" s="17" t="n">
        <v>0</v>
      </c>
      <c r="G81" s="17" t="s">
        <v>243</v>
      </c>
    </row>
    <row r="82" customFormat="false" ht="15" hidden="false" customHeight="false" outlineLevel="0" collapsed="false">
      <c r="A82" s="17" t="s">
        <v>102</v>
      </c>
      <c r="B82" s="17" t="s">
        <v>37</v>
      </c>
      <c r="C82" s="17" t="n">
        <v>9</v>
      </c>
      <c r="D82" s="17" t="s">
        <v>61</v>
      </c>
      <c r="E82" s="17" t="n">
        <v>8</v>
      </c>
      <c r="F82" s="17" t="n">
        <v>1</v>
      </c>
      <c r="G82" s="17"/>
    </row>
    <row r="83" customFormat="false" ht="15" hidden="false" customHeight="false" outlineLevel="0" collapsed="false">
      <c r="A83" s="17" t="s">
        <v>102</v>
      </c>
      <c r="B83" s="17" t="s">
        <v>37</v>
      </c>
      <c r="C83" s="17" t="n">
        <v>9</v>
      </c>
      <c r="D83" s="17" t="s">
        <v>77</v>
      </c>
      <c r="E83" s="17" t="n">
        <v>10</v>
      </c>
      <c r="F83" s="17" t="n">
        <v>1</v>
      </c>
      <c r="G83" s="17"/>
    </row>
    <row r="84" customFormat="false" ht="15" hidden="false" customHeight="false" outlineLevel="0" collapsed="false">
      <c r="A84" s="17" t="s">
        <v>102</v>
      </c>
      <c r="B84" s="17" t="s">
        <v>39</v>
      </c>
      <c r="C84" s="17" t="n">
        <v>18</v>
      </c>
      <c r="D84" s="17" t="s">
        <v>44</v>
      </c>
      <c r="E84" s="17" t="n">
        <v>17</v>
      </c>
      <c r="F84" s="17" t="n">
        <v>1</v>
      </c>
      <c r="G84" s="17"/>
    </row>
    <row r="85" customFormat="false" ht="15" hidden="false" customHeight="false" outlineLevel="0" collapsed="false">
      <c r="A85" s="17" t="s">
        <v>102</v>
      </c>
      <c r="B85" s="17" t="s">
        <v>39</v>
      </c>
      <c r="C85" s="17" t="n">
        <v>18</v>
      </c>
      <c r="D85" s="17" t="s">
        <v>93</v>
      </c>
      <c r="E85" s="17" t="n">
        <v>17</v>
      </c>
      <c r="F85" s="17" t="n">
        <v>1</v>
      </c>
      <c r="G85" s="17"/>
    </row>
    <row r="86" customFormat="false" ht="15" hidden="false" customHeight="false" outlineLevel="0" collapsed="false">
      <c r="A86" s="17" t="s">
        <v>102</v>
      </c>
      <c r="B86" s="17" t="s">
        <v>42</v>
      </c>
      <c r="C86" s="17" t="n">
        <v>10</v>
      </c>
      <c r="D86" s="17" t="s">
        <v>52</v>
      </c>
      <c r="E86" s="17" t="n">
        <v>9</v>
      </c>
      <c r="F86" s="17" t="n">
        <v>1</v>
      </c>
      <c r="G86" s="17"/>
    </row>
    <row r="87" customFormat="false" ht="15" hidden="false" customHeight="false" outlineLevel="0" collapsed="false">
      <c r="A87" s="17" t="s">
        <v>102</v>
      </c>
      <c r="B87" s="17" t="s">
        <v>42</v>
      </c>
      <c r="C87" s="17" t="n">
        <v>10</v>
      </c>
      <c r="D87" s="17" t="s">
        <v>77</v>
      </c>
      <c r="E87" s="17" t="n">
        <v>10</v>
      </c>
      <c r="F87" s="17" t="n">
        <v>0</v>
      </c>
      <c r="G87" s="17" t="s">
        <v>243</v>
      </c>
    </row>
    <row r="88" customFormat="false" ht="15" hidden="false" customHeight="false" outlineLevel="0" collapsed="false">
      <c r="A88" s="17" t="s">
        <v>102</v>
      </c>
      <c r="B88" s="17" t="s">
        <v>44</v>
      </c>
      <c r="C88" s="17" t="n">
        <v>17</v>
      </c>
      <c r="D88" s="17" t="s">
        <v>93</v>
      </c>
      <c r="E88" s="17" t="n">
        <v>17</v>
      </c>
      <c r="F88" s="17" t="n">
        <v>0</v>
      </c>
      <c r="G88" s="17" t="s">
        <v>243</v>
      </c>
    </row>
    <row r="89" customFormat="false" ht="15" hidden="false" customHeight="false" outlineLevel="0" collapsed="false">
      <c r="A89" s="17" t="s">
        <v>102</v>
      </c>
      <c r="B89" s="17" t="s">
        <v>46</v>
      </c>
      <c r="C89" s="17" t="n">
        <v>36</v>
      </c>
      <c r="D89" s="17" t="s">
        <v>54</v>
      </c>
      <c r="E89" s="17" t="n">
        <v>37</v>
      </c>
      <c r="F89" s="17" t="n">
        <v>1</v>
      </c>
      <c r="G89" s="17"/>
    </row>
    <row r="90" customFormat="false" ht="15" hidden="false" customHeight="false" outlineLevel="0" collapsed="false">
      <c r="A90" s="17" t="s">
        <v>102</v>
      </c>
      <c r="B90" s="17" t="s">
        <v>46</v>
      </c>
      <c r="C90" s="17" t="n">
        <v>36</v>
      </c>
      <c r="D90" s="17" t="s">
        <v>85</v>
      </c>
      <c r="E90" s="17" t="n">
        <v>36</v>
      </c>
      <c r="F90" s="17" t="n">
        <v>0</v>
      </c>
      <c r="G90" s="17" t="s">
        <v>243</v>
      </c>
    </row>
    <row r="91" customFormat="false" ht="15" hidden="false" customHeight="false" outlineLevel="0" collapsed="false">
      <c r="A91" s="17" t="s">
        <v>102</v>
      </c>
      <c r="B91" s="17" t="s">
        <v>49</v>
      </c>
      <c r="C91" s="17" t="n">
        <v>24</v>
      </c>
      <c r="D91" s="17" t="s">
        <v>59</v>
      </c>
      <c r="E91" s="17" t="n">
        <v>23</v>
      </c>
      <c r="F91" s="17" t="n">
        <v>1</v>
      </c>
      <c r="G91" s="17"/>
    </row>
    <row r="92" customFormat="false" ht="15" hidden="false" customHeight="false" outlineLevel="0" collapsed="false">
      <c r="A92" s="17" t="s">
        <v>102</v>
      </c>
      <c r="B92" s="17" t="s">
        <v>49</v>
      </c>
      <c r="C92" s="17" t="n">
        <v>24</v>
      </c>
      <c r="D92" s="17" t="s">
        <v>65</v>
      </c>
      <c r="E92" s="17" t="n">
        <v>25</v>
      </c>
      <c r="F92" s="17" t="n">
        <v>1</v>
      </c>
      <c r="G92" s="17"/>
    </row>
    <row r="93" customFormat="false" ht="15" hidden="false" customHeight="false" outlineLevel="0" collapsed="false">
      <c r="A93" s="17" t="s">
        <v>102</v>
      </c>
      <c r="B93" s="17" t="s">
        <v>49</v>
      </c>
      <c r="C93" s="17" t="n">
        <v>24</v>
      </c>
      <c r="D93" s="17" t="s">
        <v>79</v>
      </c>
      <c r="E93" s="17" t="n">
        <v>25</v>
      </c>
      <c r="F93" s="17" t="n">
        <v>1</v>
      </c>
      <c r="G93" s="17"/>
    </row>
    <row r="94" customFormat="false" ht="15" hidden="false" customHeight="false" outlineLevel="0" collapsed="false">
      <c r="A94" s="17" t="s">
        <v>102</v>
      </c>
      <c r="B94" s="17" t="s">
        <v>49</v>
      </c>
      <c r="C94" s="17" t="n">
        <v>24</v>
      </c>
      <c r="D94" s="17" t="s">
        <v>95</v>
      </c>
      <c r="E94" s="17" t="n">
        <v>25</v>
      </c>
      <c r="F94" s="17" t="n">
        <v>1</v>
      </c>
      <c r="G94" s="17"/>
    </row>
    <row r="95" customFormat="false" ht="15" hidden="false" customHeight="false" outlineLevel="0" collapsed="false">
      <c r="A95" s="17" t="s">
        <v>102</v>
      </c>
      <c r="B95" s="17" t="s">
        <v>52</v>
      </c>
      <c r="C95" s="17" t="n">
        <v>9</v>
      </c>
      <c r="D95" s="17" t="s">
        <v>61</v>
      </c>
      <c r="E95" s="17" t="n">
        <v>8</v>
      </c>
      <c r="F95" s="17" t="n">
        <v>1</v>
      </c>
      <c r="G95" s="17"/>
    </row>
    <row r="96" customFormat="false" ht="15" hidden="false" customHeight="false" outlineLevel="0" collapsed="false">
      <c r="A96" s="17" t="s">
        <v>102</v>
      </c>
      <c r="B96" s="17" t="s">
        <v>52</v>
      </c>
      <c r="C96" s="17" t="n">
        <v>9</v>
      </c>
      <c r="D96" s="17" t="s">
        <v>77</v>
      </c>
      <c r="E96" s="17" t="n">
        <v>10</v>
      </c>
      <c r="F96" s="17" t="n">
        <v>1</v>
      </c>
      <c r="G96" s="17"/>
    </row>
    <row r="97" customFormat="false" ht="15" hidden="false" customHeight="false" outlineLevel="0" collapsed="false">
      <c r="A97" s="17" t="s">
        <v>102</v>
      </c>
      <c r="B97" s="17" t="s">
        <v>54</v>
      </c>
      <c r="C97" s="17" t="n">
        <v>37</v>
      </c>
      <c r="D97" s="17" t="s">
        <v>85</v>
      </c>
      <c r="E97" s="17" t="n">
        <v>36</v>
      </c>
      <c r="F97" s="17" t="n">
        <v>1</v>
      </c>
      <c r="G97" s="17"/>
    </row>
    <row r="98" customFormat="false" ht="15" hidden="false" customHeight="false" outlineLevel="0" collapsed="false">
      <c r="A98" s="17" t="s">
        <v>102</v>
      </c>
      <c r="B98" s="17" t="s">
        <v>56</v>
      </c>
      <c r="C98" s="17" t="n">
        <v>7</v>
      </c>
      <c r="D98" s="17" t="s">
        <v>61</v>
      </c>
      <c r="E98" s="17" t="n">
        <v>8</v>
      </c>
      <c r="F98" s="17" t="n">
        <v>1</v>
      </c>
      <c r="G98" s="17"/>
    </row>
    <row r="99" customFormat="false" ht="15" hidden="false" customHeight="false" outlineLevel="0" collapsed="false">
      <c r="A99" s="17" t="s">
        <v>102</v>
      </c>
      <c r="B99" s="17" t="s">
        <v>63</v>
      </c>
      <c r="C99" s="17" t="n">
        <v>26</v>
      </c>
      <c r="D99" s="17" t="s">
        <v>65</v>
      </c>
      <c r="E99" s="17" t="n">
        <v>25</v>
      </c>
      <c r="F99" s="17" t="n">
        <v>1</v>
      </c>
      <c r="G99" s="17"/>
    </row>
    <row r="100" customFormat="false" ht="15" hidden="false" customHeight="false" outlineLevel="0" collapsed="false">
      <c r="A100" s="17" t="s">
        <v>102</v>
      </c>
      <c r="B100" s="17" t="s">
        <v>63</v>
      </c>
      <c r="C100" s="17" t="n">
        <v>26</v>
      </c>
      <c r="D100" s="17" t="s">
        <v>79</v>
      </c>
      <c r="E100" s="17" t="n">
        <v>25</v>
      </c>
      <c r="F100" s="17" t="n">
        <v>1</v>
      </c>
      <c r="G100" s="17"/>
    </row>
    <row r="101" customFormat="false" ht="15" hidden="false" customHeight="false" outlineLevel="0" collapsed="false">
      <c r="A101" s="17" t="s">
        <v>102</v>
      </c>
      <c r="B101" s="17" t="s">
        <v>63</v>
      </c>
      <c r="C101" s="17" t="n">
        <v>26</v>
      </c>
      <c r="D101" s="17" t="s">
        <v>95</v>
      </c>
      <c r="E101" s="17" t="n">
        <v>25</v>
      </c>
      <c r="F101" s="17" t="n">
        <v>1</v>
      </c>
      <c r="G101" s="17"/>
    </row>
    <row r="102" customFormat="false" ht="15" hidden="false" customHeight="false" outlineLevel="0" collapsed="false">
      <c r="A102" s="17" t="s">
        <v>102</v>
      </c>
      <c r="B102" s="17" t="s">
        <v>65</v>
      </c>
      <c r="C102" s="17" t="n">
        <v>25</v>
      </c>
      <c r="D102" s="17" t="s">
        <v>79</v>
      </c>
      <c r="E102" s="17" t="n">
        <v>25</v>
      </c>
      <c r="F102" s="17" t="n">
        <v>0</v>
      </c>
      <c r="G102" s="17" t="s">
        <v>243</v>
      </c>
    </row>
    <row r="103" customFormat="false" ht="15" hidden="false" customHeight="false" outlineLevel="0" collapsed="false">
      <c r="A103" s="17" t="s">
        <v>102</v>
      </c>
      <c r="B103" s="17" t="s">
        <v>65</v>
      </c>
      <c r="C103" s="17" t="n">
        <v>25</v>
      </c>
      <c r="D103" s="17" t="s">
        <v>95</v>
      </c>
      <c r="E103" s="17" t="n">
        <v>25</v>
      </c>
      <c r="F103" s="17" t="n">
        <v>0</v>
      </c>
      <c r="G103" s="17" t="s">
        <v>243</v>
      </c>
    </row>
    <row r="104" customFormat="false" ht="15" hidden="false" customHeight="false" outlineLevel="0" collapsed="false">
      <c r="A104" s="17" t="s">
        <v>102</v>
      </c>
      <c r="B104" s="17" t="s">
        <v>67</v>
      </c>
      <c r="C104" s="17" t="n">
        <v>12</v>
      </c>
      <c r="D104" s="17" t="s">
        <v>81</v>
      </c>
      <c r="E104" s="17" t="n">
        <v>12</v>
      </c>
      <c r="F104" s="17" t="n">
        <v>0</v>
      </c>
      <c r="G104" s="17" t="s">
        <v>243</v>
      </c>
    </row>
    <row r="105" customFormat="false" ht="15" hidden="false" customHeight="false" outlineLevel="0" collapsed="false">
      <c r="A105" s="17" t="s">
        <v>102</v>
      </c>
      <c r="B105" s="17" t="s">
        <v>67</v>
      </c>
      <c r="C105" s="17" t="n">
        <v>12</v>
      </c>
      <c r="D105" s="17" t="s">
        <v>91</v>
      </c>
      <c r="E105" s="17" t="n">
        <v>12</v>
      </c>
      <c r="F105" s="17" t="n">
        <v>0</v>
      </c>
      <c r="G105" s="17" t="s">
        <v>243</v>
      </c>
    </row>
    <row r="106" customFormat="false" ht="15" hidden="false" customHeight="false" outlineLevel="0" collapsed="false">
      <c r="A106" s="17" t="s">
        <v>102</v>
      </c>
      <c r="B106" s="17" t="s">
        <v>69</v>
      </c>
      <c r="C106" s="17" t="n">
        <v>29</v>
      </c>
      <c r="D106" s="17" t="s">
        <v>83</v>
      </c>
      <c r="E106" s="17" t="n">
        <v>29</v>
      </c>
      <c r="F106" s="17" t="n">
        <v>0</v>
      </c>
      <c r="G106" s="17" t="s">
        <v>243</v>
      </c>
    </row>
    <row r="107" customFormat="false" ht="15" hidden="false" customHeight="false" outlineLevel="0" collapsed="false">
      <c r="A107" s="17" t="s">
        <v>102</v>
      </c>
      <c r="B107" s="17" t="s">
        <v>71</v>
      </c>
      <c r="C107" s="17" t="n">
        <v>20</v>
      </c>
      <c r="D107" s="17" t="s">
        <v>73</v>
      </c>
      <c r="E107" s="17" t="n">
        <v>21</v>
      </c>
      <c r="F107" s="17" t="n">
        <v>1</v>
      </c>
      <c r="G107" s="17"/>
    </row>
    <row r="108" customFormat="false" ht="15" hidden="false" customHeight="false" outlineLevel="0" collapsed="false">
      <c r="A108" s="17" t="s">
        <v>102</v>
      </c>
      <c r="B108" s="17" t="s">
        <v>71</v>
      </c>
      <c r="C108" s="17" t="n">
        <v>20</v>
      </c>
      <c r="D108" s="17" t="s">
        <v>89</v>
      </c>
      <c r="E108" s="17" t="n">
        <v>20</v>
      </c>
      <c r="F108" s="17" t="n">
        <v>0</v>
      </c>
      <c r="G108" s="17" t="s">
        <v>243</v>
      </c>
    </row>
    <row r="109" customFormat="false" ht="15" hidden="false" customHeight="false" outlineLevel="0" collapsed="false">
      <c r="A109" s="17" t="s">
        <v>102</v>
      </c>
      <c r="B109" s="17" t="s">
        <v>73</v>
      </c>
      <c r="C109" s="17" t="n">
        <v>21</v>
      </c>
      <c r="D109" s="17" t="s">
        <v>89</v>
      </c>
      <c r="E109" s="17" t="n">
        <v>20</v>
      </c>
      <c r="F109" s="17" t="n">
        <v>1</v>
      </c>
      <c r="G109" s="17"/>
    </row>
    <row r="110" customFormat="false" ht="15" hidden="false" customHeight="false" outlineLevel="0" collapsed="false">
      <c r="A110" s="17" t="s">
        <v>102</v>
      </c>
      <c r="B110" s="17" t="s">
        <v>75</v>
      </c>
      <c r="C110" s="17" t="n">
        <v>40</v>
      </c>
      <c r="D110" s="17" t="s">
        <v>87</v>
      </c>
      <c r="E110" s="17" t="n">
        <v>39</v>
      </c>
      <c r="F110" s="17" t="n">
        <v>1</v>
      </c>
      <c r="G110" s="17"/>
    </row>
    <row r="111" customFormat="false" ht="15" hidden="false" customHeight="false" outlineLevel="0" collapsed="false">
      <c r="A111" s="17" t="s">
        <v>102</v>
      </c>
      <c r="B111" s="17" t="s">
        <v>79</v>
      </c>
      <c r="C111" s="17" t="n">
        <v>25</v>
      </c>
      <c r="D111" s="17" t="s">
        <v>95</v>
      </c>
      <c r="E111" s="17" t="n">
        <v>25</v>
      </c>
      <c r="F111" s="17" t="n">
        <v>0</v>
      </c>
      <c r="G111" s="17" t="s">
        <v>243</v>
      </c>
    </row>
    <row r="112" customFormat="false" ht="15" hidden="false" customHeight="false" outlineLevel="0" collapsed="false">
      <c r="A112" s="17" t="s">
        <v>102</v>
      </c>
      <c r="B112" s="17" t="s">
        <v>81</v>
      </c>
      <c r="C112" s="17" t="n">
        <v>12</v>
      </c>
      <c r="D112" s="17" t="s">
        <v>91</v>
      </c>
      <c r="E112" s="17" t="n">
        <v>12</v>
      </c>
      <c r="F112" s="17" t="n">
        <v>0</v>
      </c>
      <c r="G112" s="17" t="s">
        <v>243</v>
      </c>
    </row>
    <row r="113" customFormat="false" ht="15" hidden="false" customHeight="false" outlineLevel="0" collapsed="false">
      <c r="A113" s="17" t="s">
        <v>103</v>
      </c>
      <c r="B113" s="17" t="s">
        <v>25</v>
      </c>
      <c r="C113" s="17" t="n">
        <v>13</v>
      </c>
      <c r="D113" s="17" t="s">
        <v>59</v>
      </c>
      <c r="E113" s="17" t="n">
        <v>13</v>
      </c>
      <c r="F113" s="17" t="n">
        <v>0</v>
      </c>
      <c r="G113" s="17" t="s">
        <v>243</v>
      </c>
    </row>
    <row r="114" customFormat="false" ht="15" hidden="false" customHeight="false" outlineLevel="0" collapsed="false">
      <c r="A114" s="17" t="s">
        <v>103</v>
      </c>
      <c r="B114" s="17" t="s">
        <v>25</v>
      </c>
      <c r="C114" s="17" t="n">
        <v>13</v>
      </c>
      <c r="D114" s="17" t="s">
        <v>63</v>
      </c>
      <c r="E114" s="17" t="n">
        <v>13</v>
      </c>
      <c r="F114" s="17" t="n">
        <v>0</v>
      </c>
      <c r="G114" s="17" t="s">
        <v>243</v>
      </c>
    </row>
    <row r="115" customFormat="false" ht="15" hidden="false" customHeight="false" outlineLevel="0" collapsed="false">
      <c r="A115" s="17" t="s">
        <v>103</v>
      </c>
      <c r="B115" s="17" t="s">
        <v>25</v>
      </c>
      <c r="C115" s="17" t="n">
        <v>13</v>
      </c>
      <c r="D115" s="17" t="s">
        <v>73</v>
      </c>
      <c r="E115" s="17" t="n">
        <v>14</v>
      </c>
      <c r="F115" s="17" t="n">
        <v>1</v>
      </c>
      <c r="G115" s="17"/>
    </row>
    <row r="116" customFormat="false" ht="15" hidden="false" customHeight="false" outlineLevel="0" collapsed="false">
      <c r="A116" s="17" t="s">
        <v>103</v>
      </c>
      <c r="B116" s="17" t="s">
        <v>25</v>
      </c>
      <c r="C116" s="17" t="n">
        <v>13</v>
      </c>
      <c r="D116" s="17" t="s">
        <v>83</v>
      </c>
      <c r="E116" s="17" t="n">
        <v>12</v>
      </c>
      <c r="F116" s="17" t="n">
        <v>1</v>
      </c>
      <c r="G116" s="17"/>
    </row>
    <row r="117" customFormat="false" ht="15" hidden="false" customHeight="false" outlineLevel="0" collapsed="false">
      <c r="A117" s="17" t="s">
        <v>103</v>
      </c>
      <c r="B117" s="17" t="s">
        <v>28</v>
      </c>
      <c r="C117" s="17" t="n">
        <v>2</v>
      </c>
      <c r="D117" s="17" t="s">
        <v>31</v>
      </c>
      <c r="E117" s="17" t="n">
        <v>3</v>
      </c>
      <c r="F117" s="17" t="n">
        <v>1</v>
      </c>
      <c r="G117" s="17"/>
    </row>
    <row r="118" customFormat="false" ht="15" hidden="false" customHeight="false" outlineLevel="0" collapsed="false">
      <c r="A118" s="17" t="s">
        <v>103</v>
      </c>
      <c r="B118" s="17" t="s">
        <v>28</v>
      </c>
      <c r="C118" s="17" t="n">
        <v>2</v>
      </c>
      <c r="D118" s="17" t="s">
        <v>37</v>
      </c>
      <c r="E118" s="17" t="n">
        <v>2</v>
      </c>
      <c r="F118" s="17" t="n">
        <v>0</v>
      </c>
      <c r="G118" s="17" t="s">
        <v>243</v>
      </c>
    </row>
    <row r="119" customFormat="false" ht="15" hidden="false" customHeight="false" outlineLevel="0" collapsed="false">
      <c r="A119" s="17" t="s">
        <v>103</v>
      </c>
      <c r="B119" s="17" t="s">
        <v>28</v>
      </c>
      <c r="C119" s="17" t="n">
        <v>2</v>
      </c>
      <c r="D119" s="17" t="s">
        <v>42</v>
      </c>
      <c r="E119" s="17" t="n">
        <v>2</v>
      </c>
      <c r="F119" s="17" t="n">
        <v>0</v>
      </c>
      <c r="G119" s="17" t="s">
        <v>243</v>
      </c>
    </row>
    <row r="120" customFormat="false" ht="15" hidden="false" customHeight="false" outlineLevel="0" collapsed="false">
      <c r="A120" s="17" t="s">
        <v>103</v>
      </c>
      <c r="B120" s="17" t="s">
        <v>28</v>
      </c>
      <c r="C120" s="17" t="n">
        <v>2</v>
      </c>
      <c r="D120" s="17" t="s">
        <v>56</v>
      </c>
      <c r="E120" s="17" t="n">
        <v>1</v>
      </c>
      <c r="F120" s="17" t="n">
        <v>1</v>
      </c>
      <c r="G120" s="17"/>
    </row>
    <row r="121" customFormat="false" ht="15" hidden="false" customHeight="false" outlineLevel="0" collapsed="false">
      <c r="A121" s="17" t="s">
        <v>103</v>
      </c>
      <c r="B121" s="17" t="s">
        <v>28</v>
      </c>
      <c r="C121" s="17" t="n">
        <v>2</v>
      </c>
      <c r="D121" s="17" t="s">
        <v>61</v>
      </c>
      <c r="E121" s="17" t="n">
        <v>1</v>
      </c>
      <c r="F121" s="17" t="n">
        <v>1</v>
      </c>
      <c r="G121" s="17"/>
    </row>
    <row r="122" customFormat="false" ht="15" hidden="false" customHeight="false" outlineLevel="0" collapsed="false">
      <c r="A122" s="17" t="s">
        <v>103</v>
      </c>
      <c r="B122" s="17" t="s">
        <v>31</v>
      </c>
      <c r="C122" s="17" t="n">
        <v>3</v>
      </c>
      <c r="D122" s="17" t="s">
        <v>37</v>
      </c>
      <c r="E122" s="17" t="n">
        <v>2</v>
      </c>
      <c r="F122" s="17" t="n">
        <v>1</v>
      </c>
      <c r="G122" s="17"/>
    </row>
    <row r="123" customFormat="false" ht="15" hidden="false" customHeight="false" outlineLevel="0" collapsed="false">
      <c r="A123" s="17" t="s">
        <v>103</v>
      </c>
      <c r="B123" s="17" t="s">
        <v>31</v>
      </c>
      <c r="C123" s="17" t="n">
        <v>3</v>
      </c>
      <c r="D123" s="17" t="s">
        <v>42</v>
      </c>
      <c r="E123" s="17" t="n">
        <v>2</v>
      </c>
      <c r="F123" s="17" t="n">
        <v>1</v>
      </c>
      <c r="G123" s="17"/>
    </row>
    <row r="124" customFormat="false" ht="15" hidden="false" customHeight="false" outlineLevel="0" collapsed="false">
      <c r="A124" s="17" t="s">
        <v>103</v>
      </c>
      <c r="B124" s="17" t="s">
        <v>34</v>
      </c>
      <c r="C124" s="17" t="n">
        <v>9</v>
      </c>
      <c r="D124" s="17" t="s">
        <v>49</v>
      </c>
      <c r="E124" s="17" t="n">
        <v>9</v>
      </c>
      <c r="F124" s="17" t="n">
        <v>0</v>
      </c>
      <c r="G124" s="17" t="s">
        <v>243</v>
      </c>
    </row>
    <row r="125" customFormat="false" ht="15" hidden="false" customHeight="false" outlineLevel="0" collapsed="false">
      <c r="A125" s="17" t="s">
        <v>103</v>
      </c>
      <c r="B125" s="17" t="s">
        <v>34</v>
      </c>
      <c r="C125" s="17" t="n">
        <v>9</v>
      </c>
      <c r="D125" s="17" t="s">
        <v>71</v>
      </c>
      <c r="E125" s="17" t="n">
        <v>10</v>
      </c>
      <c r="F125" s="17" t="n">
        <v>1</v>
      </c>
      <c r="G125" s="17"/>
    </row>
    <row r="126" customFormat="false" ht="15" hidden="false" customHeight="false" outlineLevel="0" collapsed="false">
      <c r="A126" s="17" t="s">
        <v>103</v>
      </c>
      <c r="B126" s="17" t="s">
        <v>34</v>
      </c>
      <c r="C126" s="17" t="n">
        <v>9</v>
      </c>
      <c r="D126" s="17" t="s">
        <v>81</v>
      </c>
      <c r="E126" s="17" t="n">
        <v>8</v>
      </c>
      <c r="F126" s="17" t="n">
        <v>1</v>
      </c>
      <c r="G126" s="17"/>
    </row>
    <row r="127" customFormat="false" ht="15" hidden="false" customHeight="false" outlineLevel="0" collapsed="false">
      <c r="A127" s="17" t="s">
        <v>103</v>
      </c>
      <c r="B127" s="17" t="s">
        <v>37</v>
      </c>
      <c r="C127" s="17" t="n">
        <v>2</v>
      </c>
      <c r="D127" s="17" t="s">
        <v>42</v>
      </c>
      <c r="E127" s="17" t="n">
        <v>2</v>
      </c>
      <c r="F127" s="17" t="n">
        <v>0</v>
      </c>
      <c r="G127" s="17" t="s">
        <v>243</v>
      </c>
    </row>
    <row r="128" customFormat="false" ht="15" hidden="false" customHeight="false" outlineLevel="0" collapsed="false">
      <c r="A128" s="17" t="s">
        <v>103</v>
      </c>
      <c r="B128" s="17" t="s">
        <v>37</v>
      </c>
      <c r="C128" s="17" t="n">
        <v>2</v>
      </c>
      <c r="D128" s="17" t="s">
        <v>56</v>
      </c>
      <c r="E128" s="17" t="n">
        <v>1</v>
      </c>
      <c r="F128" s="17" t="n">
        <v>1</v>
      </c>
      <c r="G128" s="17"/>
    </row>
    <row r="129" customFormat="false" ht="15" hidden="false" customHeight="false" outlineLevel="0" collapsed="false">
      <c r="A129" s="17" t="s">
        <v>103</v>
      </c>
      <c r="B129" s="17" t="s">
        <v>37</v>
      </c>
      <c r="C129" s="17" t="n">
        <v>2</v>
      </c>
      <c r="D129" s="17" t="s">
        <v>61</v>
      </c>
      <c r="E129" s="17" t="n">
        <v>1</v>
      </c>
      <c r="F129" s="17" t="n">
        <v>1</v>
      </c>
      <c r="G129" s="17"/>
    </row>
    <row r="130" customFormat="false" ht="15" hidden="false" customHeight="false" outlineLevel="0" collapsed="false">
      <c r="A130" s="17" t="s">
        <v>103</v>
      </c>
      <c r="B130" s="17" t="s">
        <v>42</v>
      </c>
      <c r="C130" s="17" t="n">
        <v>2</v>
      </c>
      <c r="D130" s="17" t="s">
        <v>56</v>
      </c>
      <c r="E130" s="17" t="n">
        <v>1</v>
      </c>
      <c r="F130" s="17" t="n">
        <v>1</v>
      </c>
      <c r="G130" s="17"/>
    </row>
    <row r="131" customFormat="false" ht="15" hidden="false" customHeight="false" outlineLevel="0" collapsed="false">
      <c r="A131" s="17" t="s">
        <v>103</v>
      </c>
      <c r="B131" s="17" t="s">
        <v>42</v>
      </c>
      <c r="C131" s="17" t="n">
        <v>2</v>
      </c>
      <c r="D131" s="17" t="s">
        <v>61</v>
      </c>
      <c r="E131" s="17" t="n">
        <v>1</v>
      </c>
      <c r="F131" s="17" t="n">
        <v>1</v>
      </c>
      <c r="G131" s="17"/>
    </row>
    <row r="132" customFormat="false" ht="15" hidden="false" customHeight="false" outlineLevel="0" collapsed="false">
      <c r="A132" s="17" t="s">
        <v>103</v>
      </c>
      <c r="B132" s="17" t="s">
        <v>44</v>
      </c>
      <c r="C132" s="17" t="n">
        <v>16</v>
      </c>
      <c r="D132" s="17" t="s">
        <v>52</v>
      </c>
      <c r="E132" s="17" t="n">
        <v>16</v>
      </c>
      <c r="F132" s="17" t="n">
        <v>0</v>
      </c>
      <c r="G132" s="17" t="s">
        <v>243</v>
      </c>
    </row>
    <row r="133" customFormat="false" ht="15" hidden="false" customHeight="false" outlineLevel="0" collapsed="false">
      <c r="A133" s="17" t="s">
        <v>103</v>
      </c>
      <c r="B133" s="17" t="s">
        <v>44</v>
      </c>
      <c r="C133" s="17" t="n">
        <v>16</v>
      </c>
      <c r="D133" s="17" t="s">
        <v>69</v>
      </c>
      <c r="E133" s="17" t="n">
        <v>16</v>
      </c>
      <c r="F133" s="17" t="n">
        <v>0</v>
      </c>
      <c r="G133" s="17" t="s">
        <v>243</v>
      </c>
    </row>
    <row r="134" customFormat="false" ht="15" hidden="false" customHeight="false" outlineLevel="0" collapsed="false">
      <c r="A134" s="17" t="s">
        <v>103</v>
      </c>
      <c r="B134" s="17" t="s">
        <v>44</v>
      </c>
      <c r="C134" s="17" t="n">
        <v>16</v>
      </c>
      <c r="D134" s="17" t="s">
        <v>87</v>
      </c>
      <c r="E134" s="17" t="n">
        <v>16</v>
      </c>
      <c r="F134" s="17" t="n">
        <v>0</v>
      </c>
      <c r="G134" s="17" t="s">
        <v>243</v>
      </c>
    </row>
    <row r="135" customFormat="false" ht="15" hidden="false" customHeight="false" outlineLevel="0" collapsed="false">
      <c r="A135" s="17" t="s">
        <v>103</v>
      </c>
      <c r="B135" s="17" t="s">
        <v>44</v>
      </c>
      <c r="C135" s="17" t="n">
        <v>16</v>
      </c>
      <c r="D135" s="17" t="s">
        <v>95</v>
      </c>
      <c r="E135" s="17" t="n">
        <v>17</v>
      </c>
      <c r="F135" s="17" t="n">
        <v>1</v>
      </c>
      <c r="G135" s="17"/>
    </row>
    <row r="136" customFormat="false" ht="15" hidden="false" customHeight="false" outlineLevel="0" collapsed="false">
      <c r="A136" s="17" t="s">
        <v>103</v>
      </c>
      <c r="B136" s="17" t="s">
        <v>46</v>
      </c>
      <c r="C136" s="17" t="n">
        <v>21</v>
      </c>
      <c r="D136" s="17" t="s">
        <v>79</v>
      </c>
      <c r="E136" s="17" t="n">
        <v>21</v>
      </c>
      <c r="F136" s="17" t="n">
        <v>0</v>
      </c>
      <c r="G136" s="17" t="s">
        <v>243</v>
      </c>
    </row>
    <row r="137" customFormat="false" ht="15" hidden="false" customHeight="false" outlineLevel="0" collapsed="false">
      <c r="A137" s="17" t="s">
        <v>103</v>
      </c>
      <c r="B137" s="17" t="s">
        <v>49</v>
      </c>
      <c r="C137" s="17" t="n">
        <v>9</v>
      </c>
      <c r="D137" s="17" t="s">
        <v>71</v>
      </c>
      <c r="E137" s="17" t="n">
        <v>10</v>
      </c>
      <c r="F137" s="17" t="n">
        <v>1</v>
      </c>
      <c r="G137" s="17"/>
    </row>
    <row r="138" customFormat="false" ht="15" hidden="false" customHeight="false" outlineLevel="0" collapsed="false">
      <c r="A138" s="17" t="s">
        <v>103</v>
      </c>
      <c r="B138" s="17" t="s">
        <v>49</v>
      </c>
      <c r="C138" s="17" t="n">
        <v>9</v>
      </c>
      <c r="D138" s="17" t="s">
        <v>81</v>
      </c>
      <c r="E138" s="17" t="n">
        <v>8</v>
      </c>
      <c r="F138" s="17" t="n">
        <v>1</v>
      </c>
      <c r="G138" s="17"/>
    </row>
    <row r="139" customFormat="false" ht="15" hidden="false" customHeight="false" outlineLevel="0" collapsed="false">
      <c r="A139" s="17" t="s">
        <v>103</v>
      </c>
      <c r="B139" s="17" t="s">
        <v>52</v>
      </c>
      <c r="C139" s="17" t="n">
        <v>16</v>
      </c>
      <c r="D139" s="17" t="s">
        <v>69</v>
      </c>
      <c r="E139" s="17" t="n">
        <v>16</v>
      </c>
      <c r="F139" s="17" t="n">
        <v>0</v>
      </c>
      <c r="G139" s="17" t="s">
        <v>243</v>
      </c>
    </row>
    <row r="140" customFormat="false" ht="15" hidden="false" customHeight="false" outlineLevel="0" collapsed="false">
      <c r="A140" s="17" t="s">
        <v>103</v>
      </c>
      <c r="B140" s="17" t="s">
        <v>52</v>
      </c>
      <c r="C140" s="17" t="n">
        <v>16</v>
      </c>
      <c r="D140" s="17" t="s">
        <v>87</v>
      </c>
      <c r="E140" s="17" t="n">
        <v>16</v>
      </c>
      <c r="F140" s="17" t="n">
        <v>0</v>
      </c>
      <c r="G140" s="17" t="s">
        <v>243</v>
      </c>
    </row>
    <row r="141" customFormat="false" ht="15" hidden="false" customHeight="false" outlineLevel="0" collapsed="false">
      <c r="A141" s="17" t="s">
        <v>103</v>
      </c>
      <c r="B141" s="17" t="s">
        <v>52</v>
      </c>
      <c r="C141" s="17" t="n">
        <v>16</v>
      </c>
      <c r="D141" s="17" t="s">
        <v>95</v>
      </c>
      <c r="E141" s="17" t="n">
        <v>17</v>
      </c>
      <c r="F141" s="17" t="n">
        <v>1</v>
      </c>
      <c r="G141" s="17"/>
    </row>
    <row r="142" customFormat="false" ht="15" hidden="false" customHeight="false" outlineLevel="0" collapsed="false">
      <c r="A142" s="17" t="s">
        <v>103</v>
      </c>
      <c r="B142" s="17" t="s">
        <v>54</v>
      </c>
      <c r="C142" s="17" t="n">
        <v>27</v>
      </c>
      <c r="D142" s="17" t="s">
        <v>85</v>
      </c>
      <c r="E142" s="17" t="n">
        <v>26</v>
      </c>
      <c r="F142" s="17" t="n">
        <v>1</v>
      </c>
      <c r="G142" s="17"/>
    </row>
    <row r="143" customFormat="false" ht="15" hidden="false" customHeight="false" outlineLevel="0" collapsed="false">
      <c r="A143" s="17" t="s">
        <v>103</v>
      </c>
      <c r="B143" s="17" t="s">
        <v>56</v>
      </c>
      <c r="C143" s="17" t="n">
        <v>1</v>
      </c>
      <c r="D143" s="17" t="s">
        <v>61</v>
      </c>
      <c r="E143" s="17" t="n">
        <v>1</v>
      </c>
      <c r="F143" s="17" t="n">
        <v>0</v>
      </c>
      <c r="G143" s="17" t="s">
        <v>243</v>
      </c>
    </row>
    <row r="144" customFormat="false" ht="15" hidden="false" customHeight="false" outlineLevel="0" collapsed="false">
      <c r="A144" s="17" t="s">
        <v>103</v>
      </c>
      <c r="B144" s="17" t="s">
        <v>59</v>
      </c>
      <c r="C144" s="17" t="n">
        <v>13</v>
      </c>
      <c r="D144" s="17" t="s">
        <v>63</v>
      </c>
      <c r="E144" s="17" t="n">
        <v>13</v>
      </c>
      <c r="F144" s="17" t="n">
        <v>0</v>
      </c>
      <c r="G144" s="17" t="s">
        <v>243</v>
      </c>
    </row>
    <row r="145" customFormat="false" ht="15" hidden="false" customHeight="false" outlineLevel="0" collapsed="false">
      <c r="A145" s="17" t="s">
        <v>103</v>
      </c>
      <c r="B145" s="17" t="s">
        <v>59</v>
      </c>
      <c r="C145" s="17" t="n">
        <v>13</v>
      </c>
      <c r="D145" s="17" t="s">
        <v>73</v>
      </c>
      <c r="E145" s="17" t="n">
        <v>14</v>
      </c>
      <c r="F145" s="17" t="n">
        <v>1</v>
      </c>
      <c r="G145" s="17"/>
    </row>
    <row r="146" customFormat="false" ht="15" hidden="false" customHeight="false" outlineLevel="0" collapsed="false">
      <c r="A146" s="17" t="s">
        <v>103</v>
      </c>
      <c r="B146" s="17" t="s">
        <v>59</v>
      </c>
      <c r="C146" s="17" t="n">
        <v>13</v>
      </c>
      <c r="D146" s="17" t="s">
        <v>83</v>
      </c>
      <c r="E146" s="17" t="n">
        <v>12</v>
      </c>
      <c r="F146" s="17" t="n">
        <v>1</v>
      </c>
      <c r="G146" s="17"/>
    </row>
    <row r="147" customFormat="false" ht="15" hidden="false" customHeight="false" outlineLevel="0" collapsed="false">
      <c r="A147" s="17" t="s">
        <v>103</v>
      </c>
      <c r="B147" s="17" t="s">
        <v>63</v>
      </c>
      <c r="C147" s="17" t="n">
        <v>13</v>
      </c>
      <c r="D147" s="17" t="s">
        <v>73</v>
      </c>
      <c r="E147" s="17" t="n">
        <v>14</v>
      </c>
      <c r="F147" s="17" t="n">
        <v>1</v>
      </c>
      <c r="G147" s="17"/>
    </row>
    <row r="148" customFormat="false" ht="15" hidden="false" customHeight="false" outlineLevel="0" collapsed="false">
      <c r="A148" s="17" t="s">
        <v>103</v>
      </c>
      <c r="B148" s="17" t="s">
        <v>63</v>
      </c>
      <c r="C148" s="17" t="n">
        <v>13</v>
      </c>
      <c r="D148" s="17" t="s">
        <v>83</v>
      </c>
      <c r="E148" s="17" t="n">
        <v>12</v>
      </c>
      <c r="F148" s="17" t="n">
        <v>1</v>
      </c>
      <c r="G148" s="17"/>
    </row>
    <row r="149" customFormat="false" ht="15" hidden="false" customHeight="false" outlineLevel="0" collapsed="false">
      <c r="A149" s="17" t="s">
        <v>103</v>
      </c>
      <c r="B149" s="17" t="s">
        <v>65</v>
      </c>
      <c r="C149" s="17" t="n">
        <v>18</v>
      </c>
      <c r="D149" s="17" t="s">
        <v>95</v>
      </c>
      <c r="E149" s="17" t="n">
        <v>17</v>
      </c>
      <c r="F149" s="17" t="n">
        <v>1</v>
      </c>
      <c r="G149" s="17"/>
    </row>
    <row r="150" customFormat="false" ht="15" hidden="false" customHeight="false" outlineLevel="0" collapsed="false">
      <c r="A150" s="17" t="s">
        <v>103</v>
      </c>
      <c r="B150" s="17" t="s">
        <v>67</v>
      </c>
      <c r="C150" s="17" t="n">
        <v>11</v>
      </c>
      <c r="D150" s="17" t="s">
        <v>71</v>
      </c>
      <c r="E150" s="17" t="n">
        <v>10</v>
      </c>
      <c r="F150" s="17" t="n">
        <v>1</v>
      </c>
      <c r="G150" s="17"/>
    </row>
    <row r="151" customFormat="false" ht="15" hidden="false" customHeight="false" outlineLevel="0" collapsed="false">
      <c r="A151" s="17" t="s">
        <v>103</v>
      </c>
      <c r="B151" s="17" t="s">
        <v>67</v>
      </c>
      <c r="C151" s="17" t="n">
        <v>11</v>
      </c>
      <c r="D151" s="17" t="s">
        <v>83</v>
      </c>
      <c r="E151" s="17" t="n">
        <v>12</v>
      </c>
      <c r="F151" s="17" t="n">
        <v>1</v>
      </c>
      <c r="G151" s="17"/>
    </row>
    <row r="152" customFormat="false" ht="15" hidden="false" customHeight="false" outlineLevel="0" collapsed="false">
      <c r="A152" s="17" t="s">
        <v>103</v>
      </c>
      <c r="B152" s="17" t="s">
        <v>69</v>
      </c>
      <c r="C152" s="17" t="n">
        <v>16</v>
      </c>
      <c r="D152" s="17" t="s">
        <v>87</v>
      </c>
      <c r="E152" s="17" t="n">
        <v>16</v>
      </c>
      <c r="F152" s="17" t="n">
        <v>0</v>
      </c>
      <c r="G152" s="17" t="s">
        <v>243</v>
      </c>
    </row>
    <row r="153" customFormat="false" ht="15" hidden="false" customHeight="false" outlineLevel="0" collapsed="false">
      <c r="A153" s="17" t="s">
        <v>103</v>
      </c>
      <c r="B153" s="17" t="s">
        <v>69</v>
      </c>
      <c r="C153" s="17" t="n">
        <v>16</v>
      </c>
      <c r="D153" s="17" t="s">
        <v>95</v>
      </c>
      <c r="E153" s="17" t="n">
        <v>17</v>
      </c>
      <c r="F153" s="17" t="n">
        <v>1</v>
      </c>
      <c r="G153" s="17"/>
    </row>
    <row r="154" customFormat="false" ht="15" hidden="false" customHeight="false" outlineLevel="0" collapsed="false">
      <c r="A154" s="17" t="s">
        <v>103</v>
      </c>
      <c r="B154" s="17" t="s">
        <v>75</v>
      </c>
      <c r="C154" s="17" t="n">
        <v>6</v>
      </c>
      <c r="D154" s="17" t="s">
        <v>77</v>
      </c>
      <c r="E154" s="17" t="n">
        <v>5</v>
      </c>
      <c r="F154" s="17" t="n">
        <v>1</v>
      </c>
      <c r="G154" s="17"/>
    </row>
    <row r="155" customFormat="false" ht="15" hidden="false" customHeight="false" outlineLevel="0" collapsed="false">
      <c r="A155" s="17" t="s">
        <v>103</v>
      </c>
      <c r="B155" s="17" t="s">
        <v>75</v>
      </c>
      <c r="C155" s="17" t="n">
        <v>6</v>
      </c>
      <c r="D155" s="17" t="s">
        <v>89</v>
      </c>
      <c r="E155" s="17" t="n">
        <v>5</v>
      </c>
      <c r="F155" s="17" t="n">
        <v>1</v>
      </c>
      <c r="G155" s="17"/>
    </row>
    <row r="156" customFormat="false" ht="15" hidden="false" customHeight="false" outlineLevel="0" collapsed="false">
      <c r="A156" s="17" t="s">
        <v>103</v>
      </c>
      <c r="B156" s="17" t="s">
        <v>75</v>
      </c>
      <c r="C156" s="17" t="n">
        <v>6</v>
      </c>
      <c r="D156" s="17" t="s">
        <v>91</v>
      </c>
      <c r="E156" s="17" t="n">
        <v>5</v>
      </c>
      <c r="F156" s="17" t="n">
        <v>1</v>
      </c>
      <c r="G156" s="17"/>
    </row>
    <row r="157" customFormat="false" ht="15" hidden="false" customHeight="false" outlineLevel="0" collapsed="false">
      <c r="A157" s="17" t="s">
        <v>103</v>
      </c>
      <c r="B157" s="17" t="s">
        <v>75</v>
      </c>
      <c r="C157" s="17" t="n">
        <v>6</v>
      </c>
      <c r="D157" s="17" t="s">
        <v>93</v>
      </c>
      <c r="E157" s="17" t="n">
        <v>7</v>
      </c>
      <c r="F157" s="17" t="n">
        <v>1</v>
      </c>
      <c r="G157" s="17"/>
    </row>
    <row r="158" customFormat="false" ht="15" hidden="false" customHeight="false" outlineLevel="0" collapsed="false">
      <c r="A158" s="17" t="s">
        <v>103</v>
      </c>
      <c r="B158" s="17" t="s">
        <v>77</v>
      </c>
      <c r="C158" s="17" t="n">
        <v>5</v>
      </c>
      <c r="D158" s="17" t="s">
        <v>89</v>
      </c>
      <c r="E158" s="17" t="n">
        <v>5</v>
      </c>
      <c r="F158" s="17" t="n">
        <v>0</v>
      </c>
      <c r="G158" s="17" t="s">
        <v>243</v>
      </c>
    </row>
    <row r="159" customFormat="false" ht="15" hidden="false" customHeight="false" outlineLevel="0" collapsed="false">
      <c r="A159" s="17" t="s">
        <v>103</v>
      </c>
      <c r="B159" s="17" t="s">
        <v>77</v>
      </c>
      <c r="C159" s="17" t="n">
        <v>5</v>
      </c>
      <c r="D159" s="17" t="s">
        <v>91</v>
      </c>
      <c r="E159" s="17" t="n">
        <v>5</v>
      </c>
      <c r="F159" s="17" t="n">
        <v>0</v>
      </c>
      <c r="G159" s="17" t="s">
        <v>243</v>
      </c>
    </row>
    <row r="160" customFormat="false" ht="15" hidden="false" customHeight="false" outlineLevel="0" collapsed="false">
      <c r="A160" s="17" t="s">
        <v>103</v>
      </c>
      <c r="B160" s="17" t="s">
        <v>81</v>
      </c>
      <c r="C160" s="17" t="n">
        <v>8</v>
      </c>
      <c r="D160" s="17" t="s">
        <v>93</v>
      </c>
      <c r="E160" s="17" t="n">
        <v>7</v>
      </c>
      <c r="F160" s="17" t="n">
        <v>1</v>
      </c>
      <c r="G160" s="17"/>
    </row>
    <row r="161" customFormat="false" ht="15" hidden="false" customHeight="false" outlineLevel="0" collapsed="false">
      <c r="A161" s="17" t="s">
        <v>103</v>
      </c>
      <c r="B161" s="17" t="s">
        <v>87</v>
      </c>
      <c r="C161" s="17" t="n">
        <v>16</v>
      </c>
      <c r="D161" s="17" t="s">
        <v>95</v>
      </c>
      <c r="E161" s="17" t="n">
        <v>17</v>
      </c>
      <c r="F161" s="17" t="n">
        <v>1</v>
      </c>
      <c r="G161" s="17"/>
    </row>
    <row r="162" customFormat="false" ht="15" hidden="false" customHeight="false" outlineLevel="0" collapsed="false">
      <c r="A162" s="17" t="s">
        <v>103</v>
      </c>
      <c r="B162" s="17" t="s">
        <v>89</v>
      </c>
      <c r="C162" s="17" t="n">
        <v>5</v>
      </c>
      <c r="D162" s="17" t="s">
        <v>91</v>
      </c>
      <c r="E162" s="17" t="n">
        <v>5</v>
      </c>
      <c r="F162" s="17" t="n">
        <v>0</v>
      </c>
      <c r="G162" s="17" t="s">
        <v>243</v>
      </c>
    </row>
    <row r="163" customFormat="false" ht="15" hidden="false" customHeight="false" outlineLevel="0" collapsed="false">
      <c r="A163" s="17" t="s">
        <v>104</v>
      </c>
      <c r="B163" s="17" t="s">
        <v>25</v>
      </c>
      <c r="C163" s="17" t="n">
        <v>0.421</v>
      </c>
      <c r="D163" s="17" t="s">
        <v>61</v>
      </c>
      <c r="E163" s="17" t="n">
        <v>0.429</v>
      </c>
      <c r="F163" s="17" t="n">
        <v>0.008</v>
      </c>
      <c r="G163" s="17"/>
    </row>
    <row r="164" customFormat="false" ht="15" hidden="false" customHeight="false" outlineLevel="0" collapsed="false">
      <c r="A164" s="17" t="s">
        <v>104</v>
      </c>
      <c r="B164" s="17" t="s">
        <v>25</v>
      </c>
      <c r="C164" s="17" t="n">
        <v>0.421</v>
      </c>
      <c r="D164" s="17" t="s">
        <v>91</v>
      </c>
      <c r="E164" s="17" t="n">
        <v>0.412</v>
      </c>
      <c r="F164" s="17" t="n">
        <v>0.009</v>
      </c>
      <c r="G164" s="17"/>
    </row>
    <row r="165" customFormat="false" ht="15" hidden="false" customHeight="false" outlineLevel="0" collapsed="false">
      <c r="A165" s="17" t="s">
        <v>104</v>
      </c>
      <c r="B165" s="17" t="s">
        <v>28</v>
      </c>
      <c r="C165" s="17" t="n">
        <v>0.438</v>
      </c>
      <c r="D165" s="17" t="s">
        <v>61</v>
      </c>
      <c r="E165" s="17" t="n">
        <v>0.429</v>
      </c>
      <c r="F165" s="17" t="n">
        <v>0.009</v>
      </c>
      <c r="G165" s="17"/>
    </row>
    <row r="166" customFormat="false" ht="15" hidden="false" customHeight="false" outlineLevel="0" collapsed="false">
      <c r="A166" s="17" t="s">
        <v>104</v>
      </c>
      <c r="B166" s="17" t="s">
        <v>28</v>
      </c>
      <c r="C166" s="17" t="n">
        <v>0.438</v>
      </c>
      <c r="D166" s="17" t="s">
        <v>81</v>
      </c>
      <c r="E166" s="17" t="n">
        <v>0.433</v>
      </c>
      <c r="F166" s="17" t="n">
        <v>0.005</v>
      </c>
      <c r="G166" s="17"/>
    </row>
    <row r="167" customFormat="false" ht="15" hidden="false" customHeight="false" outlineLevel="0" collapsed="false">
      <c r="A167" s="17" t="s">
        <v>104</v>
      </c>
      <c r="B167" s="17" t="s">
        <v>31</v>
      </c>
      <c r="C167" s="17" t="n">
        <v>0.57</v>
      </c>
      <c r="D167" s="17" t="s">
        <v>46</v>
      </c>
      <c r="E167" s="17" t="n">
        <v>0.571</v>
      </c>
      <c r="F167" s="17" t="n">
        <v>0.001</v>
      </c>
      <c r="G167" s="17"/>
    </row>
    <row r="168" customFormat="false" ht="15" hidden="false" customHeight="false" outlineLevel="0" collapsed="false">
      <c r="A168" s="17" t="s">
        <v>104</v>
      </c>
      <c r="B168" s="17" t="s">
        <v>31</v>
      </c>
      <c r="C168" s="17" t="n">
        <v>0.57</v>
      </c>
      <c r="D168" s="17" t="s">
        <v>54</v>
      </c>
      <c r="E168" s="17" t="n">
        <v>0.571</v>
      </c>
      <c r="F168" s="17" t="n">
        <v>0.001</v>
      </c>
      <c r="G168" s="17"/>
    </row>
    <row r="169" customFormat="false" ht="15" hidden="false" customHeight="false" outlineLevel="0" collapsed="false">
      <c r="A169" s="17" t="s">
        <v>104</v>
      </c>
      <c r="B169" s="17" t="s">
        <v>34</v>
      </c>
      <c r="C169" s="17" t="n">
        <v>0.494</v>
      </c>
      <c r="D169" s="17" t="s">
        <v>44</v>
      </c>
      <c r="E169" s="17" t="n">
        <v>0.503</v>
      </c>
      <c r="F169" s="17" t="n">
        <v>0.009</v>
      </c>
      <c r="G169" s="17"/>
    </row>
    <row r="170" customFormat="false" ht="15" hidden="false" customHeight="false" outlineLevel="0" collapsed="false">
      <c r="A170" s="17" t="s">
        <v>104</v>
      </c>
      <c r="B170" s="17" t="s">
        <v>34</v>
      </c>
      <c r="C170" s="17" t="n">
        <v>0.494</v>
      </c>
      <c r="D170" s="17" t="s">
        <v>67</v>
      </c>
      <c r="E170" s="17" t="n">
        <v>0.502</v>
      </c>
      <c r="F170" s="17" t="n">
        <v>0.008</v>
      </c>
      <c r="G170" s="17"/>
    </row>
    <row r="171" customFormat="false" ht="15" hidden="false" customHeight="false" outlineLevel="0" collapsed="false">
      <c r="A171" s="17" t="s">
        <v>104</v>
      </c>
      <c r="B171" s="17" t="s">
        <v>34</v>
      </c>
      <c r="C171" s="17" t="n">
        <v>0.494</v>
      </c>
      <c r="D171" s="17" t="s">
        <v>83</v>
      </c>
      <c r="E171" s="17" t="n">
        <v>0.502</v>
      </c>
      <c r="F171" s="17" t="n">
        <v>0.008</v>
      </c>
      <c r="G171" s="17"/>
    </row>
    <row r="172" customFormat="false" ht="15" hidden="false" customHeight="false" outlineLevel="0" collapsed="false">
      <c r="A172" s="17" t="s">
        <v>104</v>
      </c>
      <c r="B172" s="17" t="s">
        <v>34</v>
      </c>
      <c r="C172" s="17" t="n">
        <v>0.494</v>
      </c>
      <c r="D172" s="17" t="s">
        <v>95</v>
      </c>
      <c r="E172" s="17" t="n">
        <v>0.495</v>
      </c>
      <c r="F172" s="17" t="n">
        <v>0.001</v>
      </c>
      <c r="G172" s="17"/>
    </row>
    <row r="173" customFormat="false" ht="15" hidden="false" customHeight="false" outlineLevel="0" collapsed="false">
      <c r="A173" s="17" t="s">
        <v>104</v>
      </c>
      <c r="B173" s="17" t="s">
        <v>37</v>
      </c>
      <c r="C173" s="17" t="n">
        <v>0.454</v>
      </c>
      <c r="D173" s="17" t="s">
        <v>42</v>
      </c>
      <c r="E173" s="17" t="n">
        <v>0.455</v>
      </c>
      <c r="F173" s="17" t="n">
        <v>0.001</v>
      </c>
      <c r="G173" s="17"/>
    </row>
    <row r="174" customFormat="false" ht="15" hidden="false" customHeight="false" outlineLevel="0" collapsed="false">
      <c r="A174" s="17" t="s">
        <v>104</v>
      </c>
      <c r="B174" s="17" t="s">
        <v>37</v>
      </c>
      <c r="C174" s="17" t="n">
        <v>0.454</v>
      </c>
      <c r="D174" s="17" t="s">
        <v>52</v>
      </c>
      <c r="E174" s="17" t="n">
        <v>0.463</v>
      </c>
      <c r="F174" s="17" t="n">
        <v>0.009</v>
      </c>
      <c r="G174" s="17"/>
    </row>
    <row r="175" customFormat="false" ht="15" hidden="false" customHeight="false" outlineLevel="0" collapsed="false">
      <c r="A175" s="17" t="s">
        <v>104</v>
      </c>
      <c r="B175" s="17" t="s">
        <v>37</v>
      </c>
      <c r="C175" s="17" t="n">
        <v>0.454</v>
      </c>
      <c r="D175" s="17" t="s">
        <v>56</v>
      </c>
      <c r="E175" s="17" t="n">
        <v>0.449</v>
      </c>
      <c r="F175" s="17" t="n">
        <v>0.005</v>
      </c>
      <c r="G175" s="17"/>
    </row>
    <row r="176" customFormat="false" ht="15" hidden="false" customHeight="false" outlineLevel="0" collapsed="false">
      <c r="A176" s="17" t="s">
        <v>104</v>
      </c>
      <c r="B176" s="17" t="s">
        <v>37</v>
      </c>
      <c r="C176" s="17" t="n">
        <v>0.454</v>
      </c>
      <c r="D176" s="17" t="s">
        <v>77</v>
      </c>
      <c r="E176" s="17" t="n">
        <v>0.463</v>
      </c>
      <c r="F176" s="17" t="n">
        <v>0.009</v>
      </c>
      <c r="G176" s="17"/>
    </row>
    <row r="177" customFormat="false" ht="15" hidden="false" customHeight="false" outlineLevel="0" collapsed="false">
      <c r="A177" s="17" t="s">
        <v>104</v>
      </c>
      <c r="B177" s="17" t="s">
        <v>39</v>
      </c>
      <c r="C177" s="17" t="n">
        <v>0.552</v>
      </c>
      <c r="D177" s="17" t="s">
        <v>63</v>
      </c>
      <c r="E177" s="17" t="n">
        <v>0.55</v>
      </c>
      <c r="F177" s="17" t="n">
        <v>0.002</v>
      </c>
      <c r="G177" s="17"/>
    </row>
    <row r="178" customFormat="false" ht="15" hidden="false" customHeight="false" outlineLevel="0" collapsed="false">
      <c r="A178" s="17" t="s">
        <v>104</v>
      </c>
      <c r="B178" s="17" t="s">
        <v>39</v>
      </c>
      <c r="C178" s="17" t="n">
        <v>0.552</v>
      </c>
      <c r="D178" s="17" t="s">
        <v>71</v>
      </c>
      <c r="E178" s="17" t="n">
        <v>0.55</v>
      </c>
      <c r="F178" s="17" t="n">
        <v>0.002</v>
      </c>
      <c r="G178" s="17"/>
    </row>
    <row r="179" customFormat="false" ht="15" hidden="false" customHeight="false" outlineLevel="0" collapsed="false">
      <c r="A179" s="17" t="s">
        <v>104</v>
      </c>
      <c r="B179" s="17" t="s">
        <v>39</v>
      </c>
      <c r="C179" s="17" t="n">
        <v>0.552</v>
      </c>
      <c r="D179" s="17" t="s">
        <v>73</v>
      </c>
      <c r="E179" s="17" t="n">
        <v>0.55</v>
      </c>
      <c r="F179" s="17" t="n">
        <v>0.002</v>
      </c>
      <c r="G179" s="17"/>
    </row>
    <row r="180" customFormat="false" ht="15" hidden="false" customHeight="false" outlineLevel="0" collapsed="false">
      <c r="A180" s="17" t="s">
        <v>104</v>
      </c>
      <c r="B180" s="17" t="s">
        <v>39</v>
      </c>
      <c r="C180" s="17" t="n">
        <v>0.552</v>
      </c>
      <c r="D180" s="17" t="s">
        <v>75</v>
      </c>
      <c r="E180" s="17" t="n">
        <v>0.554</v>
      </c>
      <c r="F180" s="17" t="n">
        <v>0.002</v>
      </c>
      <c r="G180" s="17"/>
    </row>
    <row r="181" customFormat="false" ht="15" hidden="false" customHeight="false" outlineLevel="0" collapsed="false">
      <c r="A181" s="17" t="s">
        <v>104</v>
      </c>
      <c r="B181" s="17" t="s">
        <v>39</v>
      </c>
      <c r="C181" s="17" t="n">
        <v>0.552</v>
      </c>
      <c r="D181" s="17" t="s">
        <v>87</v>
      </c>
      <c r="E181" s="17" t="n">
        <v>0.547</v>
      </c>
      <c r="F181" s="17" t="n">
        <v>0.005</v>
      </c>
      <c r="G181" s="17"/>
    </row>
    <row r="182" customFormat="false" ht="15" hidden="false" customHeight="false" outlineLevel="0" collapsed="false">
      <c r="A182" s="17" t="s">
        <v>104</v>
      </c>
      <c r="B182" s="17" t="s">
        <v>42</v>
      </c>
      <c r="C182" s="17" t="n">
        <v>0.455</v>
      </c>
      <c r="D182" s="17" t="s">
        <v>52</v>
      </c>
      <c r="E182" s="17" t="n">
        <v>0.463</v>
      </c>
      <c r="F182" s="17" t="n">
        <v>0.008</v>
      </c>
      <c r="G182" s="17"/>
    </row>
    <row r="183" customFormat="false" ht="15" hidden="false" customHeight="false" outlineLevel="0" collapsed="false">
      <c r="A183" s="17" t="s">
        <v>104</v>
      </c>
      <c r="B183" s="17" t="s">
        <v>42</v>
      </c>
      <c r="C183" s="17" t="n">
        <v>0.455</v>
      </c>
      <c r="D183" s="17" t="s">
        <v>56</v>
      </c>
      <c r="E183" s="17" t="n">
        <v>0.449</v>
      </c>
      <c r="F183" s="17" t="n">
        <v>0.006</v>
      </c>
      <c r="G183" s="17"/>
    </row>
    <row r="184" customFormat="false" ht="15" hidden="false" customHeight="false" outlineLevel="0" collapsed="false">
      <c r="A184" s="17" t="s">
        <v>104</v>
      </c>
      <c r="B184" s="17" t="s">
        <v>42</v>
      </c>
      <c r="C184" s="17" t="n">
        <v>0.455</v>
      </c>
      <c r="D184" s="17" t="s">
        <v>77</v>
      </c>
      <c r="E184" s="17" t="n">
        <v>0.463</v>
      </c>
      <c r="F184" s="17" t="n">
        <v>0.008</v>
      </c>
      <c r="G184" s="17"/>
    </row>
    <row r="185" customFormat="false" ht="15" hidden="false" customHeight="false" outlineLevel="0" collapsed="false">
      <c r="A185" s="17" t="s">
        <v>104</v>
      </c>
      <c r="B185" s="17" t="s">
        <v>44</v>
      </c>
      <c r="C185" s="17" t="n">
        <v>0.503</v>
      </c>
      <c r="D185" s="17" t="s">
        <v>65</v>
      </c>
      <c r="E185" s="17" t="n">
        <v>0.509</v>
      </c>
      <c r="F185" s="17" t="n">
        <v>0.006</v>
      </c>
      <c r="G185" s="17"/>
    </row>
    <row r="186" customFormat="false" ht="15" hidden="false" customHeight="false" outlineLevel="0" collapsed="false">
      <c r="A186" s="17" t="s">
        <v>104</v>
      </c>
      <c r="B186" s="17" t="s">
        <v>44</v>
      </c>
      <c r="C186" s="17" t="n">
        <v>0.503</v>
      </c>
      <c r="D186" s="17" t="s">
        <v>67</v>
      </c>
      <c r="E186" s="17" t="n">
        <v>0.502</v>
      </c>
      <c r="F186" s="17" t="n">
        <v>0.001</v>
      </c>
      <c r="G186" s="17"/>
    </row>
    <row r="187" customFormat="false" ht="15" hidden="false" customHeight="false" outlineLevel="0" collapsed="false">
      <c r="A187" s="17" t="s">
        <v>104</v>
      </c>
      <c r="B187" s="17" t="s">
        <v>44</v>
      </c>
      <c r="C187" s="17" t="n">
        <v>0.503</v>
      </c>
      <c r="D187" s="17" t="s">
        <v>69</v>
      </c>
      <c r="E187" s="17" t="n">
        <v>0.51</v>
      </c>
      <c r="F187" s="17" t="n">
        <v>0.007</v>
      </c>
      <c r="G187" s="17"/>
    </row>
    <row r="188" customFormat="false" ht="15" hidden="false" customHeight="false" outlineLevel="0" collapsed="false">
      <c r="A188" s="17" t="s">
        <v>104</v>
      </c>
      <c r="B188" s="17" t="s">
        <v>44</v>
      </c>
      <c r="C188" s="17" t="n">
        <v>0.503</v>
      </c>
      <c r="D188" s="17" t="s">
        <v>83</v>
      </c>
      <c r="E188" s="17" t="n">
        <v>0.502</v>
      </c>
      <c r="F188" s="17" t="n">
        <v>0.001</v>
      </c>
      <c r="G188" s="17"/>
    </row>
    <row r="189" customFormat="false" ht="15" hidden="false" customHeight="false" outlineLevel="0" collapsed="false">
      <c r="A189" s="17" t="s">
        <v>104</v>
      </c>
      <c r="B189" s="17" t="s">
        <v>44</v>
      </c>
      <c r="C189" s="17" t="n">
        <v>0.503</v>
      </c>
      <c r="D189" s="17" t="s">
        <v>95</v>
      </c>
      <c r="E189" s="17" t="n">
        <v>0.495</v>
      </c>
      <c r="F189" s="17" t="n">
        <v>0.008</v>
      </c>
      <c r="G189" s="17"/>
    </row>
    <row r="190" customFormat="false" ht="15" hidden="false" customHeight="false" outlineLevel="0" collapsed="false">
      <c r="A190" s="17" t="s">
        <v>104</v>
      </c>
      <c r="B190" s="17" t="s">
        <v>46</v>
      </c>
      <c r="C190" s="17" t="n">
        <v>0.571</v>
      </c>
      <c r="D190" s="17" t="s">
        <v>54</v>
      </c>
      <c r="E190" s="17" t="n">
        <v>0.571</v>
      </c>
      <c r="F190" s="17" t="n">
        <v>0</v>
      </c>
      <c r="G190" s="17" t="s">
        <v>243</v>
      </c>
    </row>
    <row r="191" customFormat="false" ht="15" hidden="false" customHeight="false" outlineLevel="0" collapsed="false">
      <c r="A191" s="17" t="s">
        <v>104</v>
      </c>
      <c r="B191" s="17" t="s">
        <v>49</v>
      </c>
      <c r="C191" s="17" t="n">
        <v>0.528</v>
      </c>
      <c r="D191" s="17" t="s">
        <v>59</v>
      </c>
      <c r="E191" s="17" t="n">
        <v>0.524</v>
      </c>
      <c r="F191" s="17" t="n">
        <v>0.004</v>
      </c>
      <c r="G191" s="17"/>
    </row>
    <row r="192" customFormat="false" ht="15" hidden="false" customHeight="false" outlineLevel="0" collapsed="false">
      <c r="A192" s="17" t="s">
        <v>104</v>
      </c>
      <c r="B192" s="17" t="s">
        <v>49</v>
      </c>
      <c r="C192" s="17" t="n">
        <v>0.528</v>
      </c>
      <c r="D192" s="17" t="s">
        <v>89</v>
      </c>
      <c r="E192" s="17" t="n">
        <v>0.525</v>
      </c>
      <c r="F192" s="17" t="n">
        <v>0.003</v>
      </c>
      <c r="G192" s="17"/>
    </row>
    <row r="193" customFormat="false" ht="15" hidden="false" customHeight="false" outlineLevel="0" collapsed="false">
      <c r="A193" s="17" t="s">
        <v>104</v>
      </c>
      <c r="B193" s="17" t="s">
        <v>52</v>
      </c>
      <c r="C193" s="17" t="n">
        <v>0.463</v>
      </c>
      <c r="D193" s="17" t="s">
        <v>77</v>
      </c>
      <c r="E193" s="17" t="n">
        <v>0.463</v>
      </c>
      <c r="F193" s="17" t="n">
        <v>0</v>
      </c>
      <c r="G193" s="17" t="s">
        <v>243</v>
      </c>
    </row>
    <row r="194" customFormat="false" ht="15" hidden="false" customHeight="false" outlineLevel="0" collapsed="false">
      <c r="A194" s="17" t="s">
        <v>104</v>
      </c>
      <c r="B194" s="17" t="s">
        <v>59</v>
      </c>
      <c r="C194" s="17" t="n">
        <v>0.524</v>
      </c>
      <c r="D194" s="17" t="s">
        <v>79</v>
      </c>
      <c r="E194" s="17" t="n">
        <v>0.518</v>
      </c>
      <c r="F194" s="17" t="n">
        <v>0.006</v>
      </c>
      <c r="G194" s="17"/>
    </row>
    <row r="195" customFormat="false" ht="15" hidden="false" customHeight="false" outlineLevel="0" collapsed="false">
      <c r="A195" s="17" t="s">
        <v>104</v>
      </c>
      <c r="B195" s="17" t="s">
        <v>59</v>
      </c>
      <c r="C195" s="17" t="n">
        <v>0.524</v>
      </c>
      <c r="D195" s="17" t="s">
        <v>89</v>
      </c>
      <c r="E195" s="17" t="n">
        <v>0.525</v>
      </c>
      <c r="F195" s="17" t="n">
        <v>0.001</v>
      </c>
      <c r="G195" s="17"/>
    </row>
    <row r="196" customFormat="false" ht="15" hidden="false" customHeight="false" outlineLevel="0" collapsed="false">
      <c r="A196" s="17" t="s">
        <v>104</v>
      </c>
      <c r="B196" s="17" t="s">
        <v>61</v>
      </c>
      <c r="C196" s="17" t="n">
        <v>0.429</v>
      </c>
      <c r="D196" s="17" t="s">
        <v>81</v>
      </c>
      <c r="E196" s="17" t="n">
        <v>0.433</v>
      </c>
      <c r="F196" s="17" t="n">
        <v>0.004</v>
      </c>
      <c r="G196" s="17"/>
    </row>
    <row r="197" customFormat="false" ht="15" hidden="false" customHeight="false" outlineLevel="0" collapsed="false">
      <c r="A197" s="17" t="s">
        <v>104</v>
      </c>
      <c r="B197" s="17" t="s">
        <v>63</v>
      </c>
      <c r="C197" s="17" t="n">
        <v>0.55</v>
      </c>
      <c r="D197" s="17" t="s">
        <v>71</v>
      </c>
      <c r="E197" s="17" t="n">
        <v>0.55</v>
      </c>
      <c r="F197" s="17" t="n">
        <v>0</v>
      </c>
      <c r="G197" s="17" t="s">
        <v>243</v>
      </c>
    </row>
    <row r="198" customFormat="false" ht="15" hidden="false" customHeight="false" outlineLevel="0" collapsed="false">
      <c r="A198" s="17" t="s">
        <v>104</v>
      </c>
      <c r="B198" s="17" t="s">
        <v>63</v>
      </c>
      <c r="C198" s="17" t="n">
        <v>0.55</v>
      </c>
      <c r="D198" s="17" t="s">
        <v>73</v>
      </c>
      <c r="E198" s="17" t="n">
        <v>0.55</v>
      </c>
      <c r="F198" s="17" t="n">
        <v>0</v>
      </c>
      <c r="G198" s="17" t="s">
        <v>243</v>
      </c>
    </row>
    <row r="199" customFormat="false" ht="15" hidden="false" customHeight="false" outlineLevel="0" collapsed="false">
      <c r="A199" s="17" t="s">
        <v>104</v>
      </c>
      <c r="B199" s="17" t="s">
        <v>63</v>
      </c>
      <c r="C199" s="17" t="n">
        <v>0.55</v>
      </c>
      <c r="D199" s="17" t="s">
        <v>75</v>
      </c>
      <c r="E199" s="17" t="n">
        <v>0.554</v>
      </c>
      <c r="F199" s="17" t="n">
        <v>0.004</v>
      </c>
      <c r="G199" s="17"/>
    </row>
    <row r="200" customFormat="false" ht="15" hidden="false" customHeight="false" outlineLevel="0" collapsed="false">
      <c r="A200" s="17" t="s">
        <v>104</v>
      </c>
      <c r="B200" s="17" t="s">
        <v>63</v>
      </c>
      <c r="C200" s="17" t="n">
        <v>0.55</v>
      </c>
      <c r="D200" s="17" t="s">
        <v>87</v>
      </c>
      <c r="E200" s="17" t="n">
        <v>0.547</v>
      </c>
      <c r="F200" s="17" t="n">
        <v>0.003</v>
      </c>
      <c r="G200" s="17"/>
    </row>
    <row r="201" customFormat="false" ht="15" hidden="false" customHeight="false" outlineLevel="0" collapsed="false">
      <c r="A201" s="17" t="s">
        <v>104</v>
      </c>
      <c r="B201" s="17" t="s">
        <v>65</v>
      </c>
      <c r="C201" s="17" t="n">
        <v>0.509</v>
      </c>
      <c r="D201" s="17" t="s">
        <v>67</v>
      </c>
      <c r="E201" s="17" t="n">
        <v>0.502</v>
      </c>
      <c r="F201" s="17" t="n">
        <v>0.007</v>
      </c>
      <c r="G201" s="17"/>
    </row>
    <row r="202" customFormat="false" ht="15" hidden="false" customHeight="false" outlineLevel="0" collapsed="false">
      <c r="A202" s="17" t="s">
        <v>104</v>
      </c>
      <c r="B202" s="17" t="s">
        <v>65</v>
      </c>
      <c r="C202" s="17" t="n">
        <v>0.509</v>
      </c>
      <c r="D202" s="17" t="s">
        <v>69</v>
      </c>
      <c r="E202" s="17" t="n">
        <v>0.51</v>
      </c>
      <c r="F202" s="17" t="n">
        <v>0.001</v>
      </c>
      <c r="G202" s="17"/>
    </row>
    <row r="203" customFormat="false" ht="15" hidden="false" customHeight="false" outlineLevel="0" collapsed="false">
      <c r="A203" s="17" t="s">
        <v>104</v>
      </c>
      <c r="B203" s="17" t="s">
        <v>65</v>
      </c>
      <c r="C203" s="17" t="n">
        <v>0.509</v>
      </c>
      <c r="D203" s="17" t="s">
        <v>79</v>
      </c>
      <c r="E203" s="17" t="n">
        <v>0.518</v>
      </c>
      <c r="F203" s="17" t="n">
        <v>0.009</v>
      </c>
      <c r="G203" s="17"/>
    </row>
    <row r="204" customFormat="false" ht="15" hidden="false" customHeight="false" outlineLevel="0" collapsed="false">
      <c r="A204" s="17" t="s">
        <v>104</v>
      </c>
      <c r="B204" s="17" t="s">
        <v>65</v>
      </c>
      <c r="C204" s="17" t="n">
        <v>0.509</v>
      </c>
      <c r="D204" s="17" t="s">
        <v>83</v>
      </c>
      <c r="E204" s="17" t="n">
        <v>0.502</v>
      </c>
      <c r="F204" s="17" t="n">
        <v>0.007</v>
      </c>
      <c r="G204" s="17"/>
    </row>
    <row r="205" customFormat="false" ht="15" hidden="false" customHeight="false" outlineLevel="0" collapsed="false">
      <c r="A205" s="17" t="s">
        <v>104</v>
      </c>
      <c r="B205" s="17" t="s">
        <v>67</v>
      </c>
      <c r="C205" s="17" t="n">
        <v>0.502</v>
      </c>
      <c r="D205" s="17" t="s">
        <v>69</v>
      </c>
      <c r="E205" s="17" t="n">
        <v>0.51</v>
      </c>
      <c r="F205" s="17" t="n">
        <v>0.008</v>
      </c>
      <c r="G205" s="17"/>
    </row>
    <row r="206" customFormat="false" ht="15" hidden="false" customHeight="false" outlineLevel="0" collapsed="false">
      <c r="A206" s="17" t="s">
        <v>104</v>
      </c>
      <c r="B206" s="17" t="s">
        <v>67</v>
      </c>
      <c r="C206" s="17" t="n">
        <v>0.502</v>
      </c>
      <c r="D206" s="17" t="s">
        <v>83</v>
      </c>
      <c r="E206" s="17" t="n">
        <v>0.502</v>
      </c>
      <c r="F206" s="17" t="n">
        <v>0</v>
      </c>
      <c r="G206" s="17" t="s">
        <v>243</v>
      </c>
    </row>
    <row r="207" customFormat="false" ht="15" hidden="false" customHeight="false" outlineLevel="0" collapsed="false">
      <c r="A207" s="17" t="s">
        <v>104</v>
      </c>
      <c r="B207" s="17" t="s">
        <v>67</v>
      </c>
      <c r="C207" s="17" t="n">
        <v>0.502</v>
      </c>
      <c r="D207" s="17" t="s">
        <v>95</v>
      </c>
      <c r="E207" s="17" t="n">
        <v>0.495</v>
      </c>
      <c r="F207" s="17" t="n">
        <v>0.007</v>
      </c>
      <c r="G207" s="17"/>
    </row>
    <row r="208" customFormat="false" ht="15" hidden="false" customHeight="false" outlineLevel="0" collapsed="false">
      <c r="A208" s="17" t="s">
        <v>104</v>
      </c>
      <c r="B208" s="17" t="s">
        <v>69</v>
      </c>
      <c r="C208" s="17" t="n">
        <v>0.51</v>
      </c>
      <c r="D208" s="17" t="s">
        <v>79</v>
      </c>
      <c r="E208" s="17" t="n">
        <v>0.518</v>
      </c>
      <c r="F208" s="17" t="n">
        <v>0.008</v>
      </c>
      <c r="G208" s="17"/>
    </row>
    <row r="209" customFormat="false" ht="15" hidden="false" customHeight="false" outlineLevel="0" collapsed="false">
      <c r="A209" s="17" t="s">
        <v>104</v>
      </c>
      <c r="B209" s="17" t="s">
        <v>69</v>
      </c>
      <c r="C209" s="17" t="n">
        <v>0.51</v>
      </c>
      <c r="D209" s="17" t="s">
        <v>83</v>
      </c>
      <c r="E209" s="17" t="n">
        <v>0.502</v>
      </c>
      <c r="F209" s="17" t="n">
        <v>0.008</v>
      </c>
      <c r="G209" s="17"/>
    </row>
    <row r="210" customFormat="false" ht="15" hidden="false" customHeight="false" outlineLevel="0" collapsed="false">
      <c r="A210" s="17" t="s">
        <v>104</v>
      </c>
      <c r="B210" s="17" t="s">
        <v>71</v>
      </c>
      <c r="C210" s="17" t="n">
        <v>0.55</v>
      </c>
      <c r="D210" s="17" t="s">
        <v>73</v>
      </c>
      <c r="E210" s="17" t="n">
        <v>0.55</v>
      </c>
      <c r="F210" s="17" t="n">
        <v>0</v>
      </c>
      <c r="G210" s="17" t="s">
        <v>243</v>
      </c>
    </row>
    <row r="211" customFormat="false" ht="15" hidden="false" customHeight="false" outlineLevel="0" collapsed="false">
      <c r="A211" s="17" t="s">
        <v>104</v>
      </c>
      <c r="B211" s="17" t="s">
        <v>71</v>
      </c>
      <c r="C211" s="17" t="n">
        <v>0.55</v>
      </c>
      <c r="D211" s="17" t="s">
        <v>75</v>
      </c>
      <c r="E211" s="17" t="n">
        <v>0.554</v>
      </c>
      <c r="F211" s="17" t="n">
        <v>0.004</v>
      </c>
      <c r="G211" s="17"/>
    </row>
    <row r="212" customFormat="false" ht="15" hidden="false" customHeight="false" outlineLevel="0" collapsed="false">
      <c r="A212" s="17" t="s">
        <v>104</v>
      </c>
      <c r="B212" s="17" t="s">
        <v>71</v>
      </c>
      <c r="C212" s="17" t="n">
        <v>0.55</v>
      </c>
      <c r="D212" s="17" t="s">
        <v>87</v>
      </c>
      <c r="E212" s="17" t="n">
        <v>0.547</v>
      </c>
      <c r="F212" s="17" t="n">
        <v>0.003</v>
      </c>
      <c r="G212" s="17"/>
    </row>
    <row r="213" customFormat="false" ht="15" hidden="false" customHeight="false" outlineLevel="0" collapsed="false">
      <c r="A213" s="17" t="s">
        <v>104</v>
      </c>
      <c r="B213" s="17" t="s">
        <v>73</v>
      </c>
      <c r="C213" s="17" t="n">
        <v>0.55</v>
      </c>
      <c r="D213" s="17" t="s">
        <v>75</v>
      </c>
      <c r="E213" s="17" t="n">
        <v>0.554</v>
      </c>
      <c r="F213" s="17" t="n">
        <v>0.004</v>
      </c>
      <c r="G213" s="17"/>
    </row>
    <row r="214" customFormat="false" ht="15" hidden="false" customHeight="false" outlineLevel="0" collapsed="false">
      <c r="A214" s="17" t="s">
        <v>104</v>
      </c>
      <c r="B214" s="17" t="s">
        <v>73</v>
      </c>
      <c r="C214" s="17" t="n">
        <v>0.55</v>
      </c>
      <c r="D214" s="17" t="s">
        <v>87</v>
      </c>
      <c r="E214" s="17" t="n">
        <v>0.547</v>
      </c>
      <c r="F214" s="17" t="n">
        <v>0.003</v>
      </c>
      <c r="G214" s="17"/>
    </row>
    <row r="215" customFormat="false" ht="15" hidden="false" customHeight="false" outlineLevel="0" collapsed="false">
      <c r="A215" s="17" t="s">
        <v>104</v>
      </c>
      <c r="B215" s="17" t="s">
        <v>75</v>
      </c>
      <c r="C215" s="17" t="n">
        <v>0.554</v>
      </c>
      <c r="D215" s="17" t="s">
        <v>87</v>
      </c>
      <c r="E215" s="17" t="n">
        <v>0.547</v>
      </c>
      <c r="F215" s="17" t="n">
        <v>0.007</v>
      </c>
      <c r="G215" s="17"/>
    </row>
    <row r="216" customFormat="false" ht="15" hidden="false" customHeight="false" outlineLevel="0" collapsed="false">
      <c r="A216" s="17" t="s">
        <v>104</v>
      </c>
      <c r="B216" s="17" t="s">
        <v>79</v>
      </c>
      <c r="C216" s="17" t="n">
        <v>0.518</v>
      </c>
      <c r="D216" s="17" t="s">
        <v>89</v>
      </c>
      <c r="E216" s="17" t="n">
        <v>0.525</v>
      </c>
      <c r="F216" s="17" t="n">
        <v>0.007</v>
      </c>
      <c r="G216" s="17"/>
    </row>
    <row r="217" customFormat="false" ht="15" hidden="false" customHeight="false" outlineLevel="0" collapsed="false">
      <c r="A217" s="17" t="s">
        <v>104</v>
      </c>
      <c r="B217" s="17" t="s">
        <v>83</v>
      </c>
      <c r="C217" s="17" t="n">
        <v>0.502</v>
      </c>
      <c r="D217" s="17" t="s">
        <v>95</v>
      </c>
      <c r="E217" s="17" t="n">
        <v>0.495</v>
      </c>
      <c r="F217" s="17" t="n">
        <v>0.007</v>
      </c>
      <c r="G217" s="17"/>
    </row>
    <row r="218" customFormat="false" ht="15" hidden="false" customHeight="false" outlineLevel="0" collapsed="false">
      <c r="A218" s="17" t="s">
        <v>104</v>
      </c>
      <c r="B218" s="17" t="s">
        <v>85</v>
      </c>
      <c r="C218" s="17" t="n">
        <v>0.538</v>
      </c>
      <c r="D218" s="17" t="s">
        <v>87</v>
      </c>
      <c r="E218" s="17" t="n">
        <v>0.547</v>
      </c>
      <c r="F218" s="17" t="n">
        <v>0.009</v>
      </c>
      <c r="G218" s="17"/>
    </row>
    <row r="219" customFormat="false" ht="15" hidden="false" customHeight="false" outlineLevel="0" collapsed="false">
      <c r="A219" s="17" t="s">
        <v>105</v>
      </c>
      <c r="B219" s="17" t="s">
        <v>25</v>
      </c>
      <c r="C219" s="17" t="n">
        <v>2006</v>
      </c>
      <c r="D219" s="17" t="s">
        <v>59</v>
      </c>
      <c r="E219" s="17" t="n">
        <v>2008</v>
      </c>
      <c r="F219" s="17" t="n">
        <v>2</v>
      </c>
      <c r="G219" s="17"/>
    </row>
    <row r="220" customFormat="false" ht="15" hidden="false" customHeight="false" outlineLevel="0" collapsed="false">
      <c r="A220" s="17" t="s">
        <v>105</v>
      </c>
      <c r="B220" s="17" t="s">
        <v>28</v>
      </c>
      <c r="C220" s="17" t="n">
        <v>2017</v>
      </c>
      <c r="D220" s="17" t="s">
        <v>73</v>
      </c>
      <c r="E220" s="17" t="n">
        <v>2016</v>
      </c>
      <c r="F220" s="17" t="n">
        <v>1</v>
      </c>
      <c r="G220" s="17"/>
    </row>
    <row r="221" customFormat="false" ht="15" hidden="false" customHeight="false" outlineLevel="0" collapsed="false">
      <c r="A221" s="17" t="s">
        <v>105</v>
      </c>
      <c r="B221" s="17" t="s">
        <v>31</v>
      </c>
      <c r="C221" s="17" t="n">
        <v>1998</v>
      </c>
      <c r="D221" s="17" t="s">
        <v>37</v>
      </c>
      <c r="E221" s="17" t="n">
        <v>1996</v>
      </c>
      <c r="F221" s="17" t="n">
        <v>2</v>
      </c>
      <c r="G221" s="17"/>
    </row>
    <row r="222" customFormat="false" ht="15" hidden="false" customHeight="false" outlineLevel="0" collapsed="false">
      <c r="A222" s="17" t="s">
        <v>105</v>
      </c>
      <c r="B222" s="17" t="s">
        <v>31</v>
      </c>
      <c r="C222" s="17" t="n">
        <v>1998</v>
      </c>
      <c r="D222" s="17" t="s">
        <v>42</v>
      </c>
      <c r="E222" s="17" t="n">
        <v>2000</v>
      </c>
      <c r="F222" s="17" t="n">
        <v>2</v>
      </c>
      <c r="G222" s="17"/>
    </row>
    <row r="223" customFormat="false" ht="15" hidden="false" customHeight="false" outlineLevel="0" collapsed="false">
      <c r="A223" s="17" t="s">
        <v>105</v>
      </c>
      <c r="B223" s="17" t="s">
        <v>31</v>
      </c>
      <c r="C223" s="17" t="n">
        <v>1998</v>
      </c>
      <c r="D223" s="17" t="s">
        <v>44</v>
      </c>
      <c r="E223" s="17" t="n">
        <v>1999</v>
      </c>
      <c r="F223" s="17" t="n">
        <v>1</v>
      </c>
      <c r="G223" s="17"/>
    </row>
    <row r="224" customFormat="false" ht="15" hidden="false" customHeight="false" outlineLevel="0" collapsed="false">
      <c r="A224" s="17" t="s">
        <v>105</v>
      </c>
      <c r="B224" s="17" t="s">
        <v>31</v>
      </c>
      <c r="C224" s="17" t="n">
        <v>1998</v>
      </c>
      <c r="D224" s="17" t="s">
        <v>91</v>
      </c>
      <c r="E224" s="17" t="n">
        <v>1998</v>
      </c>
      <c r="F224" s="17" t="n">
        <v>0</v>
      </c>
      <c r="G224" s="17" t="s">
        <v>243</v>
      </c>
    </row>
    <row r="225" customFormat="false" ht="15" hidden="false" customHeight="false" outlineLevel="0" collapsed="false">
      <c r="A225" s="17" t="s">
        <v>105</v>
      </c>
      <c r="B225" s="17" t="s">
        <v>31</v>
      </c>
      <c r="C225" s="17" t="n">
        <v>1998</v>
      </c>
      <c r="D225" s="17" t="s">
        <v>93</v>
      </c>
      <c r="E225" s="17" t="n">
        <v>1999</v>
      </c>
      <c r="F225" s="17" t="n">
        <v>1</v>
      </c>
      <c r="G225" s="17"/>
    </row>
    <row r="226" customFormat="false" ht="15" hidden="false" customHeight="false" outlineLevel="0" collapsed="false">
      <c r="A226" s="17" t="s">
        <v>105</v>
      </c>
      <c r="B226" s="17" t="s">
        <v>31</v>
      </c>
      <c r="C226" s="17" t="n">
        <v>1998</v>
      </c>
      <c r="D226" s="17" t="s">
        <v>95</v>
      </c>
      <c r="E226" s="17" t="n">
        <v>1997</v>
      </c>
      <c r="F226" s="17" t="n">
        <v>1</v>
      </c>
      <c r="G226" s="17"/>
    </row>
    <row r="227" customFormat="false" ht="15" hidden="false" customHeight="false" outlineLevel="0" collapsed="false">
      <c r="A227" s="17" t="s">
        <v>105</v>
      </c>
      <c r="B227" s="17" t="s">
        <v>37</v>
      </c>
      <c r="C227" s="17" t="n">
        <v>1996</v>
      </c>
      <c r="D227" s="17" t="s">
        <v>61</v>
      </c>
      <c r="E227" s="17" t="n">
        <v>1995</v>
      </c>
      <c r="F227" s="17" t="n">
        <v>1</v>
      </c>
      <c r="G227" s="17"/>
    </row>
    <row r="228" customFormat="false" ht="15" hidden="false" customHeight="false" outlineLevel="0" collapsed="false">
      <c r="A228" s="17" t="s">
        <v>105</v>
      </c>
      <c r="B228" s="17" t="s">
        <v>37</v>
      </c>
      <c r="C228" s="17" t="n">
        <v>1996</v>
      </c>
      <c r="D228" s="17" t="s">
        <v>91</v>
      </c>
      <c r="E228" s="17" t="n">
        <v>1998</v>
      </c>
      <c r="F228" s="17" t="n">
        <v>2</v>
      </c>
      <c r="G228" s="17"/>
    </row>
    <row r="229" customFormat="false" ht="15" hidden="false" customHeight="false" outlineLevel="0" collapsed="false">
      <c r="A229" s="17" t="s">
        <v>105</v>
      </c>
      <c r="B229" s="17" t="s">
        <v>37</v>
      </c>
      <c r="C229" s="17" t="n">
        <v>1996</v>
      </c>
      <c r="D229" s="17" t="s">
        <v>95</v>
      </c>
      <c r="E229" s="17" t="n">
        <v>1997</v>
      </c>
      <c r="F229" s="17" t="n">
        <v>1</v>
      </c>
      <c r="G229" s="17"/>
    </row>
    <row r="230" customFormat="false" ht="15" hidden="false" customHeight="false" outlineLevel="0" collapsed="false">
      <c r="A230" s="17" t="s">
        <v>105</v>
      </c>
      <c r="B230" s="17" t="s">
        <v>42</v>
      </c>
      <c r="C230" s="17" t="n">
        <v>2000</v>
      </c>
      <c r="D230" s="17" t="s">
        <v>44</v>
      </c>
      <c r="E230" s="17" t="n">
        <v>1999</v>
      </c>
      <c r="F230" s="17" t="n">
        <v>1</v>
      </c>
      <c r="G230" s="17"/>
    </row>
    <row r="231" customFormat="false" ht="15" hidden="false" customHeight="false" outlineLevel="0" collapsed="false">
      <c r="A231" s="17" t="s">
        <v>105</v>
      </c>
      <c r="B231" s="17" t="s">
        <v>42</v>
      </c>
      <c r="C231" s="17" t="n">
        <v>2000</v>
      </c>
      <c r="D231" s="17" t="s">
        <v>49</v>
      </c>
      <c r="E231" s="17" t="n">
        <v>2001</v>
      </c>
      <c r="F231" s="17" t="n">
        <v>1</v>
      </c>
      <c r="G231" s="17"/>
    </row>
    <row r="232" customFormat="false" ht="15" hidden="false" customHeight="false" outlineLevel="0" collapsed="false">
      <c r="A232" s="17" t="s">
        <v>105</v>
      </c>
      <c r="B232" s="17" t="s">
        <v>42</v>
      </c>
      <c r="C232" s="17" t="n">
        <v>2000</v>
      </c>
      <c r="D232" s="17" t="s">
        <v>52</v>
      </c>
      <c r="E232" s="17" t="n">
        <v>2002</v>
      </c>
      <c r="F232" s="17" t="n">
        <v>2</v>
      </c>
      <c r="G232" s="17"/>
    </row>
    <row r="233" customFormat="false" ht="15" hidden="false" customHeight="false" outlineLevel="0" collapsed="false">
      <c r="A233" s="17" t="s">
        <v>105</v>
      </c>
      <c r="B233" s="17" t="s">
        <v>42</v>
      </c>
      <c r="C233" s="17" t="n">
        <v>2000</v>
      </c>
      <c r="D233" s="17" t="s">
        <v>56</v>
      </c>
      <c r="E233" s="17" t="n">
        <v>2002</v>
      </c>
      <c r="F233" s="17" t="n">
        <v>2</v>
      </c>
      <c r="G233" s="17"/>
    </row>
    <row r="234" customFormat="false" ht="15" hidden="false" customHeight="false" outlineLevel="0" collapsed="false">
      <c r="A234" s="17" t="s">
        <v>105</v>
      </c>
      <c r="B234" s="17" t="s">
        <v>42</v>
      </c>
      <c r="C234" s="17" t="n">
        <v>2000</v>
      </c>
      <c r="D234" s="17" t="s">
        <v>75</v>
      </c>
      <c r="E234" s="17" t="n">
        <v>2002</v>
      </c>
      <c r="F234" s="17" t="n">
        <v>2</v>
      </c>
      <c r="G234" s="17"/>
    </row>
    <row r="235" customFormat="false" ht="15" hidden="false" customHeight="false" outlineLevel="0" collapsed="false">
      <c r="A235" s="17" t="s">
        <v>105</v>
      </c>
      <c r="B235" s="17" t="s">
        <v>42</v>
      </c>
      <c r="C235" s="17" t="n">
        <v>2000</v>
      </c>
      <c r="D235" s="17" t="s">
        <v>85</v>
      </c>
      <c r="E235" s="17" t="n">
        <v>2001</v>
      </c>
      <c r="F235" s="17" t="n">
        <v>1</v>
      </c>
      <c r="G235" s="17"/>
    </row>
    <row r="236" customFormat="false" ht="15" hidden="false" customHeight="false" outlineLevel="0" collapsed="false">
      <c r="A236" s="17" t="s">
        <v>105</v>
      </c>
      <c r="B236" s="17" t="s">
        <v>42</v>
      </c>
      <c r="C236" s="17" t="n">
        <v>2000</v>
      </c>
      <c r="D236" s="17" t="s">
        <v>89</v>
      </c>
      <c r="E236" s="17" t="n">
        <v>2002</v>
      </c>
      <c r="F236" s="17" t="n">
        <v>2</v>
      </c>
      <c r="G236" s="17"/>
    </row>
    <row r="237" customFormat="false" ht="15" hidden="false" customHeight="false" outlineLevel="0" collapsed="false">
      <c r="A237" s="17" t="s">
        <v>105</v>
      </c>
      <c r="B237" s="17" t="s">
        <v>42</v>
      </c>
      <c r="C237" s="17" t="n">
        <v>2000</v>
      </c>
      <c r="D237" s="17" t="s">
        <v>91</v>
      </c>
      <c r="E237" s="17" t="n">
        <v>1998</v>
      </c>
      <c r="F237" s="17" t="n">
        <v>2</v>
      </c>
      <c r="G237" s="17"/>
    </row>
    <row r="238" customFormat="false" ht="15" hidden="false" customHeight="false" outlineLevel="0" collapsed="false">
      <c r="A238" s="17" t="s">
        <v>105</v>
      </c>
      <c r="B238" s="17" t="s">
        <v>42</v>
      </c>
      <c r="C238" s="17" t="n">
        <v>2000</v>
      </c>
      <c r="D238" s="17" t="s">
        <v>93</v>
      </c>
      <c r="E238" s="17" t="n">
        <v>1999</v>
      </c>
      <c r="F238" s="17" t="n">
        <v>1</v>
      </c>
      <c r="G238" s="17"/>
    </row>
    <row r="239" customFormat="false" ht="15" hidden="false" customHeight="false" outlineLevel="0" collapsed="false">
      <c r="A239" s="17" t="s">
        <v>105</v>
      </c>
      <c r="B239" s="17" t="s">
        <v>44</v>
      </c>
      <c r="C239" s="17" t="n">
        <v>1999</v>
      </c>
      <c r="D239" s="17" t="s">
        <v>49</v>
      </c>
      <c r="E239" s="17" t="n">
        <v>2001</v>
      </c>
      <c r="F239" s="17" t="n">
        <v>2</v>
      </c>
      <c r="G239" s="17"/>
    </row>
    <row r="240" customFormat="false" ht="15" hidden="false" customHeight="false" outlineLevel="0" collapsed="false">
      <c r="A240" s="17" t="s">
        <v>105</v>
      </c>
      <c r="B240" s="17" t="s">
        <v>44</v>
      </c>
      <c r="C240" s="17" t="n">
        <v>1999</v>
      </c>
      <c r="D240" s="17" t="s">
        <v>85</v>
      </c>
      <c r="E240" s="17" t="n">
        <v>2001</v>
      </c>
      <c r="F240" s="17" t="n">
        <v>2</v>
      </c>
      <c r="G240" s="17"/>
    </row>
    <row r="241" customFormat="false" ht="15" hidden="false" customHeight="false" outlineLevel="0" collapsed="false">
      <c r="A241" s="17" t="s">
        <v>105</v>
      </c>
      <c r="B241" s="17" t="s">
        <v>44</v>
      </c>
      <c r="C241" s="17" t="n">
        <v>1999</v>
      </c>
      <c r="D241" s="17" t="s">
        <v>91</v>
      </c>
      <c r="E241" s="17" t="n">
        <v>1998</v>
      </c>
      <c r="F241" s="17" t="n">
        <v>1</v>
      </c>
      <c r="G241" s="17"/>
    </row>
    <row r="242" customFormat="false" ht="15" hidden="false" customHeight="false" outlineLevel="0" collapsed="false">
      <c r="A242" s="17" t="s">
        <v>105</v>
      </c>
      <c r="B242" s="17" t="s">
        <v>44</v>
      </c>
      <c r="C242" s="17" t="n">
        <v>1999</v>
      </c>
      <c r="D242" s="17" t="s">
        <v>93</v>
      </c>
      <c r="E242" s="17" t="n">
        <v>1999</v>
      </c>
      <c r="F242" s="17" t="n">
        <v>0</v>
      </c>
      <c r="G242" s="17" t="s">
        <v>243</v>
      </c>
    </row>
    <row r="243" customFormat="false" ht="15" hidden="false" customHeight="false" outlineLevel="0" collapsed="false">
      <c r="A243" s="17" t="s">
        <v>105</v>
      </c>
      <c r="B243" s="17" t="s">
        <v>44</v>
      </c>
      <c r="C243" s="17" t="n">
        <v>1999</v>
      </c>
      <c r="D243" s="17" t="s">
        <v>95</v>
      </c>
      <c r="E243" s="17" t="n">
        <v>1997</v>
      </c>
      <c r="F243" s="17" t="n">
        <v>2</v>
      </c>
      <c r="G243" s="17"/>
    </row>
    <row r="244" customFormat="false" ht="15" hidden="false" customHeight="false" outlineLevel="0" collapsed="false">
      <c r="A244" s="17" t="s">
        <v>105</v>
      </c>
      <c r="B244" s="17" t="s">
        <v>46</v>
      </c>
      <c r="C244" s="17" t="n">
        <v>2009</v>
      </c>
      <c r="D244" s="17" t="s">
        <v>59</v>
      </c>
      <c r="E244" s="17" t="n">
        <v>2008</v>
      </c>
      <c r="F244" s="17" t="n">
        <v>1</v>
      </c>
      <c r="G244" s="17"/>
    </row>
    <row r="245" customFormat="false" ht="15" hidden="false" customHeight="false" outlineLevel="0" collapsed="false">
      <c r="A245" s="17" t="s">
        <v>105</v>
      </c>
      <c r="B245" s="17" t="s">
        <v>46</v>
      </c>
      <c r="C245" s="17" t="n">
        <v>2009</v>
      </c>
      <c r="D245" s="17" t="s">
        <v>79</v>
      </c>
      <c r="E245" s="17" t="n">
        <v>2010</v>
      </c>
      <c r="F245" s="17" t="n">
        <v>1</v>
      </c>
      <c r="G245" s="17"/>
    </row>
    <row r="246" customFormat="false" ht="15" hidden="false" customHeight="false" outlineLevel="0" collapsed="false">
      <c r="A246" s="17" t="s">
        <v>105</v>
      </c>
      <c r="B246" s="17" t="s">
        <v>46</v>
      </c>
      <c r="C246" s="17" t="n">
        <v>2009</v>
      </c>
      <c r="D246" s="17" t="s">
        <v>81</v>
      </c>
      <c r="E246" s="17" t="n">
        <v>2010</v>
      </c>
      <c r="F246" s="17" t="n">
        <v>1</v>
      </c>
      <c r="G246" s="17"/>
    </row>
    <row r="247" customFormat="false" ht="15" hidden="false" customHeight="false" outlineLevel="0" collapsed="false">
      <c r="A247" s="17" t="s">
        <v>105</v>
      </c>
      <c r="B247" s="17" t="s">
        <v>49</v>
      </c>
      <c r="C247" s="17" t="n">
        <v>2001</v>
      </c>
      <c r="D247" s="17" t="s">
        <v>52</v>
      </c>
      <c r="E247" s="17" t="n">
        <v>2002</v>
      </c>
      <c r="F247" s="17" t="n">
        <v>1</v>
      </c>
      <c r="G247" s="17"/>
    </row>
    <row r="248" customFormat="false" ht="15" hidden="false" customHeight="false" outlineLevel="0" collapsed="false">
      <c r="A248" s="17" t="s">
        <v>105</v>
      </c>
      <c r="B248" s="17" t="s">
        <v>49</v>
      </c>
      <c r="C248" s="17" t="n">
        <v>2001</v>
      </c>
      <c r="D248" s="17" t="s">
        <v>56</v>
      </c>
      <c r="E248" s="17" t="n">
        <v>2002</v>
      </c>
      <c r="F248" s="17" t="n">
        <v>1</v>
      </c>
      <c r="G248" s="17"/>
    </row>
    <row r="249" customFormat="false" ht="15" hidden="false" customHeight="false" outlineLevel="0" collapsed="false">
      <c r="A249" s="17" t="s">
        <v>105</v>
      </c>
      <c r="B249" s="17" t="s">
        <v>49</v>
      </c>
      <c r="C249" s="17" t="n">
        <v>2001</v>
      </c>
      <c r="D249" s="17" t="s">
        <v>75</v>
      </c>
      <c r="E249" s="17" t="n">
        <v>2002</v>
      </c>
      <c r="F249" s="17" t="n">
        <v>1</v>
      </c>
      <c r="G249" s="17"/>
    </row>
    <row r="250" customFormat="false" ht="15" hidden="false" customHeight="false" outlineLevel="0" collapsed="false">
      <c r="A250" s="17" t="s">
        <v>105</v>
      </c>
      <c r="B250" s="17" t="s">
        <v>49</v>
      </c>
      <c r="C250" s="17" t="n">
        <v>2001</v>
      </c>
      <c r="D250" s="17" t="s">
        <v>83</v>
      </c>
      <c r="E250" s="17" t="n">
        <v>2003</v>
      </c>
      <c r="F250" s="17" t="n">
        <v>2</v>
      </c>
      <c r="G250" s="17"/>
    </row>
    <row r="251" customFormat="false" ht="15" hidden="false" customHeight="false" outlineLevel="0" collapsed="false">
      <c r="A251" s="17" t="s">
        <v>105</v>
      </c>
      <c r="B251" s="17" t="s">
        <v>49</v>
      </c>
      <c r="C251" s="17" t="n">
        <v>2001</v>
      </c>
      <c r="D251" s="17" t="s">
        <v>85</v>
      </c>
      <c r="E251" s="17" t="n">
        <v>2001</v>
      </c>
      <c r="F251" s="17" t="n">
        <v>0</v>
      </c>
      <c r="G251" s="17" t="s">
        <v>243</v>
      </c>
    </row>
    <row r="252" customFormat="false" ht="15" hidden="false" customHeight="false" outlineLevel="0" collapsed="false">
      <c r="A252" s="17" t="s">
        <v>105</v>
      </c>
      <c r="B252" s="17" t="s">
        <v>49</v>
      </c>
      <c r="C252" s="17" t="n">
        <v>2001</v>
      </c>
      <c r="D252" s="17" t="s">
        <v>89</v>
      </c>
      <c r="E252" s="17" t="n">
        <v>2002</v>
      </c>
      <c r="F252" s="17" t="n">
        <v>1</v>
      </c>
      <c r="G252" s="17"/>
    </row>
    <row r="253" customFormat="false" ht="15" hidden="false" customHeight="false" outlineLevel="0" collapsed="false">
      <c r="A253" s="17" t="s">
        <v>105</v>
      </c>
      <c r="B253" s="17" t="s">
        <v>49</v>
      </c>
      <c r="C253" s="17" t="n">
        <v>2001</v>
      </c>
      <c r="D253" s="17" t="s">
        <v>93</v>
      </c>
      <c r="E253" s="17" t="n">
        <v>1999</v>
      </c>
      <c r="F253" s="17" t="n">
        <v>2</v>
      </c>
      <c r="G253" s="17"/>
    </row>
    <row r="254" customFormat="false" ht="15" hidden="false" customHeight="false" outlineLevel="0" collapsed="false">
      <c r="A254" s="17" t="s">
        <v>105</v>
      </c>
      <c r="B254" s="17" t="s">
        <v>52</v>
      </c>
      <c r="C254" s="17" t="n">
        <v>2002</v>
      </c>
      <c r="D254" s="17" t="s">
        <v>56</v>
      </c>
      <c r="E254" s="17" t="n">
        <v>2002</v>
      </c>
      <c r="F254" s="17" t="n">
        <v>0</v>
      </c>
      <c r="G254" s="17" t="s">
        <v>243</v>
      </c>
    </row>
    <row r="255" customFormat="false" ht="15" hidden="false" customHeight="false" outlineLevel="0" collapsed="false">
      <c r="A255" s="17" t="s">
        <v>105</v>
      </c>
      <c r="B255" s="17" t="s">
        <v>52</v>
      </c>
      <c r="C255" s="17" t="n">
        <v>2002</v>
      </c>
      <c r="D255" s="17" t="s">
        <v>75</v>
      </c>
      <c r="E255" s="17" t="n">
        <v>2002</v>
      </c>
      <c r="F255" s="17" t="n">
        <v>0</v>
      </c>
      <c r="G255" s="17" t="s">
        <v>243</v>
      </c>
    </row>
    <row r="256" customFormat="false" ht="15" hidden="false" customHeight="false" outlineLevel="0" collapsed="false">
      <c r="A256" s="17" t="s">
        <v>105</v>
      </c>
      <c r="B256" s="17" t="s">
        <v>52</v>
      </c>
      <c r="C256" s="17" t="n">
        <v>2002</v>
      </c>
      <c r="D256" s="17" t="s">
        <v>83</v>
      </c>
      <c r="E256" s="17" t="n">
        <v>2003</v>
      </c>
      <c r="F256" s="17" t="n">
        <v>1</v>
      </c>
      <c r="G256" s="17"/>
    </row>
    <row r="257" customFormat="false" ht="15" hidden="false" customHeight="false" outlineLevel="0" collapsed="false">
      <c r="A257" s="17" t="s">
        <v>105</v>
      </c>
      <c r="B257" s="17" t="s">
        <v>52</v>
      </c>
      <c r="C257" s="17" t="n">
        <v>2002</v>
      </c>
      <c r="D257" s="17" t="s">
        <v>85</v>
      </c>
      <c r="E257" s="17" t="n">
        <v>2001</v>
      </c>
      <c r="F257" s="17" t="n">
        <v>1</v>
      </c>
      <c r="G257" s="17"/>
    </row>
    <row r="258" customFormat="false" ht="15" hidden="false" customHeight="false" outlineLevel="0" collapsed="false">
      <c r="A258" s="17" t="s">
        <v>105</v>
      </c>
      <c r="B258" s="17" t="s">
        <v>52</v>
      </c>
      <c r="C258" s="17" t="n">
        <v>2002</v>
      </c>
      <c r="D258" s="17" t="s">
        <v>89</v>
      </c>
      <c r="E258" s="17" t="n">
        <v>2002</v>
      </c>
      <c r="F258" s="17" t="n">
        <v>0</v>
      </c>
      <c r="G258" s="17" t="s">
        <v>243</v>
      </c>
    </row>
    <row r="259" customFormat="false" ht="15" hidden="false" customHeight="false" outlineLevel="0" collapsed="false">
      <c r="A259" s="17" t="s">
        <v>105</v>
      </c>
      <c r="B259" s="17" t="s">
        <v>56</v>
      </c>
      <c r="C259" s="17" t="n">
        <v>2002</v>
      </c>
      <c r="D259" s="17" t="s">
        <v>75</v>
      </c>
      <c r="E259" s="17" t="n">
        <v>2002</v>
      </c>
      <c r="F259" s="17" t="n">
        <v>0</v>
      </c>
      <c r="G259" s="17" t="s">
        <v>243</v>
      </c>
    </row>
    <row r="260" customFormat="false" ht="15" hidden="false" customHeight="false" outlineLevel="0" collapsed="false">
      <c r="A260" s="17" t="s">
        <v>105</v>
      </c>
      <c r="B260" s="17" t="s">
        <v>56</v>
      </c>
      <c r="C260" s="17" t="n">
        <v>2002</v>
      </c>
      <c r="D260" s="17" t="s">
        <v>83</v>
      </c>
      <c r="E260" s="17" t="n">
        <v>2003</v>
      </c>
      <c r="F260" s="17" t="n">
        <v>1</v>
      </c>
      <c r="G260" s="17"/>
    </row>
    <row r="261" customFormat="false" ht="15" hidden="false" customHeight="false" outlineLevel="0" collapsed="false">
      <c r="A261" s="17" t="s">
        <v>105</v>
      </c>
      <c r="B261" s="17" t="s">
        <v>56</v>
      </c>
      <c r="C261" s="17" t="n">
        <v>2002</v>
      </c>
      <c r="D261" s="17" t="s">
        <v>85</v>
      </c>
      <c r="E261" s="17" t="n">
        <v>2001</v>
      </c>
      <c r="F261" s="17" t="n">
        <v>1</v>
      </c>
      <c r="G261" s="17"/>
    </row>
    <row r="262" customFormat="false" ht="15" hidden="false" customHeight="false" outlineLevel="0" collapsed="false">
      <c r="A262" s="17" t="s">
        <v>105</v>
      </c>
      <c r="B262" s="17" t="s">
        <v>56</v>
      </c>
      <c r="C262" s="17" t="n">
        <v>2002</v>
      </c>
      <c r="D262" s="17" t="s">
        <v>89</v>
      </c>
      <c r="E262" s="17" t="n">
        <v>2002</v>
      </c>
      <c r="F262" s="17" t="n">
        <v>0</v>
      </c>
      <c r="G262" s="17" t="s">
        <v>243</v>
      </c>
    </row>
    <row r="263" customFormat="false" ht="15" hidden="false" customHeight="false" outlineLevel="0" collapsed="false">
      <c r="A263" s="17" t="s">
        <v>105</v>
      </c>
      <c r="B263" s="17" t="s">
        <v>59</v>
      </c>
      <c r="C263" s="17" t="n">
        <v>2008</v>
      </c>
      <c r="D263" s="17" t="s">
        <v>79</v>
      </c>
      <c r="E263" s="17" t="n">
        <v>2010</v>
      </c>
      <c r="F263" s="17" t="n">
        <v>2</v>
      </c>
      <c r="G263" s="17"/>
    </row>
    <row r="264" customFormat="false" ht="15" hidden="false" customHeight="false" outlineLevel="0" collapsed="false">
      <c r="A264" s="17" t="s">
        <v>105</v>
      </c>
      <c r="B264" s="17" t="s">
        <v>59</v>
      </c>
      <c r="C264" s="17" t="n">
        <v>2008</v>
      </c>
      <c r="D264" s="17" t="s">
        <v>81</v>
      </c>
      <c r="E264" s="17" t="n">
        <v>2010</v>
      </c>
      <c r="F264" s="17" t="n">
        <v>2</v>
      </c>
      <c r="G264" s="17"/>
    </row>
    <row r="265" customFormat="false" ht="15" hidden="false" customHeight="false" outlineLevel="0" collapsed="false">
      <c r="A265" s="17" t="s">
        <v>105</v>
      </c>
      <c r="B265" s="17" t="s">
        <v>61</v>
      </c>
      <c r="C265" s="17" t="n">
        <v>1995</v>
      </c>
      <c r="D265" s="17" t="s">
        <v>95</v>
      </c>
      <c r="E265" s="17" t="n">
        <v>1997</v>
      </c>
      <c r="F265" s="17" t="n">
        <v>2</v>
      </c>
      <c r="G265" s="17"/>
    </row>
    <row r="266" customFormat="false" ht="15" hidden="false" customHeight="false" outlineLevel="0" collapsed="false">
      <c r="A266" s="17" t="s">
        <v>105</v>
      </c>
      <c r="B266" s="17" t="s">
        <v>65</v>
      </c>
      <c r="C266" s="17" t="n">
        <v>2020</v>
      </c>
      <c r="D266" s="17" t="s">
        <v>67</v>
      </c>
      <c r="E266" s="17" t="n">
        <v>2020</v>
      </c>
      <c r="F266" s="17" t="n">
        <v>0</v>
      </c>
      <c r="G266" s="17" t="s">
        <v>243</v>
      </c>
    </row>
    <row r="267" customFormat="false" ht="15" hidden="false" customHeight="false" outlineLevel="0" collapsed="false">
      <c r="A267" s="17" t="s">
        <v>105</v>
      </c>
      <c r="B267" s="17" t="s">
        <v>65</v>
      </c>
      <c r="C267" s="17" t="n">
        <v>2020</v>
      </c>
      <c r="D267" s="17" t="s">
        <v>69</v>
      </c>
      <c r="E267" s="17" t="n">
        <v>2020</v>
      </c>
      <c r="F267" s="17" t="n">
        <v>0</v>
      </c>
      <c r="G267" s="17" t="s">
        <v>243</v>
      </c>
    </row>
    <row r="268" customFormat="false" ht="15" hidden="false" customHeight="false" outlineLevel="0" collapsed="false">
      <c r="A268" s="17" t="s">
        <v>105</v>
      </c>
      <c r="B268" s="17" t="s">
        <v>67</v>
      </c>
      <c r="C268" s="17" t="n">
        <v>2020</v>
      </c>
      <c r="D268" s="17" t="s">
        <v>69</v>
      </c>
      <c r="E268" s="17" t="n">
        <v>2020</v>
      </c>
      <c r="F268" s="17" t="n">
        <v>0</v>
      </c>
      <c r="G268" s="17" t="s">
        <v>243</v>
      </c>
    </row>
    <row r="269" customFormat="false" ht="15" hidden="false" customHeight="false" outlineLevel="0" collapsed="false">
      <c r="A269" s="17" t="s">
        <v>105</v>
      </c>
      <c r="B269" s="17" t="s">
        <v>73</v>
      </c>
      <c r="C269" s="17" t="n">
        <v>2016</v>
      </c>
      <c r="D269" s="17" t="s">
        <v>87</v>
      </c>
      <c r="E269" s="17" t="n">
        <v>2014</v>
      </c>
      <c r="F269" s="17" t="n">
        <v>2</v>
      </c>
      <c r="G269" s="17"/>
    </row>
    <row r="270" customFormat="false" ht="15" hidden="false" customHeight="false" outlineLevel="0" collapsed="false">
      <c r="A270" s="17" t="s">
        <v>105</v>
      </c>
      <c r="B270" s="17" t="s">
        <v>75</v>
      </c>
      <c r="C270" s="17" t="n">
        <v>2002</v>
      </c>
      <c r="D270" s="17" t="s">
        <v>83</v>
      </c>
      <c r="E270" s="17" t="n">
        <v>2003</v>
      </c>
      <c r="F270" s="17" t="n">
        <v>1</v>
      </c>
      <c r="G270" s="17"/>
    </row>
    <row r="271" customFormat="false" ht="15" hidden="false" customHeight="false" outlineLevel="0" collapsed="false">
      <c r="A271" s="17" t="s">
        <v>105</v>
      </c>
      <c r="B271" s="17" t="s">
        <v>75</v>
      </c>
      <c r="C271" s="17" t="n">
        <v>2002</v>
      </c>
      <c r="D271" s="17" t="s">
        <v>85</v>
      </c>
      <c r="E271" s="17" t="n">
        <v>2001</v>
      </c>
      <c r="F271" s="17" t="n">
        <v>1</v>
      </c>
      <c r="G271" s="17"/>
    </row>
    <row r="272" customFormat="false" ht="15" hidden="false" customHeight="false" outlineLevel="0" collapsed="false">
      <c r="A272" s="17" t="s">
        <v>105</v>
      </c>
      <c r="B272" s="17" t="s">
        <v>75</v>
      </c>
      <c r="C272" s="17" t="n">
        <v>2002</v>
      </c>
      <c r="D272" s="17" t="s">
        <v>89</v>
      </c>
      <c r="E272" s="17" t="n">
        <v>2002</v>
      </c>
      <c r="F272" s="17" t="n">
        <v>0</v>
      </c>
      <c r="G272" s="17" t="s">
        <v>243</v>
      </c>
    </row>
    <row r="273" customFormat="false" ht="15" hidden="false" customHeight="false" outlineLevel="0" collapsed="false">
      <c r="A273" s="17" t="s">
        <v>105</v>
      </c>
      <c r="B273" s="17" t="s">
        <v>79</v>
      </c>
      <c r="C273" s="17" t="n">
        <v>2010</v>
      </c>
      <c r="D273" s="17" t="s">
        <v>81</v>
      </c>
      <c r="E273" s="17" t="n">
        <v>2010</v>
      </c>
      <c r="F273" s="17" t="n">
        <v>0</v>
      </c>
      <c r="G273" s="17" t="s">
        <v>243</v>
      </c>
    </row>
    <row r="274" customFormat="false" ht="15" hidden="false" customHeight="false" outlineLevel="0" collapsed="false">
      <c r="A274" s="17" t="s">
        <v>105</v>
      </c>
      <c r="B274" s="17" t="s">
        <v>83</v>
      </c>
      <c r="C274" s="17" t="n">
        <v>2003</v>
      </c>
      <c r="D274" s="17" t="s">
        <v>85</v>
      </c>
      <c r="E274" s="17" t="n">
        <v>2001</v>
      </c>
      <c r="F274" s="17" t="n">
        <v>2</v>
      </c>
      <c r="G274" s="17"/>
    </row>
    <row r="275" customFormat="false" ht="15" hidden="false" customHeight="false" outlineLevel="0" collapsed="false">
      <c r="A275" s="17" t="s">
        <v>105</v>
      </c>
      <c r="B275" s="17" t="s">
        <v>83</v>
      </c>
      <c r="C275" s="17" t="n">
        <v>2003</v>
      </c>
      <c r="D275" s="17" t="s">
        <v>89</v>
      </c>
      <c r="E275" s="17" t="n">
        <v>2002</v>
      </c>
      <c r="F275" s="17" t="n">
        <v>1</v>
      </c>
      <c r="G275" s="17"/>
    </row>
    <row r="276" customFormat="false" ht="15" hidden="false" customHeight="false" outlineLevel="0" collapsed="false">
      <c r="A276" s="17" t="s">
        <v>105</v>
      </c>
      <c r="B276" s="17" t="s">
        <v>85</v>
      </c>
      <c r="C276" s="17" t="n">
        <v>2001</v>
      </c>
      <c r="D276" s="17" t="s">
        <v>89</v>
      </c>
      <c r="E276" s="17" t="n">
        <v>2002</v>
      </c>
      <c r="F276" s="17" t="n">
        <v>1</v>
      </c>
      <c r="G276" s="17"/>
    </row>
    <row r="277" customFormat="false" ht="15" hidden="false" customHeight="false" outlineLevel="0" collapsed="false">
      <c r="A277" s="17" t="s">
        <v>105</v>
      </c>
      <c r="B277" s="17" t="s">
        <v>85</v>
      </c>
      <c r="C277" s="17" t="n">
        <v>2001</v>
      </c>
      <c r="D277" s="17" t="s">
        <v>93</v>
      </c>
      <c r="E277" s="17" t="n">
        <v>1999</v>
      </c>
      <c r="F277" s="17" t="n">
        <v>2</v>
      </c>
      <c r="G277" s="17"/>
    </row>
    <row r="278" customFormat="false" ht="15" hidden="false" customHeight="false" outlineLevel="0" collapsed="false">
      <c r="A278" s="17" t="s">
        <v>105</v>
      </c>
      <c r="B278" s="17" t="s">
        <v>91</v>
      </c>
      <c r="C278" s="17" t="n">
        <v>1998</v>
      </c>
      <c r="D278" s="17" t="s">
        <v>93</v>
      </c>
      <c r="E278" s="17" t="n">
        <v>1999</v>
      </c>
      <c r="F278" s="17" t="n">
        <v>1</v>
      </c>
      <c r="G278" s="17"/>
    </row>
    <row r="279" customFormat="false" ht="15" hidden="false" customHeight="false" outlineLevel="0" collapsed="false">
      <c r="A279" s="17" t="s">
        <v>105</v>
      </c>
      <c r="B279" s="17" t="s">
        <v>91</v>
      </c>
      <c r="C279" s="17" t="n">
        <v>1998</v>
      </c>
      <c r="D279" s="17" t="s">
        <v>95</v>
      </c>
      <c r="E279" s="17" t="n">
        <v>1997</v>
      </c>
      <c r="F279" s="17" t="n">
        <v>1</v>
      </c>
      <c r="G279" s="17"/>
    </row>
    <row r="280" customFormat="false" ht="15" hidden="false" customHeight="false" outlineLevel="0" collapsed="false">
      <c r="A280" s="17" t="s">
        <v>105</v>
      </c>
      <c r="B280" s="17" t="s">
        <v>93</v>
      </c>
      <c r="C280" s="17" t="n">
        <v>1999</v>
      </c>
      <c r="D280" s="17" t="s">
        <v>95</v>
      </c>
      <c r="E280" s="17" t="n">
        <v>1997</v>
      </c>
      <c r="F280" s="17" t="n">
        <v>2</v>
      </c>
      <c r="G280" s="17"/>
    </row>
    <row r="281" customFormat="false" ht="15" hidden="false" customHeight="false" outlineLevel="0" collapsed="false">
      <c r="A281" s="17" t="s">
        <v>106</v>
      </c>
      <c r="B281" s="17" t="s">
        <v>25</v>
      </c>
      <c r="C281" s="17" t="n">
        <v>63400</v>
      </c>
      <c r="D281" s="17" t="s">
        <v>39</v>
      </c>
      <c r="E281" s="17" t="n">
        <v>62500</v>
      </c>
      <c r="F281" s="17" t="n">
        <v>900</v>
      </c>
      <c r="G281" s="17"/>
    </row>
    <row r="282" customFormat="false" ht="15" hidden="false" customHeight="false" outlineLevel="0" collapsed="false">
      <c r="A282" s="17" t="s">
        <v>106</v>
      </c>
      <c r="B282" s="17" t="s">
        <v>25</v>
      </c>
      <c r="C282" s="17" t="n">
        <v>63400</v>
      </c>
      <c r="D282" s="17" t="s">
        <v>95</v>
      </c>
      <c r="E282" s="17" t="n">
        <v>64000</v>
      </c>
      <c r="F282" s="17" t="n">
        <v>600</v>
      </c>
      <c r="G282" s="17"/>
    </row>
    <row r="283" customFormat="false" ht="15" hidden="false" customHeight="false" outlineLevel="0" collapsed="false">
      <c r="A283" s="17" t="s">
        <v>106</v>
      </c>
      <c r="B283" s="17" t="s">
        <v>28</v>
      </c>
      <c r="C283" s="17" t="n">
        <v>71000</v>
      </c>
      <c r="D283" s="17" t="s">
        <v>31</v>
      </c>
      <c r="E283" s="17" t="n">
        <v>71008</v>
      </c>
      <c r="F283" s="17" t="n">
        <v>8</v>
      </c>
      <c r="G283" s="17"/>
    </row>
    <row r="284" customFormat="false" ht="15" hidden="false" customHeight="false" outlineLevel="0" collapsed="false">
      <c r="A284" s="17" t="s">
        <v>106</v>
      </c>
      <c r="B284" s="17" t="s">
        <v>28</v>
      </c>
      <c r="C284" s="17" t="n">
        <v>71000</v>
      </c>
      <c r="D284" s="17" t="s">
        <v>56</v>
      </c>
      <c r="E284" s="17" t="n">
        <v>72220</v>
      </c>
      <c r="F284" s="17" t="n">
        <v>1220</v>
      </c>
      <c r="G284" s="17"/>
    </row>
    <row r="285" customFormat="false" ht="15" hidden="false" customHeight="false" outlineLevel="0" collapsed="false">
      <c r="A285" s="17" t="s">
        <v>106</v>
      </c>
      <c r="B285" s="17" t="s">
        <v>28</v>
      </c>
      <c r="C285" s="17" t="n">
        <v>71000</v>
      </c>
      <c r="D285" s="17" t="s">
        <v>67</v>
      </c>
      <c r="E285" s="17" t="n">
        <v>70000</v>
      </c>
      <c r="F285" s="17" t="n">
        <v>1000</v>
      </c>
      <c r="G285" s="17"/>
    </row>
    <row r="286" customFormat="false" ht="15" hidden="false" customHeight="false" outlineLevel="0" collapsed="false">
      <c r="A286" s="17" t="s">
        <v>106</v>
      </c>
      <c r="B286" s="17" t="s">
        <v>28</v>
      </c>
      <c r="C286" s="17" t="n">
        <v>71000</v>
      </c>
      <c r="D286" s="17" t="s">
        <v>69</v>
      </c>
      <c r="E286" s="17" t="n">
        <v>70000</v>
      </c>
      <c r="F286" s="17" t="n">
        <v>1000</v>
      </c>
      <c r="G286" s="17"/>
    </row>
    <row r="287" customFormat="false" ht="15" hidden="false" customHeight="false" outlineLevel="0" collapsed="false">
      <c r="A287" s="17" t="s">
        <v>106</v>
      </c>
      <c r="B287" s="17" t="s">
        <v>28</v>
      </c>
      <c r="C287" s="17" t="n">
        <v>71000</v>
      </c>
      <c r="D287" s="17" t="s">
        <v>83</v>
      </c>
      <c r="E287" s="17" t="n">
        <v>69596</v>
      </c>
      <c r="F287" s="17" t="n">
        <v>1404</v>
      </c>
      <c r="G287" s="17"/>
    </row>
    <row r="288" customFormat="false" ht="15" hidden="false" customHeight="false" outlineLevel="0" collapsed="false">
      <c r="A288" s="17" t="s">
        <v>106</v>
      </c>
      <c r="B288" s="17" t="s">
        <v>31</v>
      </c>
      <c r="C288" s="17" t="n">
        <v>71008</v>
      </c>
      <c r="D288" s="17" t="s">
        <v>56</v>
      </c>
      <c r="E288" s="17" t="n">
        <v>72220</v>
      </c>
      <c r="F288" s="17" t="n">
        <v>1212</v>
      </c>
      <c r="G288" s="17"/>
    </row>
    <row r="289" customFormat="false" ht="15" hidden="false" customHeight="false" outlineLevel="0" collapsed="false">
      <c r="A289" s="17" t="s">
        <v>106</v>
      </c>
      <c r="B289" s="17" t="s">
        <v>31</v>
      </c>
      <c r="C289" s="17" t="n">
        <v>71008</v>
      </c>
      <c r="D289" s="17" t="s">
        <v>67</v>
      </c>
      <c r="E289" s="17" t="n">
        <v>70000</v>
      </c>
      <c r="F289" s="17" t="n">
        <v>1008</v>
      </c>
      <c r="G289" s="17"/>
    </row>
    <row r="290" customFormat="false" ht="15" hidden="false" customHeight="false" outlineLevel="0" collapsed="false">
      <c r="A290" s="17" t="s">
        <v>106</v>
      </c>
      <c r="B290" s="17" t="s">
        <v>31</v>
      </c>
      <c r="C290" s="17" t="n">
        <v>71008</v>
      </c>
      <c r="D290" s="17" t="s">
        <v>69</v>
      </c>
      <c r="E290" s="17" t="n">
        <v>70000</v>
      </c>
      <c r="F290" s="17" t="n">
        <v>1008</v>
      </c>
      <c r="G290" s="17"/>
    </row>
    <row r="291" customFormat="false" ht="15" hidden="false" customHeight="false" outlineLevel="0" collapsed="false">
      <c r="A291" s="17" t="s">
        <v>106</v>
      </c>
      <c r="B291" s="17" t="s">
        <v>31</v>
      </c>
      <c r="C291" s="17" t="n">
        <v>71008</v>
      </c>
      <c r="D291" s="17" t="s">
        <v>83</v>
      </c>
      <c r="E291" s="17" t="n">
        <v>69596</v>
      </c>
      <c r="F291" s="17" t="n">
        <v>1412</v>
      </c>
      <c r="G291" s="17"/>
    </row>
    <row r="292" customFormat="false" ht="15" hidden="false" customHeight="false" outlineLevel="0" collapsed="false">
      <c r="A292" s="17" t="s">
        <v>106</v>
      </c>
      <c r="B292" s="17" t="s">
        <v>37</v>
      </c>
      <c r="C292" s="17" t="n">
        <v>75037</v>
      </c>
      <c r="D292" s="17" t="s">
        <v>49</v>
      </c>
      <c r="E292" s="17" t="n">
        <v>76125</v>
      </c>
      <c r="F292" s="17" t="n">
        <v>1088</v>
      </c>
      <c r="G292" s="17"/>
    </row>
    <row r="293" customFormat="false" ht="15" hidden="false" customHeight="false" outlineLevel="0" collapsed="false">
      <c r="A293" s="17" t="s">
        <v>106</v>
      </c>
      <c r="B293" s="17" t="s">
        <v>42</v>
      </c>
      <c r="C293" s="17" t="n">
        <v>65515</v>
      </c>
      <c r="D293" s="17" t="s">
        <v>52</v>
      </c>
      <c r="E293" s="17" t="n">
        <v>65000</v>
      </c>
      <c r="F293" s="17" t="n">
        <v>515</v>
      </c>
      <c r="G293" s="17"/>
    </row>
    <row r="294" customFormat="false" ht="15" hidden="false" customHeight="false" outlineLevel="0" collapsed="false">
      <c r="A294" s="17" t="s">
        <v>106</v>
      </c>
      <c r="B294" s="17" t="s">
        <v>42</v>
      </c>
      <c r="C294" s="17" t="n">
        <v>65515</v>
      </c>
      <c r="D294" s="17" t="s">
        <v>59</v>
      </c>
      <c r="E294" s="17" t="n">
        <v>67000</v>
      </c>
      <c r="F294" s="17" t="n">
        <v>1485</v>
      </c>
      <c r="G294" s="17"/>
    </row>
    <row r="295" customFormat="false" ht="15" hidden="false" customHeight="false" outlineLevel="0" collapsed="false">
      <c r="A295" s="17" t="s">
        <v>106</v>
      </c>
      <c r="B295" s="17" t="s">
        <v>42</v>
      </c>
      <c r="C295" s="17" t="n">
        <v>65515</v>
      </c>
      <c r="D295" s="17" t="s">
        <v>65</v>
      </c>
      <c r="E295" s="17" t="n">
        <v>66000</v>
      </c>
      <c r="F295" s="17" t="n">
        <v>485</v>
      </c>
      <c r="G295" s="17"/>
    </row>
    <row r="296" customFormat="false" ht="15" hidden="false" customHeight="false" outlineLevel="0" collapsed="false">
      <c r="A296" s="17" t="s">
        <v>106</v>
      </c>
      <c r="B296" s="17" t="s">
        <v>42</v>
      </c>
      <c r="C296" s="17" t="n">
        <v>65515</v>
      </c>
      <c r="D296" s="17" t="s">
        <v>71</v>
      </c>
      <c r="E296" s="17" t="n">
        <v>65326</v>
      </c>
      <c r="F296" s="17" t="n">
        <v>189</v>
      </c>
      <c r="G296" s="17"/>
    </row>
    <row r="297" customFormat="false" ht="15" hidden="false" customHeight="false" outlineLevel="0" collapsed="false">
      <c r="A297" s="17" t="s">
        <v>106</v>
      </c>
      <c r="B297" s="17" t="s">
        <v>42</v>
      </c>
      <c r="C297" s="17" t="n">
        <v>65515</v>
      </c>
      <c r="D297" s="17" t="s">
        <v>73</v>
      </c>
      <c r="E297" s="17" t="n">
        <v>66655</v>
      </c>
      <c r="F297" s="17" t="n">
        <v>1140</v>
      </c>
      <c r="G297" s="17"/>
    </row>
    <row r="298" customFormat="false" ht="15" hidden="false" customHeight="false" outlineLevel="0" collapsed="false">
      <c r="A298" s="17" t="s">
        <v>106</v>
      </c>
      <c r="B298" s="17" t="s">
        <v>42</v>
      </c>
      <c r="C298" s="17" t="n">
        <v>65515</v>
      </c>
      <c r="D298" s="17" t="s">
        <v>75</v>
      </c>
      <c r="E298" s="17" t="n">
        <v>66829</v>
      </c>
      <c r="F298" s="17" t="n">
        <v>1314</v>
      </c>
      <c r="G298" s="17"/>
    </row>
    <row r="299" customFormat="false" ht="15" hidden="false" customHeight="false" outlineLevel="0" collapsed="false">
      <c r="A299" s="17" t="s">
        <v>106</v>
      </c>
      <c r="B299" s="17" t="s">
        <v>42</v>
      </c>
      <c r="C299" s="17" t="n">
        <v>65515</v>
      </c>
      <c r="D299" s="17" t="s">
        <v>91</v>
      </c>
      <c r="E299" s="17" t="n">
        <v>65890</v>
      </c>
      <c r="F299" s="17" t="n">
        <v>375</v>
      </c>
      <c r="G299" s="17"/>
    </row>
    <row r="300" customFormat="false" ht="15" hidden="false" customHeight="false" outlineLevel="0" collapsed="false">
      <c r="A300" s="17" t="s">
        <v>106</v>
      </c>
      <c r="B300" s="17" t="s">
        <v>44</v>
      </c>
      <c r="C300" s="17" t="n">
        <v>67895</v>
      </c>
      <c r="D300" s="17" t="s">
        <v>59</v>
      </c>
      <c r="E300" s="17" t="n">
        <v>67000</v>
      </c>
      <c r="F300" s="17" t="n">
        <v>895</v>
      </c>
      <c r="G300" s="17"/>
    </row>
    <row r="301" customFormat="false" ht="15" hidden="false" customHeight="false" outlineLevel="0" collapsed="false">
      <c r="A301" s="17" t="s">
        <v>106</v>
      </c>
      <c r="B301" s="17" t="s">
        <v>44</v>
      </c>
      <c r="C301" s="17" t="n">
        <v>67895</v>
      </c>
      <c r="D301" s="17" t="s">
        <v>61</v>
      </c>
      <c r="E301" s="17" t="n">
        <v>69132</v>
      </c>
      <c r="F301" s="17" t="n">
        <v>1237</v>
      </c>
      <c r="G301" s="17"/>
    </row>
    <row r="302" customFormat="false" ht="15" hidden="false" customHeight="false" outlineLevel="0" collapsed="false">
      <c r="A302" s="17" t="s">
        <v>106</v>
      </c>
      <c r="B302" s="17" t="s">
        <v>44</v>
      </c>
      <c r="C302" s="17" t="n">
        <v>67895</v>
      </c>
      <c r="D302" s="17" t="s">
        <v>73</v>
      </c>
      <c r="E302" s="17" t="n">
        <v>66655</v>
      </c>
      <c r="F302" s="17" t="n">
        <v>1240</v>
      </c>
      <c r="G302" s="17"/>
    </row>
    <row r="303" customFormat="false" ht="15" hidden="false" customHeight="false" outlineLevel="0" collapsed="false">
      <c r="A303" s="17" t="s">
        <v>106</v>
      </c>
      <c r="B303" s="17" t="s">
        <v>44</v>
      </c>
      <c r="C303" s="17" t="n">
        <v>67895</v>
      </c>
      <c r="D303" s="17" t="s">
        <v>75</v>
      </c>
      <c r="E303" s="17" t="n">
        <v>66829</v>
      </c>
      <c r="F303" s="17" t="n">
        <v>1066</v>
      </c>
      <c r="G303" s="17"/>
    </row>
    <row r="304" customFormat="false" ht="15" hidden="false" customHeight="false" outlineLevel="0" collapsed="false">
      <c r="A304" s="17" t="s">
        <v>106</v>
      </c>
      <c r="B304" s="17" t="s">
        <v>44</v>
      </c>
      <c r="C304" s="17" t="n">
        <v>67895</v>
      </c>
      <c r="D304" s="17" t="s">
        <v>85</v>
      </c>
      <c r="E304" s="17" t="n">
        <v>68984</v>
      </c>
      <c r="F304" s="17" t="n">
        <v>1089</v>
      </c>
      <c r="G304" s="17"/>
    </row>
    <row r="305" customFormat="false" ht="15" hidden="false" customHeight="false" outlineLevel="0" collapsed="false">
      <c r="A305" s="17" t="s">
        <v>106</v>
      </c>
      <c r="B305" s="17" t="s">
        <v>44</v>
      </c>
      <c r="C305" s="17" t="n">
        <v>67895</v>
      </c>
      <c r="D305" s="17" t="s">
        <v>87</v>
      </c>
      <c r="E305" s="17" t="n">
        <v>68500</v>
      </c>
      <c r="F305" s="17" t="n">
        <v>605</v>
      </c>
      <c r="G305" s="17"/>
    </row>
    <row r="306" customFormat="false" ht="15" hidden="false" customHeight="false" outlineLevel="0" collapsed="false">
      <c r="A306" s="17" t="s">
        <v>106</v>
      </c>
      <c r="B306" s="17" t="s">
        <v>44</v>
      </c>
      <c r="C306" s="17" t="n">
        <v>67895</v>
      </c>
      <c r="D306" s="17" t="s">
        <v>89</v>
      </c>
      <c r="E306" s="17" t="n">
        <v>69000</v>
      </c>
      <c r="F306" s="17" t="n">
        <v>1105</v>
      </c>
      <c r="G306" s="17"/>
    </row>
    <row r="307" customFormat="false" ht="15" hidden="false" customHeight="false" outlineLevel="0" collapsed="false">
      <c r="A307" s="17" t="s">
        <v>106</v>
      </c>
      <c r="B307" s="17" t="s">
        <v>44</v>
      </c>
      <c r="C307" s="17" t="n">
        <v>67895</v>
      </c>
      <c r="D307" s="17" t="s">
        <v>93</v>
      </c>
      <c r="E307" s="17" t="n">
        <v>69143</v>
      </c>
      <c r="F307" s="17" t="n">
        <v>1248</v>
      </c>
      <c r="G307" s="17"/>
    </row>
    <row r="308" customFormat="false" ht="15" hidden="false" customHeight="false" outlineLevel="0" collapsed="false">
      <c r="A308" s="17" t="s">
        <v>106</v>
      </c>
      <c r="B308" s="17" t="s">
        <v>46</v>
      </c>
      <c r="C308" s="17" t="n">
        <v>80000</v>
      </c>
      <c r="D308" s="17" t="s">
        <v>54</v>
      </c>
      <c r="E308" s="17" t="n">
        <v>81441</v>
      </c>
      <c r="F308" s="17" t="n">
        <v>1441</v>
      </c>
      <c r="G308" s="17"/>
    </row>
    <row r="309" customFormat="false" ht="15" hidden="false" customHeight="false" outlineLevel="0" collapsed="false">
      <c r="A309" s="17" t="s">
        <v>106</v>
      </c>
      <c r="B309" s="17" t="s">
        <v>52</v>
      </c>
      <c r="C309" s="17" t="n">
        <v>65000</v>
      </c>
      <c r="D309" s="17" t="s">
        <v>65</v>
      </c>
      <c r="E309" s="17" t="n">
        <v>66000</v>
      </c>
      <c r="F309" s="17" t="n">
        <v>1000</v>
      </c>
      <c r="G309" s="17"/>
    </row>
    <row r="310" customFormat="false" ht="15" hidden="false" customHeight="false" outlineLevel="0" collapsed="false">
      <c r="A310" s="17" t="s">
        <v>106</v>
      </c>
      <c r="B310" s="17" t="s">
        <v>52</v>
      </c>
      <c r="C310" s="17" t="n">
        <v>65000</v>
      </c>
      <c r="D310" s="17" t="s">
        <v>71</v>
      </c>
      <c r="E310" s="17" t="n">
        <v>65326</v>
      </c>
      <c r="F310" s="17" t="n">
        <v>326</v>
      </c>
      <c r="G310" s="17"/>
    </row>
    <row r="311" customFormat="false" ht="15" hidden="false" customHeight="false" outlineLevel="0" collapsed="false">
      <c r="A311" s="17" t="s">
        <v>106</v>
      </c>
      <c r="B311" s="17" t="s">
        <v>52</v>
      </c>
      <c r="C311" s="17" t="n">
        <v>65000</v>
      </c>
      <c r="D311" s="17" t="s">
        <v>91</v>
      </c>
      <c r="E311" s="17" t="n">
        <v>65890</v>
      </c>
      <c r="F311" s="17" t="n">
        <v>890</v>
      </c>
      <c r="G311" s="17"/>
    </row>
    <row r="312" customFormat="false" ht="15" hidden="false" customHeight="false" outlineLevel="0" collapsed="false">
      <c r="A312" s="17" t="s">
        <v>106</v>
      </c>
      <c r="B312" s="17" t="s">
        <v>52</v>
      </c>
      <c r="C312" s="17" t="n">
        <v>65000</v>
      </c>
      <c r="D312" s="17" t="s">
        <v>95</v>
      </c>
      <c r="E312" s="17" t="n">
        <v>64000</v>
      </c>
      <c r="F312" s="17" t="n">
        <v>1000</v>
      </c>
      <c r="G312" s="17"/>
    </row>
    <row r="313" customFormat="false" ht="15" hidden="false" customHeight="false" outlineLevel="0" collapsed="false">
      <c r="A313" s="17" t="s">
        <v>106</v>
      </c>
      <c r="B313" s="17" t="s">
        <v>54</v>
      </c>
      <c r="C313" s="17" t="n">
        <v>81441</v>
      </c>
      <c r="D313" s="17" t="s">
        <v>79</v>
      </c>
      <c r="E313" s="17" t="n">
        <v>82500</v>
      </c>
      <c r="F313" s="17" t="n">
        <v>1059</v>
      </c>
      <c r="G313" s="17"/>
    </row>
    <row r="314" customFormat="false" ht="15" hidden="false" customHeight="false" outlineLevel="0" collapsed="false">
      <c r="A314" s="17" t="s">
        <v>106</v>
      </c>
      <c r="B314" s="17" t="s">
        <v>54</v>
      </c>
      <c r="C314" s="17" t="n">
        <v>81441</v>
      </c>
      <c r="D314" s="17" t="s">
        <v>81</v>
      </c>
      <c r="E314" s="17" t="n">
        <v>82500</v>
      </c>
      <c r="F314" s="17" t="n">
        <v>1059</v>
      </c>
      <c r="G314" s="17"/>
    </row>
    <row r="315" customFormat="false" ht="15" hidden="false" customHeight="false" outlineLevel="0" collapsed="false">
      <c r="A315" s="17" t="s">
        <v>106</v>
      </c>
      <c r="B315" s="17" t="s">
        <v>56</v>
      </c>
      <c r="C315" s="17" t="n">
        <v>72220</v>
      </c>
      <c r="D315" s="17" t="s">
        <v>63</v>
      </c>
      <c r="E315" s="17" t="n">
        <v>73426</v>
      </c>
      <c r="F315" s="17" t="n">
        <v>1206</v>
      </c>
      <c r="G315" s="17"/>
    </row>
    <row r="316" customFormat="false" ht="15" hidden="false" customHeight="false" outlineLevel="0" collapsed="false">
      <c r="A316" s="17" t="s">
        <v>106</v>
      </c>
      <c r="B316" s="17" t="s">
        <v>56</v>
      </c>
      <c r="C316" s="17" t="n">
        <v>72220</v>
      </c>
      <c r="D316" s="17" t="s">
        <v>77</v>
      </c>
      <c r="E316" s="17" t="n">
        <v>73208</v>
      </c>
      <c r="F316" s="17" t="n">
        <v>988</v>
      </c>
      <c r="G316" s="17"/>
    </row>
    <row r="317" customFormat="false" ht="15" hidden="false" customHeight="false" outlineLevel="0" collapsed="false">
      <c r="A317" s="17" t="s">
        <v>106</v>
      </c>
      <c r="B317" s="17" t="s">
        <v>59</v>
      </c>
      <c r="C317" s="17" t="n">
        <v>67000</v>
      </c>
      <c r="D317" s="17" t="s">
        <v>65</v>
      </c>
      <c r="E317" s="17" t="n">
        <v>66000</v>
      </c>
      <c r="F317" s="17" t="n">
        <v>1000</v>
      </c>
      <c r="G317" s="17"/>
    </row>
    <row r="318" customFormat="false" ht="15" hidden="false" customHeight="false" outlineLevel="0" collapsed="false">
      <c r="A318" s="17" t="s">
        <v>106</v>
      </c>
      <c r="B318" s="17" t="s">
        <v>59</v>
      </c>
      <c r="C318" s="17" t="n">
        <v>67000</v>
      </c>
      <c r="D318" s="17" t="s">
        <v>73</v>
      </c>
      <c r="E318" s="17" t="n">
        <v>66655</v>
      </c>
      <c r="F318" s="17" t="n">
        <v>345</v>
      </c>
      <c r="G318" s="17"/>
    </row>
    <row r="319" customFormat="false" ht="15" hidden="false" customHeight="false" outlineLevel="0" collapsed="false">
      <c r="A319" s="17" t="s">
        <v>106</v>
      </c>
      <c r="B319" s="17" t="s">
        <v>59</v>
      </c>
      <c r="C319" s="17" t="n">
        <v>67000</v>
      </c>
      <c r="D319" s="17" t="s">
        <v>75</v>
      </c>
      <c r="E319" s="17" t="n">
        <v>66829</v>
      </c>
      <c r="F319" s="17" t="n">
        <v>171</v>
      </c>
      <c r="G319" s="17"/>
    </row>
    <row r="320" customFormat="false" ht="15" hidden="false" customHeight="false" outlineLevel="0" collapsed="false">
      <c r="A320" s="17" t="s">
        <v>106</v>
      </c>
      <c r="B320" s="17" t="s">
        <v>59</v>
      </c>
      <c r="C320" s="17" t="n">
        <v>67000</v>
      </c>
      <c r="D320" s="17" t="s">
        <v>91</v>
      </c>
      <c r="E320" s="17" t="n">
        <v>65890</v>
      </c>
      <c r="F320" s="17" t="n">
        <v>1110</v>
      </c>
      <c r="G320" s="17"/>
    </row>
    <row r="321" customFormat="false" ht="15" hidden="false" customHeight="false" outlineLevel="0" collapsed="false">
      <c r="A321" s="17" t="s">
        <v>106</v>
      </c>
      <c r="B321" s="17" t="s">
        <v>61</v>
      </c>
      <c r="C321" s="17" t="n">
        <v>69132</v>
      </c>
      <c r="D321" s="17" t="s">
        <v>67</v>
      </c>
      <c r="E321" s="17" t="n">
        <v>70000</v>
      </c>
      <c r="F321" s="17" t="n">
        <v>868</v>
      </c>
      <c r="G321" s="17"/>
    </row>
    <row r="322" customFormat="false" ht="15" hidden="false" customHeight="false" outlineLevel="0" collapsed="false">
      <c r="A322" s="17" t="s">
        <v>106</v>
      </c>
      <c r="B322" s="17" t="s">
        <v>61</v>
      </c>
      <c r="C322" s="17" t="n">
        <v>69132</v>
      </c>
      <c r="D322" s="17" t="s">
        <v>69</v>
      </c>
      <c r="E322" s="17" t="n">
        <v>70000</v>
      </c>
      <c r="F322" s="17" t="n">
        <v>868</v>
      </c>
      <c r="G322" s="17"/>
    </row>
    <row r="323" customFormat="false" ht="15" hidden="false" customHeight="false" outlineLevel="0" collapsed="false">
      <c r="A323" s="17" t="s">
        <v>106</v>
      </c>
      <c r="B323" s="17" t="s">
        <v>61</v>
      </c>
      <c r="C323" s="17" t="n">
        <v>69132</v>
      </c>
      <c r="D323" s="17" t="s">
        <v>83</v>
      </c>
      <c r="E323" s="17" t="n">
        <v>69596</v>
      </c>
      <c r="F323" s="17" t="n">
        <v>464</v>
      </c>
      <c r="G323" s="17"/>
    </row>
    <row r="324" customFormat="false" ht="15" hidden="false" customHeight="false" outlineLevel="0" collapsed="false">
      <c r="A324" s="17" t="s">
        <v>106</v>
      </c>
      <c r="B324" s="17" t="s">
        <v>61</v>
      </c>
      <c r="C324" s="17" t="n">
        <v>69132</v>
      </c>
      <c r="D324" s="17" t="s">
        <v>85</v>
      </c>
      <c r="E324" s="17" t="n">
        <v>68984</v>
      </c>
      <c r="F324" s="17" t="n">
        <v>148</v>
      </c>
      <c r="G324" s="17"/>
    </row>
    <row r="325" customFormat="false" ht="15" hidden="false" customHeight="false" outlineLevel="0" collapsed="false">
      <c r="A325" s="17" t="s">
        <v>106</v>
      </c>
      <c r="B325" s="17" t="s">
        <v>61</v>
      </c>
      <c r="C325" s="17" t="n">
        <v>69132</v>
      </c>
      <c r="D325" s="17" t="s">
        <v>87</v>
      </c>
      <c r="E325" s="17" t="n">
        <v>68500</v>
      </c>
      <c r="F325" s="17" t="n">
        <v>632</v>
      </c>
      <c r="G325" s="17"/>
    </row>
    <row r="326" customFormat="false" ht="15" hidden="false" customHeight="false" outlineLevel="0" collapsed="false">
      <c r="A326" s="17" t="s">
        <v>106</v>
      </c>
      <c r="B326" s="17" t="s">
        <v>61</v>
      </c>
      <c r="C326" s="17" t="n">
        <v>69132</v>
      </c>
      <c r="D326" s="17" t="s">
        <v>89</v>
      </c>
      <c r="E326" s="17" t="n">
        <v>69000</v>
      </c>
      <c r="F326" s="17" t="n">
        <v>132</v>
      </c>
      <c r="G326" s="17"/>
    </row>
    <row r="327" customFormat="false" ht="15" hidden="false" customHeight="false" outlineLevel="0" collapsed="false">
      <c r="A327" s="17" t="s">
        <v>106</v>
      </c>
      <c r="B327" s="17" t="s">
        <v>61</v>
      </c>
      <c r="C327" s="17" t="n">
        <v>69132</v>
      </c>
      <c r="D327" s="17" t="s">
        <v>93</v>
      </c>
      <c r="E327" s="17" t="n">
        <v>69143</v>
      </c>
      <c r="F327" s="17" t="n">
        <v>11</v>
      </c>
      <c r="G327" s="17"/>
    </row>
    <row r="328" customFormat="false" ht="15" hidden="false" customHeight="false" outlineLevel="0" collapsed="false">
      <c r="A328" s="17" t="s">
        <v>106</v>
      </c>
      <c r="B328" s="17" t="s">
        <v>63</v>
      </c>
      <c r="C328" s="17" t="n">
        <v>73426</v>
      </c>
      <c r="D328" s="17" t="s">
        <v>77</v>
      </c>
      <c r="E328" s="17" t="n">
        <v>73208</v>
      </c>
      <c r="F328" s="17" t="n">
        <v>218</v>
      </c>
      <c r="G328" s="17"/>
    </row>
    <row r="329" customFormat="false" ht="15" hidden="false" customHeight="false" outlineLevel="0" collapsed="false">
      <c r="A329" s="17" t="s">
        <v>106</v>
      </c>
      <c r="B329" s="17" t="s">
        <v>65</v>
      </c>
      <c r="C329" s="17" t="n">
        <v>66000</v>
      </c>
      <c r="D329" s="17" t="s">
        <v>71</v>
      </c>
      <c r="E329" s="17" t="n">
        <v>65326</v>
      </c>
      <c r="F329" s="17" t="n">
        <v>674</v>
      </c>
      <c r="G329" s="17"/>
    </row>
    <row r="330" customFormat="false" ht="15" hidden="false" customHeight="false" outlineLevel="0" collapsed="false">
      <c r="A330" s="17" t="s">
        <v>106</v>
      </c>
      <c r="B330" s="17" t="s">
        <v>65</v>
      </c>
      <c r="C330" s="17" t="n">
        <v>66000</v>
      </c>
      <c r="D330" s="17" t="s">
        <v>73</v>
      </c>
      <c r="E330" s="17" t="n">
        <v>66655</v>
      </c>
      <c r="F330" s="17" t="n">
        <v>655</v>
      </c>
      <c r="G330" s="17"/>
    </row>
    <row r="331" customFormat="false" ht="15" hidden="false" customHeight="false" outlineLevel="0" collapsed="false">
      <c r="A331" s="17" t="s">
        <v>106</v>
      </c>
      <c r="B331" s="17" t="s">
        <v>65</v>
      </c>
      <c r="C331" s="17" t="n">
        <v>66000</v>
      </c>
      <c r="D331" s="17" t="s">
        <v>75</v>
      </c>
      <c r="E331" s="17" t="n">
        <v>66829</v>
      </c>
      <c r="F331" s="17" t="n">
        <v>829</v>
      </c>
      <c r="G331" s="17"/>
    </row>
    <row r="332" customFormat="false" ht="15" hidden="false" customHeight="false" outlineLevel="0" collapsed="false">
      <c r="A332" s="17" t="s">
        <v>106</v>
      </c>
      <c r="B332" s="17" t="s">
        <v>65</v>
      </c>
      <c r="C332" s="17" t="n">
        <v>66000</v>
      </c>
      <c r="D332" s="17" t="s">
        <v>91</v>
      </c>
      <c r="E332" s="17" t="n">
        <v>65890</v>
      </c>
      <c r="F332" s="17" t="n">
        <v>110</v>
      </c>
      <c r="G332" s="17"/>
    </row>
    <row r="333" customFormat="false" ht="15" hidden="false" customHeight="false" outlineLevel="0" collapsed="false">
      <c r="A333" s="17" t="s">
        <v>106</v>
      </c>
      <c r="B333" s="17" t="s">
        <v>67</v>
      </c>
      <c r="C333" s="17" t="n">
        <v>70000</v>
      </c>
      <c r="D333" s="17" t="s">
        <v>69</v>
      </c>
      <c r="E333" s="17" t="n">
        <v>70000</v>
      </c>
      <c r="F333" s="17" t="n">
        <v>0</v>
      </c>
      <c r="G333" s="17" t="s">
        <v>243</v>
      </c>
    </row>
    <row r="334" customFormat="false" ht="15" hidden="false" customHeight="false" outlineLevel="0" collapsed="false">
      <c r="A334" s="17" t="s">
        <v>106</v>
      </c>
      <c r="B334" s="17" t="s">
        <v>67</v>
      </c>
      <c r="C334" s="17" t="n">
        <v>70000</v>
      </c>
      <c r="D334" s="17" t="s">
        <v>83</v>
      </c>
      <c r="E334" s="17" t="n">
        <v>69596</v>
      </c>
      <c r="F334" s="17" t="n">
        <v>404</v>
      </c>
      <c r="G334" s="17"/>
    </row>
    <row r="335" customFormat="false" ht="15" hidden="false" customHeight="false" outlineLevel="0" collapsed="false">
      <c r="A335" s="17" t="s">
        <v>106</v>
      </c>
      <c r="B335" s="17" t="s">
        <v>67</v>
      </c>
      <c r="C335" s="17" t="n">
        <v>70000</v>
      </c>
      <c r="D335" s="17" t="s">
        <v>85</v>
      </c>
      <c r="E335" s="17" t="n">
        <v>68984</v>
      </c>
      <c r="F335" s="17" t="n">
        <v>1016</v>
      </c>
      <c r="G335" s="17"/>
    </row>
    <row r="336" customFormat="false" ht="15" hidden="false" customHeight="false" outlineLevel="0" collapsed="false">
      <c r="A336" s="17" t="s">
        <v>106</v>
      </c>
      <c r="B336" s="17" t="s">
        <v>67</v>
      </c>
      <c r="C336" s="17" t="n">
        <v>70000</v>
      </c>
      <c r="D336" s="17" t="s">
        <v>89</v>
      </c>
      <c r="E336" s="17" t="n">
        <v>69000</v>
      </c>
      <c r="F336" s="17" t="n">
        <v>1000</v>
      </c>
      <c r="G336" s="17"/>
    </row>
    <row r="337" customFormat="false" ht="15" hidden="false" customHeight="false" outlineLevel="0" collapsed="false">
      <c r="A337" s="17" t="s">
        <v>106</v>
      </c>
      <c r="B337" s="17" t="s">
        <v>67</v>
      </c>
      <c r="C337" s="17" t="n">
        <v>70000</v>
      </c>
      <c r="D337" s="17" t="s">
        <v>93</v>
      </c>
      <c r="E337" s="17" t="n">
        <v>69143</v>
      </c>
      <c r="F337" s="17" t="n">
        <v>857</v>
      </c>
      <c r="G337" s="17"/>
    </row>
    <row r="338" customFormat="false" ht="15" hidden="false" customHeight="false" outlineLevel="0" collapsed="false">
      <c r="A338" s="17" t="s">
        <v>106</v>
      </c>
      <c r="B338" s="17" t="s">
        <v>69</v>
      </c>
      <c r="C338" s="17" t="n">
        <v>70000</v>
      </c>
      <c r="D338" s="17" t="s">
        <v>83</v>
      </c>
      <c r="E338" s="17" t="n">
        <v>69596</v>
      </c>
      <c r="F338" s="17" t="n">
        <v>404</v>
      </c>
      <c r="G338" s="17"/>
    </row>
    <row r="339" customFormat="false" ht="15" hidden="false" customHeight="false" outlineLevel="0" collapsed="false">
      <c r="A339" s="17" t="s">
        <v>106</v>
      </c>
      <c r="B339" s="17" t="s">
        <v>69</v>
      </c>
      <c r="C339" s="17" t="n">
        <v>70000</v>
      </c>
      <c r="D339" s="17" t="s">
        <v>85</v>
      </c>
      <c r="E339" s="17" t="n">
        <v>68984</v>
      </c>
      <c r="F339" s="17" t="n">
        <v>1016</v>
      </c>
      <c r="G339" s="17"/>
    </row>
    <row r="340" customFormat="false" ht="15" hidden="false" customHeight="false" outlineLevel="0" collapsed="false">
      <c r="A340" s="17" t="s">
        <v>106</v>
      </c>
      <c r="B340" s="17" t="s">
        <v>69</v>
      </c>
      <c r="C340" s="17" t="n">
        <v>70000</v>
      </c>
      <c r="D340" s="17" t="s">
        <v>89</v>
      </c>
      <c r="E340" s="17" t="n">
        <v>69000</v>
      </c>
      <c r="F340" s="17" t="n">
        <v>1000</v>
      </c>
      <c r="G340" s="17"/>
    </row>
    <row r="341" customFormat="false" ht="15" hidden="false" customHeight="false" outlineLevel="0" collapsed="false">
      <c r="A341" s="17" t="s">
        <v>106</v>
      </c>
      <c r="B341" s="17" t="s">
        <v>69</v>
      </c>
      <c r="C341" s="17" t="n">
        <v>70000</v>
      </c>
      <c r="D341" s="17" t="s">
        <v>93</v>
      </c>
      <c r="E341" s="17" t="n">
        <v>69143</v>
      </c>
      <c r="F341" s="17" t="n">
        <v>857</v>
      </c>
      <c r="G341" s="17"/>
    </row>
    <row r="342" customFormat="false" ht="15" hidden="false" customHeight="false" outlineLevel="0" collapsed="false">
      <c r="A342" s="17" t="s">
        <v>106</v>
      </c>
      <c r="B342" s="17" t="s">
        <v>71</v>
      </c>
      <c r="C342" s="17" t="n">
        <v>65326</v>
      </c>
      <c r="D342" s="17" t="s">
        <v>73</v>
      </c>
      <c r="E342" s="17" t="n">
        <v>66655</v>
      </c>
      <c r="F342" s="17" t="n">
        <v>1329</v>
      </c>
      <c r="G342" s="17"/>
    </row>
    <row r="343" customFormat="false" ht="15" hidden="false" customHeight="false" outlineLevel="0" collapsed="false">
      <c r="A343" s="17" t="s">
        <v>106</v>
      </c>
      <c r="B343" s="17" t="s">
        <v>71</v>
      </c>
      <c r="C343" s="17" t="n">
        <v>65326</v>
      </c>
      <c r="D343" s="17" t="s">
        <v>91</v>
      </c>
      <c r="E343" s="17" t="n">
        <v>65890</v>
      </c>
      <c r="F343" s="17" t="n">
        <v>564</v>
      </c>
      <c r="G343" s="17"/>
    </row>
    <row r="344" customFormat="false" ht="15" hidden="false" customHeight="false" outlineLevel="0" collapsed="false">
      <c r="A344" s="17" t="s">
        <v>106</v>
      </c>
      <c r="B344" s="17" t="s">
        <v>71</v>
      </c>
      <c r="C344" s="17" t="n">
        <v>65326</v>
      </c>
      <c r="D344" s="17" t="s">
        <v>95</v>
      </c>
      <c r="E344" s="17" t="n">
        <v>64000</v>
      </c>
      <c r="F344" s="17" t="n">
        <v>1326</v>
      </c>
      <c r="G344" s="17"/>
    </row>
    <row r="345" customFormat="false" ht="15" hidden="false" customHeight="false" outlineLevel="0" collapsed="false">
      <c r="A345" s="17" t="s">
        <v>106</v>
      </c>
      <c r="B345" s="17" t="s">
        <v>73</v>
      </c>
      <c r="C345" s="17" t="n">
        <v>66655</v>
      </c>
      <c r="D345" s="17" t="s">
        <v>75</v>
      </c>
      <c r="E345" s="17" t="n">
        <v>66829</v>
      </c>
      <c r="F345" s="17" t="n">
        <v>174</v>
      </c>
      <c r="G345" s="17"/>
    </row>
    <row r="346" customFormat="false" ht="15" hidden="false" customHeight="false" outlineLevel="0" collapsed="false">
      <c r="A346" s="17" t="s">
        <v>106</v>
      </c>
      <c r="B346" s="17" t="s">
        <v>73</v>
      </c>
      <c r="C346" s="17" t="n">
        <v>66655</v>
      </c>
      <c r="D346" s="17" t="s">
        <v>91</v>
      </c>
      <c r="E346" s="17" t="n">
        <v>65890</v>
      </c>
      <c r="F346" s="17" t="n">
        <v>765</v>
      </c>
      <c r="G346" s="17"/>
    </row>
    <row r="347" customFormat="false" ht="15" hidden="false" customHeight="false" outlineLevel="0" collapsed="false">
      <c r="A347" s="17" t="s">
        <v>106</v>
      </c>
      <c r="B347" s="17" t="s">
        <v>75</v>
      </c>
      <c r="C347" s="17" t="n">
        <v>66829</v>
      </c>
      <c r="D347" s="17" t="s">
        <v>91</v>
      </c>
      <c r="E347" s="17" t="n">
        <v>65890</v>
      </c>
      <c r="F347" s="17" t="n">
        <v>939</v>
      </c>
      <c r="G347" s="17"/>
    </row>
    <row r="348" customFormat="false" ht="15" hidden="false" customHeight="false" outlineLevel="0" collapsed="false">
      <c r="A348" s="17" t="s">
        <v>106</v>
      </c>
      <c r="B348" s="17" t="s">
        <v>79</v>
      </c>
      <c r="C348" s="17" t="n">
        <v>82500</v>
      </c>
      <c r="D348" s="17" t="s">
        <v>81</v>
      </c>
      <c r="E348" s="17" t="n">
        <v>82500</v>
      </c>
      <c r="F348" s="17" t="n">
        <v>0</v>
      </c>
      <c r="G348" s="17" t="s">
        <v>243</v>
      </c>
    </row>
    <row r="349" customFormat="false" ht="15" hidden="false" customHeight="false" outlineLevel="0" collapsed="false">
      <c r="A349" s="17" t="s">
        <v>106</v>
      </c>
      <c r="B349" s="17" t="s">
        <v>83</v>
      </c>
      <c r="C349" s="17" t="n">
        <v>69596</v>
      </c>
      <c r="D349" s="17" t="s">
        <v>85</v>
      </c>
      <c r="E349" s="17" t="n">
        <v>68984</v>
      </c>
      <c r="F349" s="17" t="n">
        <v>612</v>
      </c>
      <c r="G349" s="17"/>
    </row>
    <row r="350" customFormat="false" ht="15" hidden="false" customHeight="false" outlineLevel="0" collapsed="false">
      <c r="A350" s="17" t="s">
        <v>106</v>
      </c>
      <c r="B350" s="17" t="s">
        <v>83</v>
      </c>
      <c r="C350" s="17" t="n">
        <v>69596</v>
      </c>
      <c r="D350" s="17" t="s">
        <v>87</v>
      </c>
      <c r="E350" s="17" t="n">
        <v>68500</v>
      </c>
      <c r="F350" s="17" t="n">
        <v>1096</v>
      </c>
      <c r="G350" s="17"/>
    </row>
    <row r="351" customFormat="false" ht="15" hidden="false" customHeight="false" outlineLevel="0" collapsed="false">
      <c r="A351" s="17" t="s">
        <v>106</v>
      </c>
      <c r="B351" s="17" t="s">
        <v>83</v>
      </c>
      <c r="C351" s="17" t="n">
        <v>69596</v>
      </c>
      <c r="D351" s="17" t="s">
        <v>89</v>
      </c>
      <c r="E351" s="17" t="n">
        <v>69000</v>
      </c>
      <c r="F351" s="17" t="n">
        <v>596</v>
      </c>
      <c r="G351" s="17"/>
    </row>
    <row r="352" customFormat="false" ht="15" hidden="false" customHeight="false" outlineLevel="0" collapsed="false">
      <c r="A352" s="17" t="s">
        <v>106</v>
      </c>
      <c r="B352" s="17" t="s">
        <v>83</v>
      </c>
      <c r="C352" s="17" t="n">
        <v>69596</v>
      </c>
      <c r="D352" s="17" t="s">
        <v>93</v>
      </c>
      <c r="E352" s="17" t="n">
        <v>69143</v>
      </c>
      <c r="F352" s="17" t="n">
        <v>453</v>
      </c>
      <c r="G352" s="17"/>
    </row>
    <row r="353" customFormat="false" ht="15" hidden="false" customHeight="false" outlineLevel="0" collapsed="false">
      <c r="A353" s="17" t="s">
        <v>106</v>
      </c>
      <c r="B353" s="17" t="s">
        <v>85</v>
      </c>
      <c r="C353" s="17" t="n">
        <v>68984</v>
      </c>
      <c r="D353" s="17" t="s">
        <v>87</v>
      </c>
      <c r="E353" s="17" t="n">
        <v>68500</v>
      </c>
      <c r="F353" s="17" t="n">
        <v>484</v>
      </c>
      <c r="G353" s="17"/>
    </row>
    <row r="354" customFormat="false" ht="15" hidden="false" customHeight="false" outlineLevel="0" collapsed="false">
      <c r="A354" s="17" t="s">
        <v>106</v>
      </c>
      <c r="B354" s="17" t="s">
        <v>85</v>
      </c>
      <c r="C354" s="17" t="n">
        <v>68984</v>
      </c>
      <c r="D354" s="17" t="s">
        <v>89</v>
      </c>
      <c r="E354" s="17" t="n">
        <v>69000</v>
      </c>
      <c r="F354" s="17" t="n">
        <v>16</v>
      </c>
      <c r="G354" s="17"/>
    </row>
    <row r="355" customFormat="false" ht="15" hidden="false" customHeight="false" outlineLevel="0" collapsed="false">
      <c r="A355" s="17" t="s">
        <v>106</v>
      </c>
      <c r="B355" s="17" t="s">
        <v>85</v>
      </c>
      <c r="C355" s="17" t="n">
        <v>68984</v>
      </c>
      <c r="D355" s="17" t="s">
        <v>93</v>
      </c>
      <c r="E355" s="17" t="n">
        <v>69143</v>
      </c>
      <c r="F355" s="17" t="n">
        <v>159</v>
      </c>
      <c r="G355" s="17"/>
    </row>
    <row r="356" customFormat="false" ht="15" hidden="false" customHeight="false" outlineLevel="0" collapsed="false">
      <c r="A356" s="17" t="s">
        <v>106</v>
      </c>
      <c r="B356" s="17" t="s">
        <v>87</v>
      </c>
      <c r="C356" s="17" t="n">
        <v>68500</v>
      </c>
      <c r="D356" s="17" t="s">
        <v>89</v>
      </c>
      <c r="E356" s="17" t="n">
        <v>69000</v>
      </c>
      <c r="F356" s="17" t="n">
        <v>500</v>
      </c>
      <c r="G356" s="17"/>
    </row>
    <row r="357" customFormat="false" ht="15" hidden="false" customHeight="false" outlineLevel="0" collapsed="false">
      <c r="A357" s="17" t="s">
        <v>106</v>
      </c>
      <c r="B357" s="17" t="s">
        <v>87</v>
      </c>
      <c r="C357" s="17" t="n">
        <v>68500</v>
      </c>
      <c r="D357" s="17" t="s">
        <v>93</v>
      </c>
      <c r="E357" s="17" t="n">
        <v>69143</v>
      </c>
      <c r="F357" s="17" t="n">
        <v>643</v>
      </c>
      <c r="G357" s="17"/>
    </row>
    <row r="358" customFormat="false" ht="15" hidden="false" customHeight="false" outlineLevel="0" collapsed="false">
      <c r="A358" s="17" t="s">
        <v>106</v>
      </c>
      <c r="B358" s="17" t="s">
        <v>89</v>
      </c>
      <c r="C358" s="17" t="n">
        <v>69000</v>
      </c>
      <c r="D358" s="17" t="s">
        <v>93</v>
      </c>
      <c r="E358" s="17" t="n">
        <v>69143</v>
      </c>
      <c r="F358" s="17" t="n">
        <v>143</v>
      </c>
      <c r="G358" s="17"/>
    </row>
    <row r="359" customFormat="false" ht="15" hidden="false" customHeight="false" outlineLevel="0" collapsed="false">
      <c r="A359" s="17" t="s">
        <v>107</v>
      </c>
      <c r="B359" s="17" t="s">
        <v>25</v>
      </c>
      <c r="C359" s="17" t="n">
        <v>455</v>
      </c>
      <c r="D359" s="17" t="s">
        <v>42</v>
      </c>
      <c r="E359" s="17" t="n">
        <v>450</v>
      </c>
      <c r="F359" s="17" t="n">
        <v>5</v>
      </c>
      <c r="G359" s="17"/>
    </row>
    <row r="360" customFormat="false" ht="15" hidden="false" customHeight="false" outlineLevel="0" collapsed="false">
      <c r="A360" s="17" t="s">
        <v>107</v>
      </c>
      <c r="B360" s="17" t="s">
        <v>25</v>
      </c>
      <c r="C360" s="17" t="n">
        <v>455</v>
      </c>
      <c r="D360" s="17" t="s">
        <v>52</v>
      </c>
      <c r="E360" s="17" t="n">
        <v>430</v>
      </c>
      <c r="F360" s="17" t="n">
        <v>25</v>
      </c>
      <c r="G360" s="17"/>
    </row>
    <row r="361" customFormat="false" ht="15" hidden="false" customHeight="false" outlineLevel="0" collapsed="false">
      <c r="A361" s="17" t="s">
        <v>107</v>
      </c>
      <c r="B361" s="17" t="s">
        <v>25</v>
      </c>
      <c r="C361" s="17" t="n">
        <v>455</v>
      </c>
      <c r="D361" s="17" t="s">
        <v>83</v>
      </c>
      <c r="E361" s="17" t="n">
        <v>518</v>
      </c>
      <c r="F361" s="17" t="n">
        <v>63</v>
      </c>
      <c r="G361" s="17"/>
    </row>
    <row r="362" customFormat="false" ht="15" hidden="false" customHeight="false" outlineLevel="0" collapsed="false">
      <c r="A362" s="17" t="s">
        <v>107</v>
      </c>
      <c r="B362" s="17" t="s">
        <v>28</v>
      </c>
      <c r="C362" s="17" t="n">
        <v>1500</v>
      </c>
      <c r="D362" s="17" t="s">
        <v>46</v>
      </c>
      <c r="E362" s="17" t="n">
        <v>1300</v>
      </c>
      <c r="F362" s="17" t="n">
        <v>200</v>
      </c>
      <c r="G362" s="17"/>
    </row>
    <row r="363" customFormat="false" ht="15" hidden="false" customHeight="false" outlineLevel="0" collapsed="false">
      <c r="A363" s="17" t="s">
        <v>107</v>
      </c>
      <c r="B363" s="17" t="s">
        <v>28</v>
      </c>
      <c r="C363" s="17" t="n">
        <v>1500</v>
      </c>
      <c r="D363" s="17" t="s">
        <v>79</v>
      </c>
      <c r="E363" s="17" t="n">
        <v>1600</v>
      </c>
      <c r="F363" s="17" t="n">
        <v>100</v>
      </c>
      <c r="G363" s="17"/>
    </row>
    <row r="364" customFormat="false" ht="15" hidden="false" customHeight="false" outlineLevel="0" collapsed="false">
      <c r="A364" s="17" t="s">
        <v>107</v>
      </c>
      <c r="B364" s="17" t="s">
        <v>28</v>
      </c>
      <c r="C364" s="17" t="n">
        <v>1500</v>
      </c>
      <c r="D364" s="17" t="s">
        <v>81</v>
      </c>
      <c r="E364" s="17" t="n">
        <v>1600</v>
      </c>
      <c r="F364" s="17" t="n">
        <v>100</v>
      </c>
      <c r="G364" s="17"/>
    </row>
    <row r="365" customFormat="false" ht="15" hidden="false" customHeight="false" outlineLevel="0" collapsed="false">
      <c r="A365" s="17" t="s">
        <v>107</v>
      </c>
      <c r="B365" s="17" t="s">
        <v>28</v>
      </c>
      <c r="C365" s="17" t="n">
        <v>1500</v>
      </c>
      <c r="D365" s="17" t="s">
        <v>87</v>
      </c>
      <c r="E365" s="17" t="n">
        <v>1300</v>
      </c>
      <c r="F365" s="17" t="n">
        <v>200</v>
      </c>
      <c r="G365" s="17"/>
    </row>
    <row r="366" customFormat="false" ht="15" hidden="false" customHeight="false" outlineLevel="0" collapsed="false">
      <c r="A366" s="17" t="s">
        <v>107</v>
      </c>
      <c r="B366" s="17" t="s">
        <v>31</v>
      </c>
      <c r="C366" s="17" t="n">
        <v>220</v>
      </c>
      <c r="D366" s="17" t="s">
        <v>37</v>
      </c>
      <c r="E366" s="17" t="n">
        <v>242</v>
      </c>
      <c r="F366" s="17" t="n">
        <v>22</v>
      </c>
      <c r="G366" s="17"/>
    </row>
    <row r="367" customFormat="false" ht="15" hidden="false" customHeight="false" outlineLevel="0" collapsed="false">
      <c r="A367" s="17" t="s">
        <v>107</v>
      </c>
      <c r="B367" s="17" t="s">
        <v>31</v>
      </c>
      <c r="C367" s="17" t="n">
        <v>220</v>
      </c>
      <c r="D367" s="17" t="s">
        <v>91</v>
      </c>
      <c r="E367" s="17" t="n">
        <v>194</v>
      </c>
      <c r="F367" s="17" t="n">
        <v>26</v>
      </c>
      <c r="G367" s="17"/>
    </row>
    <row r="368" customFormat="false" ht="15" hidden="false" customHeight="false" outlineLevel="0" collapsed="false">
      <c r="A368" s="17" t="s">
        <v>107</v>
      </c>
      <c r="B368" s="17" t="s">
        <v>31</v>
      </c>
      <c r="C368" s="17" t="n">
        <v>220</v>
      </c>
      <c r="D368" s="17" t="s">
        <v>95</v>
      </c>
      <c r="E368" s="17" t="n">
        <v>250</v>
      </c>
      <c r="F368" s="17" t="n">
        <v>30</v>
      </c>
      <c r="G368" s="17"/>
    </row>
    <row r="369" customFormat="false" ht="15" hidden="false" customHeight="false" outlineLevel="0" collapsed="false">
      <c r="A369" s="17" t="s">
        <v>107</v>
      </c>
      <c r="B369" s="17" t="s">
        <v>34</v>
      </c>
      <c r="C369" s="17" t="n">
        <v>2100</v>
      </c>
      <c r="D369" s="17" t="s">
        <v>65</v>
      </c>
      <c r="E369" s="17" t="n">
        <v>1900</v>
      </c>
      <c r="F369" s="17" t="n">
        <v>200</v>
      </c>
      <c r="G369" s="17"/>
    </row>
    <row r="370" customFormat="false" ht="15" hidden="false" customHeight="false" outlineLevel="0" collapsed="false">
      <c r="A370" s="17" t="s">
        <v>107</v>
      </c>
      <c r="B370" s="17" t="s">
        <v>37</v>
      </c>
      <c r="C370" s="17" t="n">
        <v>242</v>
      </c>
      <c r="D370" s="17" t="s">
        <v>85</v>
      </c>
      <c r="E370" s="17" t="n">
        <v>281</v>
      </c>
      <c r="F370" s="17" t="n">
        <v>39</v>
      </c>
      <c r="G370" s="17"/>
    </row>
    <row r="371" customFormat="false" ht="15" hidden="false" customHeight="false" outlineLevel="0" collapsed="false">
      <c r="A371" s="17" t="s">
        <v>107</v>
      </c>
      <c r="B371" s="17" t="s">
        <v>37</v>
      </c>
      <c r="C371" s="17" t="n">
        <v>242</v>
      </c>
      <c r="D371" s="17" t="s">
        <v>95</v>
      </c>
      <c r="E371" s="17" t="n">
        <v>250</v>
      </c>
      <c r="F371" s="17" t="n">
        <v>8</v>
      </c>
      <c r="G371" s="17"/>
    </row>
    <row r="372" customFormat="false" ht="15" hidden="false" customHeight="false" outlineLevel="0" collapsed="false">
      <c r="A372" s="17" t="s">
        <v>107</v>
      </c>
      <c r="B372" s="17" t="s">
        <v>39</v>
      </c>
      <c r="C372" s="17" t="n">
        <v>632</v>
      </c>
      <c r="D372" s="17" t="s">
        <v>59</v>
      </c>
      <c r="E372" s="17" t="n">
        <v>720</v>
      </c>
      <c r="F372" s="17" t="n">
        <v>88</v>
      </c>
      <c r="G372" s="17"/>
    </row>
    <row r="373" customFormat="false" ht="15" hidden="false" customHeight="false" outlineLevel="0" collapsed="false">
      <c r="A373" s="17" t="s">
        <v>107</v>
      </c>
      <c r="B373" s="17" t="s">
        <v>42</v>
      </c>
      <c r="C373" s="17" t="n">
        <v>450</v>
      </c>
      <c r="D373" s="17" t="s">
        <v>52</v>
      </c>
      <c r="E373" s="17" t="n">
        <v>430</v>
      </c>
      <c r="F373" s="17" t="n">
        <v>20</v>
      </c>
      <c r="G373" s="17"/>
    </row>
    <row r="374" customFormat="false" ht="15" hidden="false" customHeight="false" outlineLevel="0" collapsed="false">
      <c r="A374" s="17" t="s">
        <v>107</v>
      </c>
      <c r="B374" s="17" t="s">
        <v>42</v>
      </c>
      <c r="C374" s="17" t="n">
        <v>450</v>
      </c>
      <c r="D374" s="17" t="s">
        <v>83</v>
      </c>
      <c r="E374" s="17" t="n">
        <v>518</v>
      </c>
      <c r="F374" s="17" t="n">
        <v>68</v>
      </c>
      <c r="G374" s="17"/>
    </row>
    <row r="375" customFormat="false" ht="15" hidden="false" customHeight="false" outlineLevel="0" collapsed="false">
      <c r="A375" s="17" t="s">
        <v>107</v>
      </c>
      <c r="B375" s="17" t="s">
        <v>44</v>
      </c>
      <c r="C375" s="17" t="n">
        <v>290</v>
      </c>
      <c r="D375" s="17" t="s">
        <v>75</v>
      </c>
      <c r="E375" s="17" t="n">
        <v>325</v>
      </c>
      <c r="F375" s="17" t="n">
        <v>35</v>
      </c>
      <c r="G375" s="17"/>
    </row>
    <row r="376" customFormat="false" ht="15" hidden="false" customHeight="false" outlineLevel="0" collapsed="false">
      <c r="A376" s="17" t="s">
        <v>107</v>
      </c>
      <c r="B376" s="17" t="s">
        <v>44</v>
      </c>
      <c r="C376" s="17" t="n">
        <v>290</v>
      </c>
      <c r="D376" s="17" t="s">
        <v>85</v>
      </c>
      <c r="E376" s="17" t="n">
        <v>281</v>
      </c>
      <c r="F376" s="17" t="n">
        <v>9</v>
      </c>
      <c r="G376" s="17"/>
    </row>
    <row r="377" customFormat="false" ht="15" hidden="false" customHeight="false" outlineLevel="0" collapsed="false">
      <c r="A377" s="17" t="s">
        <v>107</v>
      </c>
      <c r="B377" s="17" t="s">
        <v>44</v>
      </c>
      <c r="C377" s="17" t="n">
        <v>290</v>
      </c>
      <c r="D377" s="17" t="s">
        <v>93</v>
      </c>
      <c r="E377" s="17" t="n">
        <v>290</v>
      </c>
      <c r="F377" s="17" t="n">
        <v>0</v>
      </c>
      <c r="G377" s="17" t="s">
        <v>243</v>
      </c>
    </row>
    <row r="378" customFormat="false" ht="15" hidden="false" customHeight="false" outlineLevel="0" collapsed="false">
      <c r="A378" s="17" t="s">
        <v>107</v>
      </c>
      <c r="B378" s="17" t="s">
        <v>44</v>
      </c>
      <c r="C378" s="17" t="n">
        <v>290</v>
      </c>
      <c r="D378" s="17" t="s">
        <v>95</v>
      </c>
      <c r="E378" s="17" t="n">
        <v>250</v>
      </c>
      <c r="F378" s="17" t="n">
        <v>40</v>
      </c>
      <c r="G378" s="17"/>
    </row>
    <row r="379" customFormat="false" ht="15" hidden="false" customHeight="false" outlineLevel="0" collapsed="false">
      <c r="A379" s="17" t="s">
        <v>107</v>
      </c>
      <c r="B379" s="17" t="s">
        <v>46</v>
      </c>
      <c r="C379" s="17" t="n">
        <v>1300</v>
      </c>
      <c r="D379" s="17" t="s">
        <v>87</v>
      </c>
      <c r="E379" s="17" t="n">
        <v>1300</v>
      </c>
      <c r="F379" s="17" t="n">
        <v>0</v>
      </c>
      <c r="G379" s="17" t="s">
        <v>243</v>
      </c>
    </row>
    <row r="380" customFormat="false" ht="15" hidden="false" customHeight="false" outlineLevel="0" collapsed="false">
      <c r="A380" s="17" t="s">
        <v>107</v>
      </c>
      <c r="B380" s="17" t="s">
        <v>49</v>
      </c>
      <c r="C380" s="17" t="n">
        <v>364</v>
      </c>
      <c r="D380" s="17" t="s">
        <v>56</v>
      </c>
      <c r="E380" s="17" t="n">
        <v>352</v>
      </c>
      <c r="F380" s="17" t="n">
        <v>12</v>
      </c>
      <c r="G380" s="17"/>
    </row>
    <row r="381" customFormat="false" ht="15" hidden="false" customHeight="false" outlineLevel="0" collapsed="false">
      <c r="A381" s="17" t="s">
        <v>107</v>
      </c>
      <c r="B381" s="17" t="s">
        <v>49</v>
      </c>
      <c r="C381" s="17" t="n">
        <v>364</v>
      </c>
      <c r="D381" s="17" t="s">
        <v>75</v>
      </c>
      <c r="E381" s="17" t="n">
        <v>325</v>
      </c>
      <c r="F381" s="17" t="n">
        <v>39</v>
      </c>
      <c r="G381" s="17"/>
    </row>
    <row r="382" customFormat="false" ht="15" hidden="false" customHeight="false" outlineLevel="0" collapsed="false">
      <c r="A382" s="17" t="s">
        <v>107</v>
      </c>
      <c r="B382" s="17" t="s">
        <v>49</v>
      </c>
      <c r="C382" s="17" t="n">
        <v>364</v>
      </c>
      <c r="D382" s="17" t="s">
        <v>89</v>
      </c>
      <c r="E382" s="17" t="n">
        <v>360</v>
      </c>
      <c r="F382" s="17" t="n">
        <v>4</v>
      </c>
      <c r="G382" s="17"/>
    </row>
    <row r="383" customFormat="false" ht="15" hidden="false" customHeight="false" outlineLevel="0" collapsed="false">
      <c r="A383" s="17" t="s">
        <v>107</v>
      </c>
      <c r="B383" s="17" t="s">
        <v>56</v>
      </c>
      <c r="C383" s="17" t="n">
        <v>352</v>
      </c>
      <c r="D383" s="17" t="s">
        <v>75</v>
      </c>
      <c r="E383" s="17" t="n">
        <v>325</v>
      </c>
      <c r="F383" s="17" t="n">
        <v>27</v>
      </c>
      <c r="G383" s="17"/>
    </row>
    <row r="384" customFormat="false" ht="15" hidden="false" customHeight="false" outlineLevel="0" collapsed="false">
      <c r="A384" s="17" t="s">
        <v>107</v>
      </c>
      <c r="B384" s="17" t="s">
        <v>56</v>
      </c>
      <c r="C384" s="17" t="n">
        <v>352</v>
      </c>
      <c r="D384" s="17" t="s">
        <v>89</v>
      </c>
      <c r="E384" s="17" t="n">
        <v>360</v>
      </c>
      <c r="F384" s="17" t="n">
        <v>8</v>
      </c>
      <c r="G384" s="17"/>
    </row>
    <row r="385" customFormat="false" ht="15" hidden="false" customHeight="false" outlineLevel="0" collapsed="false">
      <c r="A385" s="17" t="s">
        <v>107</v>
      </c>
      <c r="B385" s="17" t="s">
        <v>61</v>
      </c>
      <c r="C385" s="17" t="n">
        <v>134</v>
      </c>
      <c r="D385" s="17" t="s">
        <v>71</v>
      </c>
      <c r="E385" s="17" t="n">
        <v>115</v>
      </c>
      <c r="F385" s="17" t="n">
        <v>19</v>
      </c>
      <c r="G385" s="17"/>
    </row>
    <row r="386" customFormat="false" ht="15" hidden="false" customHeight="false" outlineLevel="0" collapsed="false">
      <c r="A386" s="17" t="s">
        <v>107</v>
      </c>
      <c r="B386" s="17" t="s">
        <v>61</v>
      </c>
      <c r="C386" s="17" t="n">
        <v>134</v>
      </c>
      <c r="D386" s="17" t="s">
        <v>77</v>
      </c>
      <c r="E386" s="17" t="n">
        <v>134</v>
      </c>
      <c r="F386" s="17" t="n">
        <v>0</v>
      </c>
      <c r="G386" s="17" t="s">
        <v>243</v>
      </c>
    </row>
    <row r="387" customFormat="false" ht="15" hidden="false" customHeight="false" outlineLevel="0" collapsed="false">
      <c r="A387" s="17" t="s">
        <v>107</v>
      </c>
      <c r="B387" s="17" t="s">
        <v>67</v>
      </c>
      <c r="C387" s="17" t="n">
        <v>5500</v>
      </c>
      <c r="D387" s="17" t="s">
        <v>69</v>
      </c>
      <c r="E387" s="17" t="n">
        <v>5500</v>
      </c>
      <c r="F387" s="17" t="n">
        <v>0</v>
      </c>
      <c r="G387" s="17" t="s">
        <v>243</v>
      </c>
    </row>
    <row r="388" customFormat="false" ht="15" hidden="false" customHeight="false" outlineLevel="0" collapsed="false">
      <c r="A388" s="17" t="s">
        <v>107</v>
      </c>
      <c r="B388" s="17" t="s">
        <v>71</v>
      </c>
      <c r="C388" s="17" t="n">
        <v>115</v>
      </c>
      <c r="D388" s="17" t="s">
        <v>77</v>
      </c>
      <c r="E388" s="17" t="n">
        <v>134</v>
      </c>
      <c r="F388" s="17" t="n">
        <v>19</v>
      </c>
      <c r="G388" s="17"/>
    </row>
    <row r="389" customFormat="false" ht="15" hidden="false" customHeight="false" outlineLevel="0" collapsed="false">
      <c r="A389" s="17" t="s">
        <v>107</v>
      </c>
      <c r="B389" s="17" t="s">
        <v>75</v>
      </c>
      <c r="C389" s="17" t="n">
        <v>325</v>
      </c>
      <c r="D389" s="17" t="s">
        <v>85</v>
      </c>
      <c r="E389" s="17" t="n">
        <v>281</v>
      </c>
      <c r="F389" s="17" t="n">
        <v>44</v>
      </c>
      <c r="G389" s="17"/>
    </row>
    <row r="390" customFormat="false" ht="15" hidden="false" customHeight="false" outlineLevel="0" collapsed="false">
      <c r="A390" s="17" t="s">
        <v>107</v>
      </c>
      <c r="B390" s="17" t="s">
        <v>75</v>
      </c>
      <c r="C390" s="17" t="n">
        <v>325</v>
      </c>
      <c r="D390" s="17" t="s">
        <v>89</v>
      </c>
      <c r="E390" s="17" t="n">
        <v>360</v>
      </c>
      <c r="F390" s="17" t="n">
        <v>35</v>
      </c>
      <c r="G390" s="17"/>
    </row>
    <row r="391" customFormat="false" ht="15" hidden="false" customHeight="false" outlineLevel="0" collapsed="false">
      <c r="A391" s="17" t="s">
        <v>107</v>
      </c>
      <c r="B391" s="17" t="s">
        <v>75</v>
      </c>
      <c r="C391" s="17" t="n">
        <v>325</v>
      </c>
      <c r="D391" s="17" t="s">
        <v>93</v>
      </c>
      <c r="E391" s="17" t="n">
        <v>290</v>
      </c>
      <c r="F391" s="17" t="n">
        <v>35</v>
      </c>
      <c r="G391" s="17"/>
    </row>
    <row r="392" customFormat="false" ht="15" hidden="false" customHeight="false" outlineLevel="0" collapsed="false">
      <c r="A392" s="17" t="s">
        <v>107</v>
      </c>
      <c r="B392" s="17" t="s">
        <v>79</v>
      </c>
      <c r="C392" s="17" t="n">
        <v>1600</v>
      </c>
      <c r="D392" s="17" t="s">
        <v>81</v>
      </c>
      <c r="E392" s="17" t="n">
        <v>1600</v>
      </c>
      <c r="F392" s="17" t="n">
        <v>0</v>
      </c>
      <c r="G392" s="17" t="s">
        <v>243</v>
      </c>
    </row>
    <row r="393" customFormat="false" ht="15" hidden="false" customHeight="false" outlineLevel="0" collapsed="false">
      <c r="A393" s="17" t="s">
        <v>107</v>
      </c>
      <c r="B393" s="17" t="s">
        <v>85</v>
      </c>
      <c r="C393" s="17" t="n">
        <v>281</v>
      </c>
      <c r="D393" s="17" t="s">
        <v>93</v>
      </c>
      <c r="E393" s="17" t="n">
        <v>290</v>
      </c>
      <c r="F393" s="17" t="n">
        <v>9</v>
      </c>
      <c r="G393" s="17"/>
    </row>
    <row r="394" customFormat="false" ht="15" hidden="false" customHeight="false" outlineLevel="0" collapsed="false">
      <c r="A394" s="17" t="s">
        <v>107</v>
      </c>
      <c r="B394" s="17" t="s">
        <v>85</v>
      </c>
      <c r="C394" s="17" t="n">
        <v>281</v>
      </c>
      <c r="D394" s="17" t="s">
        <v>95</v>
      </c>
      <c r="E394" s="17" t="n">
        <v>250</v>
      </c>
      <c r="F394" s="17" t="n">
        <v>31</v>
      </c>
      <c r="G394" s="17"/>
    </row>
    <row r="395" customFormat="false" ht="15" hidden="false" customHeight="false" outlineLevel="0" collapsed="false">
      <c r="A395" s="17" t="s">
        <v>107</v>
      </c>
      <c r="B395" s="17" t="s">
        <v>93</v>
      </c>
      <c r="C395" s="17" t="n">
        <v>290</v>
      </c>
      <c r="D395" s="17" t="s">
        <v>95</v>
      </c>
      <c r="E395" s="17" t="n">
        <v>250</v>
      </c>
      <c r="F395" s="17" t="n">
        <v>40</v>
      </c>
      <c r="G395" s="17"/>
    </row>
    <row r="396" customFormat="false" ht="15" hidden="false" customHeight="false" outlineLevel="0" collapsed="false">
      <c r="A396" s="17" t="s">
        <v>108</v>
      </c>
      <c r="B396" s="17" t="s">
        <v>25</v>
      </c>
      <c r="C396" s="17" t="n">
        <v>6638</v>
      </c>
      <c r="D396" s="17" t="s">
        <v>49</v>
      </c>
      <c r="E396" s="17" t="n">
        <v>6468</v>
      </c>
      <c r="F396" s="17" t="n">
        <v>170</v>
      </c>
      <c r="G396" s="17"/>
    </row>
    <row r="397" customFormat="false" ht="15" hidden="false" customHeight="false" outlineLevel="0" collapsed="false">
      <c r="A397" s="17" t="s">
        <v>108</v>
      </c>
      <c r="B397" s="17" t="s">
        <v>25</v>
      </c>
      <c r="C397" s="17" t="n">
        <v>6638</v>
      </c>
      <c r="D397" s="17" t="s">
        <v>61</v>
      </c>
      <c r="E397" s="17" t="n">
        <v>6520</v>
      </c>
      <c r="F397" s="17" t="n">
        <v>118</v>
      </c>
      <c r="G397" s="17"/>
    </row>
    <row r="398" customFormat="false" ht="15" hidden="false" customHeight="false" outlineLevel="0" collapsed="false">
      <c r="A398" s="17" t="s">
        <v>108</v>
      </c>
      <c r="B398" s="17" t="s">
        <v>25</v>
      </c>
      <c r="C398" s="17" t="n">
        <v>6638</v>
      </c>
      <c r="D398" s="17" t="s">
        <v>65</v>
      </c>
      <c r="E398" s="17" t="n">
        <v>6403</v>
      </c>
      <c r="F398" s="17" t="n">
        <v>235</v>
      </c>
      <c r="G398" s="17"/>
    </row>
    <row r="399" customFormat="false" ht="15" hidden="false" customHeight="false" outlineLevel="0" collapsed="false">
      <c r="A399" s="17" t="s">
        <v>108</v>
      </c>
      <c r="B399" s="17" t="s">
        <v>28</v>
      </c>
      <c r="C399" s="17" t="n">
        <v>3429</v>
      </c>
      <c r="D399" s="17" t="s">
        <v>52</v>
      </c>
      <c r="E399" s="17" t="n">
        <v>3446</v>
      </c>
      <c r="F399" s="17" t="n">
        <v>17</v>
      </c>
      <c r="G399" s="17"/>
    </row>
    <row r="400" customFormat="false" ht="15" hidden="false" customHeight="false" outlineLevel="0" collapsed="false">
      <c r="A400" s="17" t="s">
        <v>108</v>
      </c>
      <c r="B400" s="17" t="s">
        <v>28</v>
      </c>
      <c r="C400" s="17" t="n">
        <v>3429</v>
      </c>
      <c r="D400" s="17" t="s">
        <v>73</v>
      </c>
      <c r="E400" s="17" t="n">
        <v>3714</v>
      </c>
      <c r="F400" s="17" t="n">
        <v>285</v>
      </c>
      <c r="G400" s="17"/>
    </row>
    <row r="401" customFormat="false" ht="15" hidden="false" customHeight="false" outlineLevel="0" collapsed="false">
      <c r="A401" s="17" t="s">
        <v>108</v>
      </c>
      <c r="B401" s="17" t="s">
        <v>31</v>
      </c>
      <c r="C401" s="17" t="n">
        <v>2988</v>
      </c>
      <c r="D401" s="17" t="s">
        <v>42</v>
      </c>
      <c r="E401" s="17" t="n">
        <v>2904</v>
      </c>
      <c r="F401" s="17" t="n">
        <v>84</v>
      </c>
      <c r="G401" s="17"/>
    </row>
    <row r="402" customFormat="false" ht="15" hidden="false" customHeight="false" outlineLevel="0" collapsed="false">
      <c r="A402" s="17" t="s">
        <v>108</v>
      </c>
      <c r="B402" s="17" t="s">
        <v>34</v>
      </c>
      <c r="C402" s="17" t="n">
        <v>5887</v>
      </c>
      <c r="D402" s="17" t="s">
        <v>59</v>
      </c>
      <c r="E402" s="17" t="n">
        <v>5863</v>
      </c>
      <c r="F402" s="17" t="n">
        <v>24</v>
      </c>
      <c r="G402" s="17"/>
    </row>
    <row r="403" customFormat="false" ht="15" hidden="false" customHeight="false" outlineLevel="0" collapsed="false">
      <c r="A403" s="17" t="s">
        <v>108</v>
      </c>
      <c r="B403" s="17" t="s">
        <v>34</v>
      </c>
      <c r="C403" s="17" t="n">
        <v>5887</v>
      </c>
      <c r="D403" s="17" t="s">
        <v>75</v>
      </c>
      <c r="E403" s="17" t="n">
        <v>5737</v>
      </c>
      <c r="F403" s="17" t="n">
        <v>150</v>
      </c>
      <c r="G403" s="17"/>
    </row>
    <row r="404" customFormat="false" ht="15" hidden="false" customHeight="false" outlineLevel="0" collapsed="false">
      <c r="A404" s="17" t="s">
        <v>108</v>
      </c>
      <c r="B404" s="17" t="s">
        <v>37</v>
      </c>
      <c r="C404" s="17" t="n">
        <v>4458</v>
      </c>
      <c r="D404" s="17" t="s">
        <v>91</v>
      </c>
      <c r="E404" s="17" t="n">
        <v>4516</v>
      </c>
      <c r="F404" s="17" t="n">
        <v>58</v>
      </c>
      <c r="G404" s="17"/>
    </row>
    <row r="405" customFormat="false" ht="15" hidden="false" customHeight="false" outlineLevel="0" collapsed="false">
      <c r="A405" s="17" t="s">
        <v>108</v>
      </c>
      <c r="B405" s="17" t="s">
        <v>37</v>
      </c>
      <c r="C405" s="17" t="n">
        <v>4458</v>
      </c>
      <c r="D405" s="17" t="s">
        <v>93</v>
      </c>
      <c r="E405" s="17" t="n">
        <v>4579</v>
      </c>
      <c r="F405" s="17" t="n">
        <v>121</v>
      </c>
      <c r="G405" s="17"/>
    </row>
    <row r="406" customFormat="false" ht="15" hidden="false" customHeight="false" outlineLevel="0" collapsed="false">
      <c r="A406" s="17" t="s">
        <v>108</v>
      </c>
      <c r="B406" s="17" t="s">
        <v>39</v>
      </c>
      <c r="C406" s="17" t="n">
        <v>2497</v>
      </c>
      <c r="D406" s="17" t="s">
        <v>54</v>
      </c>
      <c r="E406" s="17" t="n">
        <v>2360</v>
      </c>
      <c r="F406" s="17" t="n">
        <v>137</v>
      </c>
      <c r="G406" s="17"/>
    </row>
    <row r="407" customFormat="false" ht="15" hidden="false" customHeight="false" outlineLevel="0" collapsed="false">
      <c r="A407" s="17" t="s">
        <v>108</v>
      </c>
      <c r="B407" s="17" t="s">
        <v>44</v>
      </c>
      <c r="C407" s="17" t="n">
        <v>2078</v>
      </c>
      <c r="D407" s="17" t="s">
        <v>54</v>
      </c>
      <c r="E407" s="17" t="n">
        <v>2360</v>
      </c>
      <c r="F407" s="17" t="n">
        <v>282</v>
      </c>
      <c r="G407" s="17"/>
    </row>
    <row r="408" customFormat="false" ht="15" hidden="false" customHeight="false" outlineLevel="0" collapsed="false">
      <c r="A408" s="17" t="s">
        <v>108</v>
      </c>
      <c r="B408" s="17" t="s">
        <v>44</v>
      </c>
      <c r="C408" s="17" t="n">
        <v>2078</v>
      </c>
      <c r="D408" s="17" t="s">
        <v>85</v>
      </c>
      <c r="E408" s="17" t="n">
        <v>1829</v>
      </c>
      <c r="F408" s="17" t="n">
        <v>249</v>
      </c>
      <c r="G408" s="17"/>
    </row>
    <row r="409" customFormat="false" ht="15" hidden="false" customHeight="false" outlineLevel="0" collapsed="false">
      <c r="A409" s="17" t="s">
        <v>108</v>
      </c>
      <c r="B409" s="17" t="s">
        <v>49</v>
      </c>
      <c r="C409" s="17" t="n">
        <v>6468</v>
      </c>
      <c r="D409" s="17" t="s">
        <v>61</v>
      </c>
      <c r="E409" s="17" t="n">
        <v>6520</v>
      </c>
      <c r="F409" s="17" t="n">
        <v>52</v>
      </c>
      <c r="G409" s="17"/>
    </row>
    <row r="410" customFormat="false" ht="15" hidden="false" customHeight="false" outlineLevel="0" collapsed="false">
      <c r="A410" s="17" t="s">
        <v>108</v>
      </c>
      <c r="B410" s="17" t="s">
        <v>49</v>
      </c>
      <c r="C410" s="17" t="n">
        <v>6468</v>
      </c>
      <c r="D410" s="17" t="s">
        <v>65</v>
      </c>
      <c r="E410" s="17" t="n">
        <v>6403</v>
      </c>
      <c r="F410" s="17" t="n">
        <v>65</v>
      </c>
      <c r="G410" s="17"/>
    </row>
    <row r="411" customFormat="false" ht="15" hidden="false" customHeight="false" outlineLevel="0" collapsed="false">
      <c r="A411" s="17" t="s">
        <v>108</v>
      </c>
      <c r="B411" s="17" t="s">
        <v>52</v>
      </c>
      <c r="C411" s="17" t="n">
        <v>3446</v>
      </c>
      <c r="D411" s="17" t="s">
        <v>73</v>
      </c>
      <c r="E411" s="17" t="n">
        <v>3714</v>
      </c>
      <c r="F411" s="17" t="n">
        <v>268</v>
      </c>
      <c r="G411" s="17"/>
    </row>
    <row r="412" customFormat="false" ht="15" hidden="false" customHeight="false" outlineLevel="0" collapsed="false">
      <c r="A412" s="17" t="s">
        <v>108</v>
      </c>
      <c r="B412" s="17" t="s">
        <v>56</v>
      </c>
      <c r="C412" s="17" t="n">
        <v>7619</v>
      </c>
      <c r="D412" s="17" t="s">
        <v>67</v>
      </c>
      <c r="E412" s="17" t="n">
        <v>7837</v>
      </c>
      <c r="F412" s="17" t="n">
        <v>218</v>
      </c>
      <c r="G412" s="17"/>
    </row>
    <row r="413" customFormat="false" ht="15" hidden="false" customHeight="false" outlineLevel="0" collapsed="false">
      <c r="A413" s="17" t="s">
        <v>108</v>
      </c>
      <c r="B413" s="17" t="s">
        <v>59</v>
      </c>
      <c r="C413" s="17" t="n">
        <v>5863</v>
      </c>
      <c r="D413" s="17" t="s">
        <v>75</v>
      </c>
      <c r="E413" s="17" t="n">
        <v>5737</v>
      </c>
      <c r="F413" s="17" t="n">
        <v>126</v>
      </c>
      <c r="G413" s="17"/>
    </row>
    <row r="414" customFormat="false" ht="15" hidden="false" customHeight="false" outlineLevel="0" collapsed="false">
      <c r="A414" s="17" t="s">
        <v>108</v>
      </c>
      <c r="B414" s="17" t="s">
        <v>61</v>
      </c>
      <c r="C414" s="17" t="n">
        <v>6520</v>
      </c>
      <c r="D414" s="17" t="s">
        <v>65</v>
      </c>
      <c r="E414" s="17" t="n">
        <v>6403</v>
      </c>
      <c r="F414" s="17" t="n">
        <v>117</v>
      </c>
      <c r="G414" s="17"/>
    </row>
    <row r="415" customFormat="false" ht="15" hidden="false" customHeight="false" outlineLevel="0" collapsed="false">
      <c r="A415" s="17" t="s">
        <v>108</v>
      </c>
      <c r="B415" s="17" t="s">
        <v>69</v>
      </c>
      <c r="C415" s="17" t="n">
        <v>5243</v>
      </c>
      <c r="D415" s="17" t="s">
        <v>77</v>
      </c>
      <c r="E415" s="17" t="n">
        <v>4992</v>
      </c>
      <c r="F415" s="17" t="n">
        <v>251</v>
      </c>
      <c r="G415" s="17"/>
    </row>
    <row r="416" customFormat="false" ht="15" hidden="false" customHeight="false" outlineLevel="0" collapsed="false">
      <c r="A416" s="17" t="s">
        <v>108</v>
      </c>
      <c r="B416" s="17" t="s">
        <v>69</v>
      </c>
      <c r="C416" s="17" t="n">
        <v>5243</v>
      </c>
      <c r="D416" s="17" t="s">
        <v>79</v>
      </c>
      <c r="E416" s="17" t="n">
        <v>5370</v>
      </c>
      <c r="F416" s="17" t="n">
        <v>127</v>
      </c>
      <c r="G416" s="17"/>
    </row>
    <row r="417" customFormat="false" ht="15" hidden="false" customHeight="false" outlineLevel="0" collapsed="false">
      <c r="A417" s="17" t="s">
        <v>108</v>
      </c>
      <c r="B417" s="17" t="s">
        <v>69</v>
      </c>
      <c r="C417" s="17" t="n">
        <v>5243</v>
      </c>
      <c r="D417" s="17" t="s">
        <v>87</v>
      </c>
      <c r="E417" s="17" t="n">
        <v>5233</v>
      </c>
      <c r="F417" s="17" t="n">
        <v>10</v>
      </c>
      <c r="G417" s="17"/>
    </row>
    <row r="418" customFormat="false" ht="15" hidden="false" customHeight="false" outlineLevel="0" collapsed="false">
      <c r="A418" s="17" t="s">
        <v>108</v>
      </c>
      <c r="B418" s="17" t="s">
        <v>77</v>
      </c>
      <c r="C418" s="17" t="n">
        <v>4992</v>
      </c>
      <c r="D418" s="17" t="s">
        <v>81</v>
      </c>
      <c r="E418" s="17" t="n">
        <v>4936</v>
      </c>
      <c r="F418" s="17" t="n">
        <v>56</v>
      </c>
      <c r="G418" s="17"/>
    </row>
    <row r="419" customFormat="false" ht="15" hidden="false" customHeight="false" outlineLevel="0" collapsed="false">
      <c r="A419" s="17" t="s">
        <v>108</v>
      </c>
      <c r="B419" s="17" t="s">
        <v>77</v>
      </c>
      <c r="C419" s="17" t="n">
        <v>4992</v>
      </c>
      <c r="D419" s="17" t="s">
        <v>83</v>
      </c>
      <c r="E419" s="17" t="n">
        <v>4865</v>
      </c>
      <c r="F419" s="17" t="n">
        <v>127</v>
      </c>
      <c r="G419" s="17"/>
    </row>
    <row r="420" customFormat="false" ht="15" hidden="false" customHeight="false" outlineLevel="0" collapsed="false">
      <c r="A420" s="17" t="s">
        <v>108</v>
      </c>
      <c r="B420" s="17" t="s">
        <v>77</v>
      </c>
      <c r="C420" s="17" t="n">
        <v>4992</v>
      </c>
      <c r="D420" s="17" t="s">
        <v>87</v>
      </c>
      <c r="E420" s="17" t="n">
        <v>5233</v>
      </c>
      <c r="F420" s="17" t="n">
        <v>241</v>
      </c>
      <c r="G420" s="17"/>
    </row>
    <row r="421" customFormat="false" ht="15" hidden="false" customHeight="false" outlineLevel="0" collapsed="false">
      <c r="A421" s="17" t="s">
        <v>108</v>
      </c>
      <c r="B421" s="17" t="s">
        <v>77</v>
      </c>
      <c r="C421" s="17" t="n">
        <v>4992</v>
      </c>
      <c r="D421" s="17" t="s">
        <v>95</v>
      </c>
      <c r="E421" s="17" t="n">
        <v>4889</v>
      </c>
      <c r="F421" s="17" t="n">
        <v>103</v>
      </c>
      <c r="G421" s="17"/>
    </row>
    <row r="422" customFormat="false" ht="15" hidden="false" customHeight="false" outlineLevel="0" collapsed="false">
      <c r="A422" s="17" t="s">
        <v>108</v>
      </c>
      <c r="B422" s="17" t="s">
        <v>79</v>
      </c>
      <c r="C422" s="17" t="n">
        <v>5370</v>
      </c>
      <c r="D422" s="17" t="s">
        <v>87</v>
      </c>
      <c r="E422" s="17" t="n">
        <v>5233</v>
      </c>
      <c r="F422" s="17" t="n">
        <v>137</v>
      </c>
      <c r="G422" s="17"/>
    </row>
    <row r="423" customFormat="false" ht="15" hidden="false" customHeight="false" outlineLevel="0" collapsed="false">
      <c r="A423" s="17" t="s">
        <v>108</v>
      </c>
      <c r="B423" s="17" t="s">
        <v>81</v>
      </c>
      <c r="C423" s="17" t="n">
        <v>4936</v>
      </c>
      <c r="D423" s="17" t="s">
        <v>83</v>
      </c>
      <c r="E423" s="17" t="n">
        <v>4865</v>
      </c>
      <c r="F423" s="17" t="n">
        <v>71</v>
      </c>
      <c r="G423" s="17"/>
    </row>
    <row r="424" customFormat="false" ht="15" hidden="false" customHeight="false" outlineLevel="0" collapsed="false">
      <c r="A424" s="17" t="s">
        <v>108</v>
      </c>
      <c r="B424" s="17" t="s">
        <v>81</v>
      </c>
      <c r="C424" s="17" t="n">
        <v>4936</v>
      </c>
      <c r="D424" s="17" t="s">
        <v>87</v>
      </c>
      <c r="E424" s="17" t="n">
        <v>5233</v>
      </c>
      <c r="F424" s="17" t="n">
        <v>297</v>
      </c>
      <c r="G424" s="17"/>
    </row>
    <row r="425" customFormat="false" ht="15" hidden="false" customHeight="false" outlineLevel="0" collapsed="false">
      <c r="A425" s="17" t="s">
        <v>108</v>
      </c>
      <c r="B425" s="17" t="s">
        <v>81</v>
      </c>
      <c r="C425" s="17" t="n">
        <v>4936</v>
      </c>
      <c r="D425" s="17" t="s">
        <v>95</v>
      </c>
      <c r="E425" s="17" t="n">
        <v>4889</v>
      </c>
      <c r="F425" s="17" t="n">
        <v>47</v>
      </c>
      <c r="G425" s="17"/>
    </row>
    <row r="426" customFormat="false" ht="15" hidden="false" customHeight="false" outlineLevel="0" collapsed="false">
      <c r="A426" s="17" t="s">
        <v>108</v>
      </c>
      <c r="B426" s="17" t="s">
        <v>83</v>
      </c>
      <c r="C426" s="17" t="n">
        <v>4865</v>
      </c>
      <c r="D426" s="17" t="s">
        <v>93</v>
      </c>
      <c r="E426" s="17" t="n">
        <v>4579</v>
      </c>
      <c r="F426" s="17" t="n">
        <v>286</v>
      </c>
      <c r="G426" s="17"/>
    </row>
    <row r="427" customFormat="false" ht="15" hidden="false" customHeight="false" outlineLevel="0" collapsed="false">
      <c r="A427" s="17" t="s">
        <v>108</v>
      </c>
      <c r="B427" s="17" t="s">
        <v>83</v>
      </c>
      <c r="C427" s="17" t="n">
        <v>4865</v>
      </c>
      <c r="D427" s="17" t="s">
        <v>95</v>
      </c>
      <c r="E427" s="17" t="n">
        <v>4889</v>
      </c>
      <c r="F427" s="17" t="n">
        <v>24</v>
      </c>
      <c r="G427" s="17"/>
    </row>
    <row r="428" customFormat="false" ht="15" hidden="false" customHeight="false" outlineLevel="0" collapsed="false">
      <c r="A428" s="17" t="s">
        <v>108</v>
      </c>
      <c r="B428" s="17" t="s">
        <v>91</v>
      </c>
      <c r="C428" s="17" t="n">
        <v>4516</v>
      </c>
      <c r="D428" s="17" t="s">
        <v>93</v>
      </c>
      <c r="E428" s="17" t="n">
        <v>4579</v>
      </c>
      <c r="F428" s="17" t="n">
        <v>63</v>
      </c>
      <c r="G428" s="17"/>
    </row>
    <row r="429" customFormat="false" ht="15" hidden="false" customHeight="false" outlineLevel="0" collapsed="false">
      <c r="A429" s="17" t="s">
        <v>109</v>
      </c>
      <c r="B429" s="17" t="s">
        <v>25</v>
      </c>
      <c r="C429" s="17" t="n">
        <v>5.229</v>
      </c>
      <c r="D429" s="17" t="s">
        <v>75</v>
      </c>
      <c r="E429" s="17" t="n">
        <v>5.034</v>
      </c>
      <c r="F429" s="17" t="n">
        <v>0.195</v>
      </c>
      <c r="G429" s="17"/>
    </row>
    <row r="430" customFormat="false" ht="15" hidden="false" customHeight="false" outlineLevel="0" collapsed="false">
      <c r="A430" s="17" t="s">
        <v>109</v>
      </c>
      <c r="B430" s="17" t="s">
        <v>28</v>
      </c>
      <c r="C430" s="17" t="n">
        <v>6.482</v>
      </c>
      <c r="D430" s="17" t="s">
        <v>71</v>
      </c>
      <c r="E430" s="17" t="n">
        <v>6.391</v>
      </c>
      <c r="F430" s="17" t="n">
        <v>0.091</v>
      </c>
      <c r="G430" s="17"/>
    </row>
    <row r="431" customFormat="false" ht="15" hidden="false" customHeight="false" outlineLevel="0" collapsed="false">
      <c r="A431" s="17" t="s">
        <v>109</v>
      </c>
      <c r="B431" s="17" t="s">
        <v>28</v>
      </c>
      <c r="C431" s="17" t="n">
        <v>6.482</v>
      </c>
      <c r="D431" s="17" t="s">
        <v>83</v>
      </c>
      <c r="E431" s="17" t="n">
        <v>6.329</v>
      </c>
      <c r="F431" s="17" t="n">
        <v>0.153</v>
      </c>
      <c r="G431" s="17"/>
    </row>
    <row r="432" customFormat="false" ht="15" hidden="false" customHeight="false" outlineLevel="0" collapsed="false">
      <c r="A432" s="17" t="s">
        <v>109</v>
      </c>
      <c r="B432" s="17" t="s">
        <v>28</v>
      </c>
      <c r="C432" s="17" t="n">
        <v>6.482</v>
      </c>
      <c r="D432" s="17" t="s">
        <v>95</v>
      </c>
      <c r="E432" s="17" t="n">
        <v>6.466</v>
      </c>
      <c r="F432" s="17" t="n">
        <v>0.016</v>
      </c>
      <c r="G432" s="17"/>
    </row>
    <row r="433" customFormat="false" ht="15" hidden="false" customHeight="false" outlineLevel="0" collapsed="false">
      <c r="A433" s="17" t="s">
        <v>109</v>
      </c>
      <c r="B433" s="17" t="s">
        <v>31</v>
      </c>
      <c r="C433" s="17" t="n">
        <v>2.858</v>
      </c>
      <c r="D433" s="17" t="s">
        <v>37</v>
      </c>
      <c r="E433" s="17" t="n">
        <v>2.939</v>
      </c>
      <c r="F433" s="17" t="n">
        <v>0.081</v>
      </c>
      <c r="G433" s="17"/>
    </row>
    <row r="434" customFormat="false" ht="15" hidden="false" customHeight="false" outlineLevel="0" collapsed="false">
      <c r="A434" s="17" t="s">
        <v>109</v>
      </c>
      <c r="B434" s="17" t="s">
        <v>31</v>
      </c>
      <c r="C434" s="17" t="n">
        <v>2.858</v>
      </c>
      <c r="D434" s="17" t="s">
        <v>49</v>
      </c>
      <c r="E434" s="17" t="n">
        <v>3.092</v>
      </c>
      <c r="F434" s="17" t="n">
        <v>0.234</v>
      </c>
      <c r="G434" s="17"/>
    </row>
    <row r="435" customFormat="false" ht="15" hidden="false" customHeight="false" outlineLevel="0" collapsed="false">
      <c r="A435" s="17" t="s">
        <v>109</v>
      </c>
      <c r="B435" s="17" t="s">
        <v>37</v>
      </c>
      <c r="C435" s="17" t="n">
        <v>2.939</v>
      </c>
      <c r="D435" s="17" t="s">
        <v>49</v>
      </c>
      <c r="E435" s="17" t="n">
        <v>3.092</v>
      </c>
      <c r="F435" s="17" t="n">
        <v>0.153</v>
      </c>
      <c r="G435" s="17"/>
    </row>
    <row r="436" customFormat="false" ht="15" hidden="false" customHeight="false" outlineLevel="0" collapsed="false">
      <c r="A436" s="17" t="s">
        <v>109</v>
      </c>
      <c r="B436" s="17" t="s">
        <v>42</v>
      </c>
      <c r="C436" s="17" t="n">
        <v>2.313</v>
      </c>
      <c r="D436" s="17" t="s">
        <v>44</v>
      </c>
      <c r="E436" s="17" t="n">
        <v>2.166</v>
      </c>
      <c r="F436" s="17" t="n">
        <v>0.147</v>
      </c>
      <c r="G436" s="17"/>
    </row>
    <row r="437" customFormat="false" ht="15" hidden="false" customHeight="false" outlineLevel="0" collapsed="false">
      <c r="A437" s="17" t="s">
        <v>109</v>
      </c>
      <c r="B437" s="17" t="s">
        <v>42</v>
      </c>
      <c r="C437" s="17" t="n">
        <v>2.313</v>
      </c>
      <c r="D437" s="17" t="s">
        <v>59</v>
      </c>
      <c r="E437" s="17" t="n">
        <v>2.206</v>
      </c>
      <c r="F437" s="17" t="n">
        <v>0.107</v>
      </c>
      <c r="G437" s="17"/>
    </row>
    <row r="438" customFormat="false" ht="15" hidden="false" customHeight="false" outlineLevel="0" collapsed="false">
      <c r="A438" s="17" t="s">
        <v>109</v>
      </c>
      <c r="B438" s="17" t="s">
        <v>42</v>
      </c>
      <c r="C438" s="17" t="n">
        <v>2.313</v>
      </c>
      <c r="D438" s="17" t="s">
        <v>63</v>
      </c>
      <c r="E438" s="17" t="n">
        <v>2.271</v>
      </c>
      <c r="F438" s="17" t="n">
        <v>0.042</v>
      </c>
      <c r="G438" s="17"/>
    </row>
    <row r="439" customFormat="false" ht="15" hidden="false" customHeight="false" outlineLevel="0" collapsed="false">
      <c r="A439" s="17" t="s">
        <v>109</v>
      </c>
      <c r="B439" s="17" t="s">
        <v>42</v>
      </c>
      <c r="C439" s="17" t="n">
        <v>2.313</v>
      </c>
      <c r="D439" s="17" t="s">
        <v>65</v>
      </c>
      <c r="E439" s="17" t="n">
        <v>2.407</v>
      </c>
      <c r="F439" s="17" t="n">
        <v>0.094</v>
      </c>
      <c r="G439" s="17"/>
    </row>
    <row r="440" customFormat="false" ht="15" hidden="false" customHeight="false" outlineLevel="0" collapsed="false">
      <c r="A440" s="17" t="s">
        <v>109</v>
      </c>
      <c r="B440" s="17" t="s">
        <v>42</v>
      </c>
      <c r="C440" s="17" t="n">
        <v>2.313</v>
      </c>
      <c r="D440" s="17" t="s">
        <v>85</v>
      </c>
      <c r="E440" s="17" t="n">
        <v>2.422</v>
      </c>
      <c r="F440" s="17" t="n">
        <v>0.109</v>
      </c>
      <c r="G440" s="17"/>
    </row>
    <row r="441" customFormat="false" ht="15" hidden="false" customHeight="false" outlineLevel="0" collapsed="false">
      <c r="A441" s="17" t="s">
        <v>109</v>
      </c>
      <c r="B441" s="17" t="s">
        <v>42</v>
      </c>
      <c r="C441" s="17" t="n">
        <v>2.313</v>
      </c>
      <c r="D441" s="17" t="s">
        <v>93</v>
      </c>
      <c r="E441" s="17" t="n">
        <v>2.197</v>
      </c>
      <c r="F441" s="17" t="n">
        <v>0.116</v>
      </c>
      <c r="G441" s="17"/>
    </row>
    <row r="442" customFormat="false" ht="15" hidden="false" customHeight="false" outlineLevel="0" collapsed="false">
      <c r="A442" s="17" t="s">
        <v>109</v>
      </c>
      <c r="B442" s="17" t="s">
        <v>44</v>
      </c>
      <c r="C442" s="17" t="n">
        <v>2.166</v>
      </c>
      <c r="D442" s="17" t="s">
        <v>59</v>
      </c>
      <c r="E442" s="17" t="n">
        <v>2.206</v>
      </c>
      <c r="F442" s="17" t="n">
        <v>0.04</v>
      </c>
      <c r="G442" s="17"/>
    </row>
    <row r="443" customFormat="false" ht="15" hidden="false" customHeight="false" outlineLevel="0" collapsed="false">
      <c r="A443" s="17" t="s">
        <v>109</v>
      </c>
      <c r="B443" s="17" t="s">
        <v>44</v>
      </c>
      <c r="C443" s="17" t="n">
        <v>2.166</v>
      </c>
      <c r="D443" s="17" t="s">
        <v>63</v>
      </c>
      <c r="E443" s="17" t="n">
        <v>2.271</v>
      </c>
      <c r="F443" s="17" t="n">
        <v>0.105</v>
      </c>
      <c r="G443" s="17"/>
    </row>
    <row r="444" customFormat="false" ht="15" hidden="false" customHeight="false" outlineLevel="0" collapsed="false">
      <c r="A444" s="17" t="s">
        <v>109</v>
      </c>
      <c r="B444" s="17" t="s">
        <v>44</v>
      </c>
      <c r="C444" s="17" t="n">
        <v>2.166</v>
      </c>
      <c r="D444" s="17" t="s">
        <v>93</v>
      </c>
      <c r="E444" s="17" t="n">
        <v>2.197</v>
      </c>
      <c r="F444" s="17" t="n">
        <v>0.031</v>
      </c>
      <c r="G444" s="17"/>
    </row>
    <row r="445" customFormat="false" ht="15" hidden="false" customHeight="false" outlineLevel="0" collapsed="false">
      <c r="A445" s="17" t="s">
        <v>109</v>
      </c>
      <c r="B445" s="17" t="s">
        <v>46</v>
      </c>
      <c r="C445" s="17" t="n">
        <v>8.477</v>
      </c>
      <c r="D445" s="17" t="s">
        <v>56</v>
      </c>
      <c r="E445" s="17" t="n">
        <v>7.905</v>
      </c>
      <c r="F445" s="17" t="n">
        <v>0.572</v>
      </c>
      <c r="G445" s="17"/>
    </row>
    <row r="446" customFormat="false" ht="15" hidden="false" customHeight="false" outlineLevel="0" collapsed="false">
      <c r="A446" s="17" t="s">
        <v>109</v>
      </c>
      <c r="B446" s="17" t="s">
        <v>49</v>
      </c>
      <c r="C446" s="17" t="n">
        <v>3.092</v>
      </c>
      <c r="D446" s="17" t="s">
        <v>91</v>
      </c>
      <c r="E446" s="17" t="n">
        <v>3.419</v>
      </c>
      <c r="F446" s="17" t="n">
        <v>0.327</v>
      </c>
      <c r="G446" s="17"/>
    </row>
    <row r="447" customFormat="false" ht="15" hidden="false" customHeight="false" outlineLevel="0" collapsed="false">
      <c r="A447" s="17" t="s">
        <v>109</v>
      </c>
      <c r="B447" s="17" t="s">
        <v>52</v>
      </c>
      <c r="C447" s="17" t="n">
        <v>4.391</v>
      </c>
      <c r="D447" s="17" t="s">
        <v>87</v>
      </c>
      <c r="E447" s="17" t="n">
        <v>4.63</v>
      </c>
      <c r="F447" s="17" t="n">
        <v>0.239</v>
      </c>
      <c r="G447" s="17"/>
    </row>
    <row r="448" customFormat="false" ht="15" hidden="false" customHeight="false" outlineLevel="0" collapsed="false">
      <c r="A448" s="17" t="s">
        <v>109</v>
      </c>
      <c r="B448" s="17" t="s">
        <v>52</v>
      </c>
      <c r="C448" s="17" t="n">
        <v>4.391</v>
      </c>
      <c r="D448" s="17" t="s">
        <v>89</v>
      </c>
      <c r="E448" s="17" t="n">
        <v>4.162</v>
      </c>
      <c r="F448" s="17" t="n">
        <v>0.229</v>
      </c>
      <c r="G448" s="17"/>
    </row>
    <row r="449" customFormat="false" ht="15" hidden="false" customHeight="false" outlineLevel="0" collapsed="false">
      <c r="A449" s="17" t="s">
        <v>109</v>
      </c>
      <c r="B449" s="17" t="s">
        <v>59</v>
      </c>
      <c r="C449" s="17" t="n">
        <v>2.206</v>
      </c>
      <c r="D449" s="17" t="s">
        <v>63</v>
      </c>
      <c r="E449" s="17" t="n">
        <v>2.271</v>
      </c>
      <c r="F449" s="17" t="n">
        <v>0.065</v>
      </c>
      <c r="G449" s="17"/>
    </row>
    <row r="450" customFormat="false" ht="15" hidden="false" customHeight="false" outlineLevel="0" collapsed="false">
      <c r="A450" s="17" t="s">
        <v>109</v>
      </c>
      <c r="B450" s="17" t="s">
        <v>59</v>
      </c>
      <c r="C450" s="17" t="n">
        <v>2.206</v>
      </c>
      <c r="D450" s="17" t="s">
        <v>65</v>
      </c>
      <c r="E450" s="17" t="n">
        <v>2.407</v>
      </c>
      <c r="F450" s="17" t="n">
        <v>0.201</v>
      </c>
      <c r="G450" s="17"/>
    </row>
    <row r="451" customFormat="false" ht="15" hidden="false" customHeight="false" outlineLevel="0" collapsed="false">
      <c r="A451" s="17" t="s">
        <v>109</v>
      </c>
      <c r="B451" s="17" t="s">
        <v>59</v>
      </c>
      <c r="C451" s="17" t="n">
        <v>2.206</v>
      </c>
      <c r="D451" s="17" t="s">
        <v>85</v>
      </c>
      <c r="E451" s="17" t="n">
        <v>2.422</v>
      </c>
      <c r="F451" s="17" t="n">
        <v>0.216</v>
      </c>
      <c r="G451" s="17"/>
    </row>
    <row r="452" customFormat="false" ht="15" hidden="false" customHeight="false" outlineLevel="0" collapsed="false">
      <c r="A452" s="17" t="s">
        <v>109</v>
      </c>
      <c r="B452" s="17" t="s">
        <v>59</v>
      </c>
      <c r="C452" s="17" t="n">
        <v>2.206</v>
      </c>
      <c r="D452" s="17" t="s">
        <v>93</v>
      </c>
      <c r="E452" s="17" t="n">
        <v>2.197</v>
      </c>
      <c r="F452" s="17" t="n">
        <v>0.009</v>
      </c>
      <c r="G452" s="17"/>
    </row>
    <row r="453" customFormat="false" ht="15" hidden="false" customHeight="false" outlineLevel="0" collapsed="false">
      <c r="A453" s="17" t="s">
        <v>109</v>
      </c>
      <c r="B453" s="17" t="s">
        <v>63</v>
      </c>
      <c r="C453" s="17" t="n">
        <v>2.271</v>
      </c>
      <c r="D453" s="17" t="s">
        <v>65</v>
      </c>
      <c r="E453" s="17" t="n">
        <v>2.407</v>
      </c>
      <c r="F453" s="17" t="n">
        <v>0.136</v>
      </c>
      <c r="G453" s="17"/>
    </row>
    <row r="454" customFormat="false" ht="15" hidden="false" customHeight="false" outlineLevel="0" collapsed="false">
      <c r="A454" s="17" t="s">
        <v>109</v>
      </c>
      <c r="B454" s="17" t="s">
        <v>63</v>
      </c>
      <c r="C454" s="17" t="n">
        <v>2.271</v>
      </c>
      <c r="D454" s="17" t="s">
        <v>85</v>
      </c>
      <c r="E454" s="17" t="n">
        <v>2.422</v>
      </c>
      <c r="F454" s="17" t="n">
        <v>0.151</v>
      </c>
      <c r="G454" s="17"/>
    </row>
    <row r="455" customFormat="false" ht="15" hidden="false" customHeight="false" outlineLevel="0" collapsed="false">
      <c r="A455" s="17" t="s">
        <v>109</v>
      </c>
      <c r="B455" s="17" t="s">
        <v>63</v>
      </c>
      <c r="C455" s="17" t="n">
        <v>2.271</v>
      </c>
      <c r="D455" s="17" t="s">
        <v>93</v>
      </c>
      <c r="E455" s="17" t="n">
        <v>2.197</v>
      </c>
      <c r="F455" s="17" t="n">
        <v>0.074</v>
      </c>
      <c r="G455" s="17"/>
    </row>
    <row r="456" customFormat="false" ht="15" hidden="false" customHeight="false" outlineLevel="0" collapsed="false">
      <c r="A456" s="17" t="s">
        <v>109</v>
      </c>
      <c r="B456" s="17" t="s">
        <v>65</v>
      </c>
      <c r="C456" s="17" t="n">
        <v>2.407</v>
      </c>
      <c r="D456" s="17" t="s">
        <v>85</v>
      </c>
      <c r="E456" s="17" t="n">
        <v>2.422</v>
      </c>
      <c r="F456" s="17" t="n">
        <v>0.015</v>
      </c>
      <c r="G456" s="17"/>
    </row>
    <row r="457" customFormat="false" ht="15" hidden="false" customHeight="false" outlineLevel="0" collapsed="false">
      <c r="A457" s="17" t="s">
        <v>109</v>
      </c>
      <c r="B457" s="17" t="s">
        <v>65</v>
      </c>
      <c r="C457" s="17" t="n">
        <v>2.407</v>
      </c>
      <c r="D457" s="17" t="s">
        <v>93</v>
      </c>
      <c r="E457" s="17" t="n">
        <v>2.197</v>
      </c>
      <c r="F457" s="17" t="n">
        <v>0.21</v>
      </c>
      <c r="G457" s="17"/>
    </row>
    <row r="458" customFormat="false" ht="15" hidden="false" customHeight="false" outlineLevel="0" collapsed="false">
      <c r="A458" s="17" t="s">
        <v>109</v>
      </c>
      <c r="B458" s="17" t="s">
        <v>67</v>
      </c>
      <c r="C458" s="17" t="n">
        <v>12.844</v>
      </c>
      <c r="D458" s="17" t="s">
        <v>69</v>
      </c>
      <c r="E458" s="17" t="n">
        <v>12.844</v>
      </c>
      <c r="F458" s="17" t="n">
        <v>0</v>
      </c>
      <c r="G458" s="17" t="s">
        <v>243</v>
      </c>
    </row>
    <row r="459" customFormat="false" ht="15" hidden="false" customHeight="false" outlineLevel="0" collapsed="false">
      <c r="A459" s="17" t="s">
        <v>109</v>
      </c>
      <c r="B459" s="17" t="s">
        <v>71</v>
      </c>
      <c r="C459" s="17" t="n">
        <v>6.391</v>
      </c>
      <c r="D459" s="17" t="s">
        <v>83</v>
      </c>
      <c r="E459" s="17" t="n">
        <v>6.329</v>
      </c>
      <c r="F459" s="17" t="n">
        <v>0.062</v>
      </c>
      <c r="G459" s="17"/>
    </row>
    <row r="460" customFormat="false" ht="15" hidden="false" customHeight="false" outlineLevel="0" collapsed="false">
      <c r="A460" s="17" t="s">
        <v>109</v>
      </c>
      <c r="B460" s="17" t="s">
        <v>71</v>
      </c>
      <c r="C460" s="17" t="n">
        <v>6.391</v>
      </c>
      <c r="D460" s="17" t="s">
        <v>95</v>
      </c>
      <c r="E460" s="17" t="n">
        <v>6.466</v>
      </c>
      <c r="F460" s="17" t="n">
        <v>0.075</v>
      </c>
      <c r="G460" s="17"/>
    </row>
    <row r="461" customFormat="false" ht="15" hidden="false" customHeight="false" outlineLevel="0" collapsed="false">
      <c r="A461" s="17" t="s">
        <v>109</v>
      </c>
      <c r="B461" s="17" t="s">
        <v>73</v>
      </c>
      <c r="C461" s="17" t="n">
        <v>3.79</v>
      </c>
      <c r="D461" s="17" t="s">
        <v>89</v>
      </c>
      <c r="E461" s="17" t="n">
        <v>4.162</v>
      </c>
      <c r="F461" s="17" t="n">
        <v>0.372</v>
      </c>
      <c r="G461" s="17"/>
    </row>
    <row r="462" customFormat="false" ht="15" hidden="false" customHeight="false" outlineLevel="0" collapsed="false">
      <c r="A462" s="17" t="s">
        <v>109</v>
      </c>
      <c r="B462" s="17" t="s">
        <v>73</v>
      </c>
      <c r="C462" s="17" t="n">
        <v>3.79</v>
      </c>
      <c r="D462" s="17" t="s">
        <v>91</v>
      </c>
      <c r="E462" s="17" t="n">
        <v>3.419</v>
      </c>
      <c r="F462" s="17" t="n">
        <v>0.371</v>
      </c>
      <c r="G462" s="17"/>
    </row>
    <row r="463" customFormat="false" ht="15" hidden="false" customHeight="false" outlineLevel="0" collapsed="false">
      <c r="A463" s="17" t="s">
        <v>109</v>
      </c>
      <c r="B463" s="17" t="s">
        <v>75</v>
      </c>
      <c r="C463" s="17" t="n">
        <v>5.034</v>
      </c>
      <c r="D463" s="17" t="s">
        <v>87</v>
      </c>
      <c r="E463" s="17" t="n">
        <v>4.63</v>
      </c>
      <c r="F463" s="17" t="n">
        <v>0.404</v>
      </c>
      <c r="G463" s="17"/>
    </row>
    <row r="464" customFormat="false" ht="15" hidden="false" customHeight="false" outlineLevel="0" collapsed="false">
      <c r="A464" s="17" t="s">
        <v>109</v>
      </c>
      <c r="B464" s="17" t="s">
        <v>79</v>
      </c>
      <c r="C464" s="17" t="n">
        <v>20.112</v>
      </c>
      <c r="D464" s="17" t="s">
        <v>81</v>
      </c>
      <c r="E464" s="17" t="n">
        <v>20.112</v>
      </c>
      <c r="F464" s="17" t="n">
        <v>0</v>
      </c>
      <c r="G464" s="17" t="s">
        <v>243</v>
      </c>
    </row>
    <row r="465" customFormat="false" ht="15" hidden="false" customHeight="false" outlineLevel="0" collapsed="false">
      <c r="A465" s="17" t="s">
        <v>109</v>
      </c>
      <c r="B465" s="17" t="s">
        <v>83</v>
      </c>
      <c r="C465" s="17" t="n">
        <v>6.329</v>
      </c>
      <c r="D465" s="17" t="s">
        <v>95</v>
      </c>
      <c r="E465" s="17" t="n">
        <v>6.466</v>
      </c>
      <c r="F465" s="17" t="n">
        <v>0.137</v>
      </c>
      <c r="G465" s="17"/>
    </row>
    <row r="466" customFormat="false" ht="15" hidden="false" customHeight="false" outlineLevel="0" collapsed="false">
      <c r="A466" s="17" t="s">
        <v>109</v>
      </c>
      <c r="B466" s="17" t="s">
        <v>85</v>
      </c>
      <c r="C466" s="17" t="n">
        <v>2.422</v>
      </c>
      <c r="D466" s="17" t="s">
        <v>93</v>
      </c>
      <c r="E466" s="17" t="n">
        <v>2.197</v>
      </c>
      <c r="F466" s="17" t="n">
        <v>0.225</v>
      </c>
      <c r="G466" s="17"/>
    </row>
    <row r="467" customFormat="false" ht="15" hidden="false" customHeight="false" outlineLevel="0" collapsed="false">
      <c r="A467" s="17" t="s">
        <v>110</v>
      </c>
      <c r="B467" s="17" t="s">
        <v>25</v>
      </c>
      <c r="C467" s="17" t="n">
        <v>2.321</v>
      </c>
      <c r="D467" s="17" t="s">
        <v>59</v>
      </c>
      <c r="E467" s="17" t="n">
        <v>2.3</v>
      </c>
      <c r="F467" s="17" t="n">
        <v>0.021</v>
      </c>
      <c r="G467" s="17"/>
    </row>
    <row r="468" customFormat="false" ht="15" hidden="false" customHeight="false" outlineLevel="0" collapsed="false">
      <c r="A468" s="17" t="s">
        <v>110</v>
      </c>
      <c r="B468" s="17" t="s">
        <v>25</v>
      </c>
      <c r="C468" s="17" t="n">
        <v>2.321</v>
      </c>
      <c r="D468" s="17" t="s">
        <v>81</v>
      </c>
      <c r="E468" s="17" t="n">
        <v>2.573</v>
      </c>
      <c r="F468" s="17" t="n">
        <v>0.252</v>
      </c>
      <c r="G468" s="17"/>
    </row>
    <row r="469" customFormat="false" ht="15" hidden="false" customHeight="false" outlineLevel="0" collapsed="false">
      <c r="A469" s="17" t="s">
        <v>110</v>
      </c>
      <c r="B469" s="17" t="s">
        <v>28</v>
      </c>
      <c r="C469" s="17" t="n">
        <v>3.933</v>
      </c>
      <c r="D469" s="17" t="s">
        <v>42</v>
      </c>
      <c r="E469" s="17" t="n">
        <v>3.668</v>
      </c>
      <c r="F469" s="17" t="n">
        <v>0.265</v>
      </c>
      <c r="G469" s="17"/>
    </row>
    <row r="470" customFormat="false" ht="15" hidden="false" customHeight="false" outlineLevel="0" collapsed="false">
      <c r="A470" s="17" t="s">
        <v>110</v>
      </c>
      <c r="B470" s="17" t="s">
        <v>28</v>
      </c>
      <c r="C470" s="17" t="n">
        <v>3.933</v>
      </c>
      <c r="D470" s="17" t="s">
        <v>44</v>
      </c>
      <c r="E470" s="17" t="n">
        <v>3.555</v>
      </c>
      <c r="F470" s="17" t="n">
        <v>0.378</v>
      </c>
      <c r="G470" s="17"/>
    </row>
    <row r="471" customFormat="false" ht="15" hidden="false" customHeight="false" outlineLevel="0" collapsed="false">
      <c r="A471" s="17" t="s">
        <v>110</v>
      </c>
      <c r="B471" s="17" t="s">
        <v>28</v>
      </c>
      <c r="C471" s="17" t="n">
        <v>3.933</v>
      </c>
      <c r="D471" s="17" t="s">
        <v>52</v>
      </c>
      <c r="E471" s="17" t="n">
        <v>4.129</v>
      </c>
      <c r="F471" s="17" t="n">
        <v>0.196</v>
      </c>
      <c r="G471" s="17"/>
    </row>
    <row r="472" customFormat="false" ht="15" hidden="false" customHeight="false" outlineLevel="0" collapsed="false">
      <c r="A472" s="17" t="s">
        <v>110</v>
      </c>
      <c r="B472" s="17" t="s">
        <v>28</v>
      </c>
      <c r="C472" s="17" t="n">
        <v>3.933</v>
      </c>
      <c r="D472" s="17" t="s">
        <v>56</v>
      </c>
      <c r="E472" s="17" t="n">
        <v>4.062</v>
      </c>
      <c r="F472" s="17" t="n">
        <v>0.129</v>
      </c>
      <c r="G472" s="17"/>
    </row>
    <row r="473" customFormat="false" ht="15" hidden="false" customHeight="false" outlineLevel="0" collapsed="false">
      <c r="A473" s="17" t="s">
        <v>110</v>
      </c>
      <c r="B473" s="17" t="s">
        <v>28</v>
      </c>
      <c r="C473" s="17" t="n">
        <v>3.933</v>
      </c>
      <c r="D473" s="17" t="s">
        <v>73</v>
      </c>
      <c r="E473" s="17" t="n">
        <v>3.611</v>
      </c>
      <c r="F473" s="17" t="n">
        <v>0.322</v>
      </c>
      <c r="G473" s="17"/>
    </row>
    <row r="474" customFormat="false" ht="15" hidden="false" customHeight="false" outlineLevel="0" collapsed="false">
      <c r="A474" s="17" t="s">
        <v>110</v>
      </c>
      <c r="B474" s="17" t="s">
        <v>28</v>
      </c>
      <c r="C474" s="17" t="n">
        <v>3.933</v>
      </c>
      <c r="D474" s="17" t="s">
        <v>77</v>
      </c>
      <c r="E474" s="17" t="n">
        <v>3.96</v>
      </c>
      <c r="F474" s="17" t="n">
        <v>0.027</v>
      </c>
      <c r="G474" s="17"/>
    </row>
    <row r="475" customFormat="false" ht="15" hidden="false" customHeight="false" outlineLevel="0" collapsed="false">
      <c r="A475" s="17" t="s">
        <v>110</v>
      </c>
      <c r="B475" s="17" t="s">
        <v>31</v>
      </c>
      <c r="C475" s="17" t="n">
        <v>4.553</v>
      </c>
      <c r="D475" s="17" t="s">
        <v>34</v>
      </c>
      <c r="E475" s="17" t="n">
        <v>4.558</v>
      </c>
      <c r="F475" s="17" t="n">
        <v>0.005</v>
      </c>
      <c r="G475" s="17"/>
    </row>
    <row r="476" customFormat="false" ht="15" hidden="false" customHeight="false" outlineLevel="0" collapsed="false">
      <c r="A476" s="17" t="s">
        <v>110</v>
      </c>
      <c r="B476" s="17" t="s">
        <v>31</v>
      </c>
      <c r="C476" s="17" t="n">
        <v>4.553</v>
      </c>
      <c r="D476" s="17" t="s">
        <v>39</v>
      </c>
      <c r="E476" s="17" t="n">
        <v>4.504</v>
      </c>
      <c r="F476" s="17" t="n">
        <v>0.049</v>
      </c>
      <c r="G476" s="17"/>
    </row>
    <row r="477" customFormat="false" ht="15" hidden="false" customHeight="false" outlineLevel="0" collapsed="false">
      <c r="A477" s="17" t="s">
        <v>110</v>
      </c>
      <c r="B477" s="17" t="s">
        <v>31</v>
      </c>
      <c r="C477" s="17" t="n">
        <v>4.553</v>
      </c>
      <c r="D477" s="17" t="s">
        <v>49</v>
      </c>
      <c r="E477" s="17" t="n">
        <v>4.443</v>
      </c>
      <c r="F477" s="17" t="n">
        <v>0.11</v>
      </c>
      <c r="G477" s="17"/>
    </row>
    <row r="478" customFormat="false" ht="15" hidden="false" customHeight="false" outlineLevel="0" collapsed="false">
      <c r="A478" s="17" t="s">
        <v>110</v>
      </c>
      <c r="B478" s="17" t="s">
        <v>31</v>
      </c>
      <c r="C478" s="17" t="n">
        <v>4.553</v>
      </c>
      <c r="D478" s="17" t="s">
        <v>52</v>
      </c>
      <c r="E478" s="17" t="n">
        <v>4.129</v>
      </c>
      <c r="F478" s="17" t="n">
        <v>0.424</v>
      </c>
      <c r="G478" s="17"/>
    </row>
    <row r="479" customFormat="false" ht="15" hidden="false" customHeight="false" outlineLevel="0" collapsed="false">
      <c r="A479" s="17" t="s">
        <v>110</v>
      </c>
      <c r="B479" s="17" t="s">
        <v>31</v>
      </c>
      <c r="C479" s="17" t="n">
        <v>4.553</v>
      </c>
      <c r="D479" s="17" t="s">
        <v>65</v>
      </c>
      <c r="E479" s="17" t="n">
        <v>4.535</v>
      </c>
      <c r="F479" s="17" t="n">
        <v>0.018</v>
      </c>
      <c r="G479" s="17"/>
    </row>
    <row r="480" customFormat="false" ht="15" hidden="false" customHeight="false" outlineLevel="0" collapsed="false">
      <c r="A480" s="17" t="s">
        <v>110</v>
      </c>
      <c r="B480" s="17" t="s">
        <v>31</v>
      </c>
      <c r="C480" s="17" t="n">
        <v>4.553</v>
      </c>
      <c r="D480" s="17" t="s">
        <v>79</v>
      </c>
      <c r="E480" s="17" t="n">
        <v>4.997</v>
      </c>
      <c r="F480" s="17" t="n">
        <v>0.444</v>
      </c>
      <c r="G480" s="17"/>
    </row>
    <row r="481" customFormat="false" ht="15" hidden="false" customHeight="false" outlineLevel="0" collapsed="false">
      <c r="A481" s="17" t="s">
        <v>110</v>
      </c>
      <c r="B481" s="17" t="s">
        <v>34</v>
      </c>
      <c r="C481" s="17" t="n">
        <v>4.558</v>
      </c>
      <c r="D481" s="17" t="s">
        <v>39</v>
      </c>
      <c r="E481" s="17" t="n">
        <v>4.504</v>
      </c>
      <c r="F481" s="17" t="n">
        <v>0.054</v>
      </c>
      <c r="G481" s="17"/>
    </row>
    <row r="482" customFormat="false" ht="15" hidden="false" customHeight="false" outlineLevel="0" collapsed="false">
      <c r="A482" s="17" t="s">
        <v>110</v>
      </c>
      <c r="B482" s="17" t="s">
        <v>34</v>
      </c>
      <c r="C482" s="17" t="n">
        <v>4.558</v>
      </c>
      <c r="D482" s="17" t="s">
        <v>49</v>
      </c>
      <c r="E482" s="17" t="n">
        <v>4.443</v>
      </c>
      <c r="F482" s="17" t="n">
        <v>0.115</v>
      </c>
      <c r="G482" s="17"/>
    </row>
    <row r="483" customFormat="false" ht="15" hidden="false" customHeight="false" outlineLevel="0" collapsed="false">
      <c r="A483" s="17" t="s">
        <v>110</v>
      </c>
      <c r="B483" s="17" t="s">
        <v>34</v>
      </c>
      <c r="C483" s="17" t="n">
        <v>4.558</v>
      </c>
      <c r="D483" s="17" t="s">
        <v>52</v>
      </c>
      <c r="E483" s="17" t="n">
        <v>4.129</v>
      </c>
      <c r="F483" s="17" t="n">
        <v>0.429</v>
      </c>
      <c r="G483" s="17"/>
    </row>
    <row r="484" customFormat="false" ht="15" hidden="false" customHeight="false" outlineLevel="0" collapsed="false">
      <c r="A484" s="17" t="s">
        <v>110</v>
      </c>
      <c r="B484" s="17" t="s">
        <v>34</v>
      </c>
      <c r="C484" s="17" t="n">
        <v>4.558</v>
      </c>
      <c r="D484" s="17" t="s">
        <v>65</v>
      </c>
      <c r="E484" s="17" t="n">
        <v>4.535</v>
      </c>
      <c r="F484" s="17" t="n">
        <v>0.023</v>
      </c>
      <c r="G484" s="17"/>
    </row>
    <row r="485" customFormat="false" ht="15" hidden="false" customHeight="false" outlineLevel="0" collapsed="false">
      <c r="A485" s="17" t="s">
        <v>110</v>
      </c>
      <c r="B485" s="17" t="s">
        <v>34</v>
      </c>
      <c r="C485" s="17" t="n">
        <v>4.558</v>
      </c>
      <c r="D485" s="17" t="s">
        <v>79</v>
      </c>
      <c r="E485" s="17" t="n">
        <v>4.997</v>
      </c>
      <c r="F485" s="17" t="n">
        <v>0.439</v>
      </c>
      <c r="G485" s="17"/>
    </row>
    <row r="486" customFormat="false" ht="15" hidden="false" customHeight="false" outlineLevel="0" collapsed="false">
      <c r="A486" s="17" t="s">
        <v>110</v>
      </c>
      <c r="B486" s="17" t="s">
        <v>37</v>
      </c>
      <c r="C486" s="17" t="n">
        <v>5.073</v>
      </c>
      <c r="D486" s="17" t="s">
        <v>54</v>
      </c>
      <c r="E486" s="17" t="n">
        <v>5.535</v>
      </c>
      <c r="F486" s="17" t="n">
        <v>0.462</v>
      </c>
      <c r="G486" s="17"/>
    </row>
    <row r="487" customFormat="false" ht="15" hidden="false" customHeight="false" outlineLevel="0" collapsed="false">
      <c r="A487" s="17" t="s">
        <v>110</v>
      </c>
      <c r="B487" s="17" t="s">
        <v>37</v>
      </c>
      <c r="C487" s="17" t="n">
        <v>5.073</v>
      </c>
      <c r="D487" s="17" t="s">
        <v>79</v>
      </c>
      <c r="E487" s="17" t="n">
        <v>4.997</v>
      </c>
      <c r="F487" s="17" t="n">
        <v>0.076</v>
      </c>
      <c r="G487" s="17"/>
    </row>
    <row r="488" customFormat="false" ht="15" hidden="false" customHeight="false" outlineLevel="0" collapsed="false">
      <c r="A488" s="17" t="s">
        <v>110</v>
      </c>
      <c r="B488" s="17" t="s">
        <v>39</v>
      </c>
      <c r="C488" s="17" t="n">
        <v>4.504</v>
      </c>
      <c r="D488" s="17" t="s">
        <v>49</v>
      </c>
      <c r="E488" s="17" t="n">
        <v>4.443</v>
      </c>
      <c r="F488" s="17" t="n">
        <v>0.061</v>
      </c>
      <c r="G488" s="17"/>
    </row>
    <row r="489" customFormat="false" ht="15" hidden="false" customHeight="false" outlineLevel="0" collapsed="false">
      <c r="A489" s="17" t="s">
        <v>110</v>
      </c>
      <c r="B489" s="17" t="s">
        <v>39</v>
      </c>
      <c r="C489" s="17" t="n">
        <v>4.504</v>
      </c>
      <c r="D489" s="17" t="s">
        <v>52</v>
      </c>
      <c r="E489" s="17" t="n">
        <v>4.129</v>
      </c>
      <c r="F489" s="17" t="n">
        <v>0.375</v>
      </c>
      <c r="G489" s="17"/>
    </row>
    <row r="490" customFormat="false" ht="15" hidden="false" customHeight="false" outlineLevel="0" collapsed="false">
      <c r="A490" s="17" t="s">
        <v>110</v>
      </c>
      <c r="B490" s="17" t="s">
        <v>39</v>
      </c>
      <c r="C490" s="17" t="n">
        <v>4.504</v>
      </c>
      <c r="D490" s="17" t="s">
        <v>56</v>
      </c>
      <c r="E490" s="17" t="n">
        <v>4.062</v>
      </c>
      <c r="F490" s="17" t="n">
        <v>0.442</v>
      </c>
      <c r="G490" s="17"/>
    </row>
    <row r="491" customFormat="false" ht="15" hidden="false" customHeight="false" outlineLevel="0" collapsed="false">
      <c r="A491" s="17" t="s">
        <v>110</v>
      </c>
      <c r="B491" s="17" t="s">
        <v>39</v>
      </c>
      <c r="C491" s="17" t="n">
        <v>4.504</v>
      </c>
      <c r="D491" s="17" t="s">
        <v>65</v>
      </c>
      <c r="E491" s="17" t="n">
        <v>4.535</v>
      </c>
      <c r="F491" s="17" t="n">
        <v>0.031</v>
      </c>
      <c r="G491" s="17"/>
    </row>
    <row r="492" customFormat="false" ht="15" hidden="false" customHeight="false" outlineLevel="0" collapsed="false">
      <c r="A492" s="17" t="s">
        <v>110</v>
      </c>
      <c r="B492" s="17" t="s">
        <v>39</v>
      </c>
      <c r="C492" s="17" t="n">
        <v>4.504</v>
      </c>
      <c r="D492" s="17" t="s">
        <v>79</v>
      </c>
      <c r="E492" s="17" t="n">
        <v>4.997</v>
      </c>
      <c r="F492" s="17" t="n">
        <v>0.493</v>
      </c>
      <c r="G492" s="17"/>
    </row>
    <row r="493" customFormat="false" ht="15" hidden="false" customHeight="false" outlineLevel="0" collapsed="false">
      <c r="A493" s="17" t="s">
        <v>110</v>
      </c>
      <c r="B493" s="17" t="s">
        <v>42</v>
      </c>
      <c r="C493" s="17" t="n">
        <v>3.668</v>
      </c>
      <c r="D493" s="17" t="s">
        <v>44</v>
      </c>
      <c r="E493" s="17" t="n">
        <v>3.555</v>
      </c>
      <c r="F493" s="17" t="n">
        <v>0.113</v>
      </c>
      <c r="G493" s="17"/>
    </row>
    <row r="494" customFormat="false" ht="15" hidden="false" customHeight="false" outlineLevel="0" collapsed="false">
      <c r="A494" s="17" t="s">
        <v>110</v>
      </c>
      <c r="B494" s="17" t="s">
        <v>42</v>
      </c>
      <c r="C494" s="17" t="n">
        <v>3.668</v>
      </c>
      <c r="D494" s="17" t="s">
        <v>56</v>
      </c>
      <c r="E494" s="17" t="n">
        <v>4.062</v>
      </c>
      <c r="F494" s="17" t="n">
        <v>0.394</v>
      </c>
      <c r="G494" s="17"/>
    </row>
    <row r="495" customFormat="false" ht="15" hidden="false" customHeight="false" outlineLevel="0" collapsed="false">
      <c r="A495" s="17" t="s">
        <v>110</v>
      </c>
      <c r="B495" s="17" t="s">
        <v>42</v>
      </c>
      <c r="C495" s="17" t="n">
        <v>3.668</v>
      </c>
      <c r="D495" s="17" t="s">
        <v>69</v>
      </c>
      <c r="E495" s="17" t="n">
        <v>3.489</v>
      </c>
      <c r="F495" s="17" t="n">
        <v>0.179</v>
      </c>
      <c r="G495" s="17"/>
    </row>
    <row r="496" customFormat="false" ht="15" hidden="false" customHeight="false" outlineLevel="0" collapsed="false">
      <c r="A496" s="17" t="s">
        <v>110</v>
      </c>
      <c r="B496" s="17" t="s">
        <v>42</v>
      </c>
      <c r="C496" s="17" t="n">
        <v>3.668</v>
      </c>
      <c r="D496" s="17" t="s">
        <v>71</v>
      </c>
      <c r="E496" s="17" t="n">
        <v>3.383</v>
      </c>
      <c r="F496" s="17" t="n">
        <v>0.285</v>
      </c>
      <c r="G496" s="17"/>
    </row>
    <row r="497" customFormat="false" ht="15" hidden="false" customHeight="false" outlineLevel="0" collapsed="false">
      <c r="A497" s="17" t="s">
        <v>110</v>
      </c>
      <c r="B497" s="17" t="s">
        <v>42</v>
      </c>
      <c r="C497" s="17" t="n">
        <v>3.668</v>
      </c>
      <c r="D497" s="17" t="s">
        <v>73</v>
      </c>
      <c r="E497" s="17" t="n">
        <v>3.611</v>
      </c>
      <c r="F497" s="17" t="n">
        <v>0.057</v>
      </c>
      <c r="G497" s="17"/>
    </row>
    <row r="498" customFormat="false" ht="15" hidden="false" customHeight="false" outlineLevel="0" collapsed="false">
      <c r="A498" s="17" t="s">
        <v>110</v>
      </c>
      <c r="B498" s="17" t="s">
        <v>42</v>
      </c>
      <c r="C498" s="17" t="n">
        <v>3.668</v>
      </c>
      <c r="D498" s="17" t="s">
        <v>77</v>
      </c>
      <c r="E498" s="17" t="n">
        <v>3.96</v>
      </c>
      <c r="F498" s="17" t="n">
        <v>0.292</v>
      </c>
      <c r="G498" s="17"/>
    </row>
    <row r="499" customFormat="false" ht="15" hidden="false" customHeight="false" outlineLevel="0" collapsed="false">
      <c r="A499" s="17" t="s">
        <v>110</v>
      </c>
      <c r="B499" s="17" t="s">
        <v>44</v>
      </c>
      <c r="C499" s="17" t="n">
        <v>3.555</v>
      </c>
      <c r="D499" s="17" t="s">
        <v>69</v>
      </c>
      <c r="E499" s="17" t="n">
        <v>3.489</v>
      </c>
      <c r="F499" s="17" t="n">
        <v>0.066</v>
      </c>
      <c r="G499" s="17"/>
    </row>
    <row r="500" customFormat="false" ht="15" hidden="false" customHeight="false" outlineLevel="0" collapsed="false">
      <c r="A500" s="17" t="s">
        <v>110</v>
      </c>
      <c r="B500" s="17" t="s">
        <v>44</v>
      </c>
      <c r="C500" s="17" t="n">
        <v>3.555</v>
      </c>
      <c r="D500" s="17" t="s">
        <v>71</v>
      </c>
      <c r="E500" s="17" t="n">
        <v>3.383</v>
      </c>
      <c r="F500" s="17" t="n">
        <v>0.172</v>
      </c>
      <c r="G500" s="17"/>
    </row>
    <row r="501" customFormat="false" ht="15" hidden="false" customHeight="false" outlineLevel="0" collapsed="false">
      <c r="A501" s="17" t="s">
        <v>110</v>
      </c>
      <c r="B501" s="17" t="s">
        <v>44</v>
      </c>
      <c r="C501" s="17" t="n">
        <v>3.555</v>
      </c>
      <c r="D501" s="17" t="s">
        <v>73</v>
      </c>
      <c r="E501" s="17" t="n">
        <v>3.611</v>
      </c>
      <c r="F501" s="17" t="n">
        <v>0.056</v>
      </c>
      <c r="G501" s="17"/>
    </row>
    <row r="502" customFormat="false" ht="15" hidden="false" customHeight="false" outlineLevel="0" collapsed="false">
      <c r="A502" s="17" t="s">
        <v>110</v>
      </c>
      <c r="B502" s="17" t="s">
        <v>44</v>
      </c>
      <c r="C502" s="17" t="n">
        <v>3.555</v>
      </c>
      <c r="D502" s="17" t="s">
        <v>91</v>
      </c>
      <c r="E502" s="17" t="n">
        <v>3.271</v>
      </c>
      <c r="F502" s="17" t="n">
        <v>0.284</v>
      </c>
      <c r="G502" s="17"/>
    </row>
    <row r="503" customFormat="false" ht="15" hidden="false" customHeight="false" outlineLevel="0" collapsed="false">
      <c r="A503" s="17" t="s">
        <v>110</v>
      </c>
      <c r="B503" s="17" t="s">
        <v>46</v>
      </c>
      <c r="C503" s="17" t="n">
        <v>9.711</v>
      </c>
      <c r="D503" s="17" t="s">
        <v>75</v>
      </c>
      <c r="E503" s="17" t="n">
        <v>10.101</v>
      </c>
      <c r="F503" s="17" t="n">
        <v>0.39</v>
      </c>
      <c r="G503" s="17"/>
    </row>
    <row r="504" customFormat="false" ht="15" hidden="false" customHeight="false" outlineLevel="0" collapsed="false">
      <c r="A504" s="17" t="s">
        <v>110</v>
      </c>
      <c r="B504" s="17" t="s">
        <v>46</v>
      </c>
      <c r="C504" s="17" t="n">
        <v>9.711</v>
      </c>
      <c r="D504" s="17" t="s">
        <v>83</v>
      </c>
      <c r="E504" s="17" t="n">
        <v>9.517</v>
      </c>
      <c r="F504" s="17" t="n">
        <v>0.194</v>
      </c>
      <c r="G504" s="17"/>
    </row>
    <row r="505" customFormat="false" ht="15" hidden="false" customHeight="false" outlineLevel="0" collapsed="false">
      <c r="A505" s="17" t="s">
        <v>110</v>
      </c>
      <c r="B505" s="17" t="s">
        <v>49</v>
      </c>
      <c r="C505" s="17" t="n">
        <v>4.443</v>
      </c>
      <c r="D505" s="17" t="s">
        <v>52</v>
      </c>
      <c r="E505" s="17" t="n">
        <v>4.129</v>
      </c>
      <c r="F505" s="17" t="n">
        <v>0.314</v>
      </c>
      <c r="G505" s="17"/>
    </row>
    <row r="506" customFormat="false" ht="15" hidden="false" customHeight="false" outlineLevel="0" collapsed="false">
      <c r="A506" s="17" t="s">
        <v>110</v>
      </c>
      <c r="B506" s="17" t="s">
        <v>49</v>
      </c>
      <c r="C506" s="17" t="n">
        <v>4.443</v>
      </c>
      <c r="D506" s="17" t="s">
        <v>56</v>
      </c>
      <c r="E506" s="17" t="n">
        <v>4.062</v>
      </c>
      <c r="F506" s="17" t="n">
        <v>0.381</v>
      </c>
      <c r="G506" s="17"/>
    </row>
    <row r="507" customFormat="false" ht="15" hidden="false" customHeight="false" outlineLevel="0" collapsed="false">
      <c r="A507" s="17" t="s">
        <v>110</v>
      </c>
      <c r="B507" s="17" t="s">
        <v>49</v>
      </c>
      <c r="C507" s="17" t="n">
        <v>4.443</v>
      </c>
      <c r="D507" s="17" t="s">
        <v>65</v>
      </c>
      <c r="E507" s="17" t="n">
        <v>4.535</v>
      </c>
      <c r="F507" s="17" t="n">
        <v>0.092</v>
      </c>
      <c r="G507" s="17"/>
    </row>
    <row r="508" customFormat="false" ht="15" hidden="false" customHeight="false" outlineLevel="0" collapsed="false">
      <c r="A508" s="17" t="s">
        <v>110</v>
      </c>
      <c r="B508" s="17" t="s">
        <v>52</v>
      </c>
      <c r="C508" s="17" t="n">
        <v>4.129</v>
      </c>
      <c r="D508" s="17" t="s">
        <v>56</v>
      </c>
      <c r="E508" s="17" t="n">
        <v>4.062</v>
      </c>
      <c r="F508" s="17" t="n">
        <v>0.067</v>
      </c>
      <c r="G508" s="17"/>
    </row>
    <row r="509" customFormat="false" ht="15" hidden="false" customHeight="false" outlineLevel="0" collapsed="false">
      <c r="A509" s="17" t="s">
        <v>110</v>
      </c>
      <c r="B509" s="17" t="s">
        <v>52</v>
      </c>
      <c r="C509" s="17" t="n">
        <v>4.129</v>
      </c>
      <c r="D509" s="17" t="s">
        <v>65</v>
      </c>
      <c r="E509" s="17" t="n">
        <v>4.535</v>
      </c>
      <c r="F509" s="17" t="n">
        <v>0.406</v>
      </c>
      <c r="G509" s="17"/>
    </row>
    <row r="510" customFormat="false" ht="15" hidden="false" customHeight="false" outlineLevel="0" collapsed="false">
      <c r="A510" s="17" t="s">
        <v>110</v>
      </c>
      <c r="B510" s="17" t="s">
        <v>52</v>
      </c>
      <c r="C510" s="17" t="n">
        <v>4.129</v>
      </c>
      <c r="D510" s="17" t="s">
        <v>77</v>
      </c>
      <c r="E510" s="17" t="n">
        <v>3.96</v>
      </c>
      <c r="F510" s="17" t="n">
        <v>0.169</v>
      </c>
      <c r="G510" s="17"/>
    </row>
    <row r="511" customFormat="false" ht="15" hidden="false" customHeight="false" outlineLevel="0" collapsed="false">
      <c r="A511" s="17" t="s">
        <v>110</v>
      </c>
      <c r="B511" s="17" t="s">
        <v>54</v>
      </c>
      <c r="C511" s="17" t="n">
        <v>5.535</v>
      </c>
      <c r="D511" s="17" t="s">
        <v>79</v>
      </c>
      <c r="E511" s="17" t="n">
        <v>4.997</v>
      </c>
      <c r="F511" s="17" t="n">
        <v>0.538</v>
      </c>
      <c r="G511" s="17"/>
    </row>
    <row r="512" customFormat="false" ht="15" hidden="false" customHeight="false" outlineLevel="0" collapsed="false">
      <c r="A512" s="17" t="s">
        <v>110</v>
      </c>
      <c r="B512" s="17" t="s">
        <v>56</v>
      </c>
      <c r="C512" s="17" t="n">
        <v>4.062</v>
      </c>
      <c r="D512" s="17" t="s">
        <v>77</v>
      </c>
      <c r="E512" s="17" t="n">
        <v>3.96</v>
      </c>
      <c r="F512" s="17" t="n">
        <v>0.102</v>
      </c>
      <c r="G512" s="17"/>
    </row>
    <row r="513" customFormat="false" ht="15" hidden="false" customHeight="false" outlineLevel="0" collapsed="false">
      <c r="A513" s="17" t="s">
        <v>110</v>
      </c>
      <c r="B513" s="17" t="s">
        <v>59</v>
      </c>
      <c r="C513" s="17" t="n">
        <v>2.3</v>
      </c>
      <c r="D513" s="17" t="s">
        <v>61</v>
      </c>
      <c r="E513" s="17" t="n">
        <v>2.083</v>
      </c>
      <c r="F513" s="17" t="n">
        <v>0.217</v>
      </c>
      <c r="G513" s="17"/>
    </row>
    <row r="514" customFormat="false" ht="15" hidden="false" customHeight="false" outlineLevel="0" collapsed="false">
      <c r="A514" s="17" t="s">
        <v>110</v>
      </c>
      <c r="B514" s="17" t="s">
        <v>59</v>
      </c>
      <c r="C514" s="17" t="n">
        <v>2.3</v>
      </c>
      <c r="D514" s="17" t="s">
        <v>93</v>
      </c>
      <c r="E514" s="17" t="n">
        <v>2.086</v>
      </c>
      <c r="F514" s="17" t="n">
        <v>0.214</v>
      </c>
      <c r="G514" s="17"/>
    </row>
    <row r="515" customFormat="false" ht="15" hidden="false" customHeight="false" outlineLevel="0" collapsed="false">
      <c r="A515" s="17" t="s">
        <v>110</v>
      </c>
      <c r="B515" s="17" t="s">
        <v>61</v>
      </c>
      <c r="C515" s="17" t="n">
        <v>2.083</v>
      </c>
      <c r="D515" s="17" t="s">
        <v>93</v>
      </c>
      <c r="E515" s="17" t="n">
        <v>2.086</v>
      </c>
      <c r="F515" s="17" t="n">
        <v>0.003</v>
      </c>
      <c r="G515" s="17"/>
    </row>
    <row r="516" customFormat="false" ht="15" hidden="false" customHeight="false" outlineLevel="0" collapsed="false">
      <c r="A516" s="17" t="s">
        <v>110</v>
      </c>
      <c r="B516" s="17" t="s">
        <v>63</v>
      </c>
      <c r="C516" s="17" t="n">
        <v>8.48</v>
      </c>
      <c r="D516" s="17" t="s">
        <v>85</v>
      </c>
      <c r="E516" s="17" t="n">
        <v>7.763</v>
      </c>
      <c r="F516" s="17" t="n">
        <v>0.717</v>
      </c>
      <c r="G516" s="17"/>
    </row>
    <row r="517" customFormat="false" ht="15" hidden="false" customHeight="false" outlineLevel="0" collapsed="false">
      <c r="A517" s="17" t="s">
        <v>110</v>
      </c>
      <c r="B517" s="17" t="s">
        <v>65</v>
      </c>
      <c r="C517" s="17" t="n">
        <v>4.535</v>
      </c>
      <c r="D517" s="17" t="s">
        <v>79</v>
      </c>
      <c r="E517" s="17" t="n">
        <v>4.997</v>
      </c>
      <c r="F517" s="17" t="n">
        <v>0.462</v>
      </c>
      <c r="G517" s="17"/>
    </row>
    <row r="518" customFormat="false" ht="15" hidden="false" customHeight="false" outlineLevel="0" collapsed="false">
      <c r="A518" s="17" t="s">
        <v>110</v>
      </c>
      <c r="B518" s="17" t="s">
        <v>67</v>
      </c>
      <c r="C518" s="17" t="n">
        <v>2.747</v>
      </c>
      <c r="D518" s="17" t="s">
        <v>81</v>
      </c>
      <c r="E518" s="17" t="n">
        <v>2.573</v>
      </c>
      <c r="F518" s="17" t="n">
        <v>0.174</v>
      </c>
      <c r="G518" s="17"/>
    </row>
    <row r="519" customFormat="false" ht="15" hidden="false" customHeight="false" outlineLevel="0" collapsed="false">
      <c r="A519" s="17" t="s">
        <v>110</v>
      </c>
      <c r="B519" s="17" t="s">
        <v>67</v>
      </c>
      <c r="C519" s="17" t="n">
        <v>2.747</v>
      </c>
      <c r="D519" s="17" t="s">
        <v>95</v>
      </c>
      <c r="E519" s="17" t="n">
        <v>3.017</v>
      </c>
      <c r="F519" s="17" t="n">
        <v>0.27</v>
      </c>
      <c r="G519" s="17"/>
    </row>
    <row r="520" customFormat="false" ht="15" hidden="false" customHeight="false" outlineLevel="0" collapsed="false">
      <c r="A520" s="17" t="s">
        <v>110</v>
      </c>
      <c r="B520" s="17" t="s">
        <v>69</v>
      </c>
      <c r="C520" s="17" t="n">
        <v>3.489</v>
      </c>
      <c r="D520" s="17" t="s">
        <v>71</v>
      </c>
      <c r="E520" s="17" t="n">
        <v>3.383</v>
      </c>
      <c r="F520" s="17" t="n">
        <v>0.106</v>
      </c>
      <c r="G520" s="17"/>
    </row>
    <row r="521" customFormat="false" ht="15" hidden="false" customHeight="false" outlineLevel="0" collapsed="false">
      <c r="A521" s="17" t="s">
        <v>110</v>
      </c>
      <c r="B521" s="17" t="s">
        <v>69</v>
      </c>
      <c r="C521" s="17" t="n">
        <v>3.489</v>
      </c>
      <c r="D521" s="17" t="s">
        <v>73</v>
      </c>
      <c r="E521" s="17" t="n">
        <v>3.611</v>
      </c>
      <c r="F521" s="17" t="n">
        <v>0.122</v>
      </c>
      <c r="G521" s="17"/>
    </row>
    <row r="522" customFormat="false" ht="15" hidden="false" customHeight="false" outlineLevel="0" collapsed="false">
      <c r="A522" s="17" t="s">
        <v>110</v>
      </c>
      <c r="B522" s="17" t="s">
        <v>69</v>
      </c>
      <c r="C522" s="17" t="n">
        <v>3.489</v>
      </c>
      <c r="D522" s="17" t="s">
        <v>91</v>
      </c>
      <c r="E522" s="17" t="n">
        <v>3.271</v>
      </c>
      <c r="F522" s="17" t="n">
        <v>0.218</v>
      </c>
      <c r="G522" s="17"/>
    </row>
    <row r="523" customFormat="false" ht="15" hidden="false" customHeight="false" outlineLevel="0" collapsed="false">
      <c r="A523" s="17" t="s">
        <v>110</v>
      </c>
      <c r="B523" s="17" t="s">
        <v>71</v>
      </c>
      <c r="C523" s="17" t="n">
        <v>3.383</v>
      </c>
      <c r="D523" s="17" t="s">
        <v>73</v>
      </c>
      <c r="E523" s="17" t="n">
        <v>3.611</v>
      </c>
      <c r="F523" s="17" t="n">
        <v>0.228</v>
      </c>
      <c r="G523" s="17"/>
    </row>
    <row r="524" customFormat="false" ht="15" hidden="false" customHeight="false" outlineLevel="0" collapsed="false">
      <c r="A524" s="17" t="s">
        <v>110</v>
      </c>
      <c r="B524" s="17" t="s">
        <v>71</v>
      </c>
      <c r="C524" s="17" t="n">
        <v>3.383</v>
      </c>
      <c r="D524" s="17" t="s">
        <v>91</v>
      </c>
      <c r="E524" s="17" t="n">
        <v>3.271</v>
      </c>
      <c r="F524" s="17" t="n">
        <v>0.112</v>
      </c>
      <c r="G524" s="17"/>
    </row>
    <row r="525" customFormat="false" ht="15" hidden="false" customHeight="false" outlineLevel="0" collapsed="false">
      <c r="A525" s="17" t="s">
        <v>110</v>
      </c>
      <c r="B525" s="17" t="s">
        <v>73</v>
      </c>
      <c r="C525" s="17" t="n">
        <v>3.611</v>
      </c>
      <c r="D525" s="17" t="s">
        <v>77</v>
      </c>
      <c r="E525" s="17" t="n">
        <v>3.96</v>
      </c>
      <c r="F525" s="17" t="n">
        <v>0.349</v>
      </c>
      <c r="G525" s="17"/>
    </row>
    <row r="526" customFormat="false" ht="15" hidden="false" customHeight="false" outlineLevel="0" collapsed="false">
      <c r="A526" s="17" t="s">
        <v>110</v>
      </c>
      <c r="B526" s="17" t="s">
        <v>73</v>
      </c>
      <c r="C526" s="17" t="n">
        <v>3.611</v>
      </c>
      <c r="D526" s="17" t="s">
        <v>91</v>
      </c>
      <c r="E526" s="17" t="n">
        <v>3.271</v>
      </c>
      <c r="F526" s="17" t="n">
        <v>0.34</v>
      </c>
      <c r="G526" s="17"/>
    </row>
    <row r="527" customFormat="false" ht="15" hidden="false" customHeight="false" outlineLevel="0" collapsed="false">
      <c r="A527" s="17" t="s">
        <v>110</v>
      </c>
      <c r="B527" s="17" t="s">
        <v>75</v>
      </c>
      <c r="C527" s="17" t="n">
        <v>10.101</v>
      </c>
      <c r="D527" s="17" t="s">
        <v>83</v>
      </c>
      <c r="E527" s="17" t="n">
        <v>9.517</v>
      </c>
      <c r="F527" s="17" t="n">
        <v>0.584</v>
      </c>
      <c r="G527" s="17"/>
    </row>
    <row r="528" customFormat="false" ht="15" hidden="false" customHeight="false" outlineLevel="0" collapsed="false">
      <c r="A528" s="17" t="s">
        <v>110</v>
      </c>
      <c r="B528" s="17" t="s">
        <v>87</v>
      </c>
      <c r="C528" s="17" t="n">
        <v>6.645</v>
      </c>
      <c r="D528" s="17" t="s">
        <v>89</v>
      </c>
      <c r="E528" s="17" t="n">
        <v>6.332</v>
      </c>
      <c r="F528" s="17" t="n">
        <v>0.313</v>
      </c>
      <c r="G528" s="17"/>
    </row>
    <row r="529" customFormat="false" ht="15" hidden="false" customHeight="false" outlineLevel="0" collapsed="false">
      <c r="A529" s="17" t="s">
        <v>110</v>
      </c>
      <c r="B529" s="17" t="s">
        <v>91</v>
      </c>
      <c r="C529" s="17" t="n">
        <v>3.271</v>
      </c>
      <c r="D529" s="17" t="s">
        <v>95</v>
      </c>
      <c r="E529" s="17" t="n">
        <v>3.017</v>
      </c>
      <c r="F529" s="17" t="n">
        <v>0.254</v>
      </c>
      <c r="G529" s="17"/>
    </row>
    <row r="530" customFormat="false" ht="15" hidden="false" customHeight="false" outlineLevel="0" collapsed="false">
      <c r="A530" s="17" t="s">
        <v>111</v>
      </c>
      <c r="B530" s="17" t="s">
        <v>25</v>
      </c>
      <c r="C530" s="17" t="n">
        <v>119</v>
      </c>
      <c r="D530" s="17" t="s">
        <v>44</v>
      </c>
      <c r="E530" s="17" t="n">
        <v>110</v>
      </c>
      <c r="F530" s="17" t="n">
        <v>9</v>
      </c>
      <c r="G530" s="17"/>
    </row>
    <row r="531" customFormat="false" ht="15" hidden="false" customHeight="false" outlineLevel="0" collapsed="false">
      <c r="A531" s="17" t="s">
        <v>111</v>
      </c>
      <c r="B531" s="17" t="s">
        <v>25</v>
      </c>
      <c r="C531" s="17" t="n">
        <v>119</v>
      </c>
      <c r="D531" s="17" t="s">
        <v>87</v>
      </c>
      <c r="E531" s="17" t="n">
        <v>126</v>
      </c>
      <c r="F531" s="17" t="n">
        <v>7</v>
      </c>
      <c r="G531" s="17"/>
    </row>
    <row r="532" customFormat="false" ht="15" hidden="false" customHeight="false" outlineLevel="0" collapsed="false">
      <c r="A532" s="17" t="s">
        <v>111</v>
      </c>
      <c r="B532" s="17" t="s">
        <v>25</v>
      </c>
      <c r="C532" s="17" t="n">
        <v>119</v>
      </c>
      <c r="D532" s="17" t="s">
        <v>89</v>
      </c>
      <c r="E532" s="17" t="n">
        <v>131</v>
      </c>
      <c r="F532" s="17" t="n">
        <v>12</v>
      </c>
      <c r="G532" s="17"/>
    </row>
    <row r="533" customFormat="false" ht="15" hidden="false" customHeight="false" outlineLevel="0" collapsed="false">
      <c r="A533" s="17" t="s">
        <v>111</v>
      </c>
      <c r="B533" s="17" t="s">
        <v>25</v>
      </c>
      <c r="C533" s="17" t="n">
        <v>119</v>
      </c>
      <c r="D533" s="17" t="s">
        <v>95</v>
      </c>
      <c r="E533" s="17" t="n">
        <v>121</v>
      </c>
      <c r="F533" s="17" t="n">
        <v>2</v>
      </c>
      <c r="G533" s="17"/>
    </row>
    <row r="534" customFormat="false" ht="15" hidden="false" customHeight="false" outlineLevel="0" collapsed="false">
      <c r="A534" s="17" t="s">
        <v>111</v>
      </c>
      <c r="B534" s="17" t="s">
        <v>31</v>
      </c>
      <c r="C534" s="17" t="n">
        <v>77</v>
      </c>
      <c r="D534" s="17" t="s">
        <v>39</v>
      </c>
      <c r="E534" s="17" t="n">
        <v>73</v>
      </c>
      <c r="F534" s="17" t="n">
        <v>4</v>
      </c>
      <c r="G534" s="17"/>
    </row>
    <row r="535" customFormat="false" ht="15" hidden="false" customHeight="false" outlineLevel="0" collapsed="false">
      <c r="A535" s="17" t="s">
        <v>111</v>
      </c>
      <c r="B535" s="17" t="s">
        <v>31</v>
      </c>
      <c r="C535" s="17" t="n">
        <v>77</v>
      </c>
      <c r="D535" s="17" t="s">
        <v>42</v>
      </c>
      <c r="E535" s="17" t="n">
        <v>71</v>
      </c>
      <c r="F535" s="17" t="n">
        <v>6</v>
      </c>
      <c r="G535" s="17"/>
    </row>
    <row r="536" customFormat="false" ht="15" hidden="false" customHeight="false" outlineLevel="0" collapsed="false">
      <c r="A536" s="17" t="s">
        <v>111</v>
      </c>
      <c r="B536" s="17" t="s">
        <v>31</v>
      </c>
      <c r="C536" s="17" t="n">
        <v>77</v>
      </c>
      <c r="D536" s="17" t="s">
        <v>54</v>
      </c>
      <c r="E536" s="17" t="n">
        <v>73</v>
      </c>
      <c r="F536" s="17" t="n">
        <v>4</v>
      </c>
      <c r="G536" s="17"/>
    </row>
    <row r="537" customFormat="false" ht="15" hidden="false" customHeight="false" outlineLevel="0" collapsed="false">
      <c r="A537" s="17" t="s">
        <v>111</v>
      </c>
      <c r="B537" s="17" t="s">
        <v>31</v>
      </c>
      <c r="C537" s="17" t="n">
        <v>77</v>
      </c>
      <c r="D537" s="17" t="s">
        <v>59</v>
      </c>
      <c r="E537" s="17" t="n">
        <v>81</v>
      </c>
      <c r="F537" s="17" t="n">
        <v>4</v>
      </c>
      <c r="G537" s="17"/>
    </row>
    <row r="538" customFormat="false" ht="15" hidden="false" customHeight="false" outlineLevel="0" collapsed="false">
      <c r="A538" s="17" t="s">
        <v>111</v>
      </c>
      <c r="B538" s="17" t="s">
        <v>31</v>
      </c>
      <c r="C538" s="17" t="n">
        <v>77</v>
      </c>
      <c r="D538" s="17" t="s">
        <v>85</v>
      </c>
      <c r="E538" s="17" t="n">
        <v>74</v>
      </c>
      <c r="F538" s="17" t="n">
        <v>3</v>
      </c>
      <c r="G538" s="17"/>
    </row>
    <row r="539" customFormat="false" ht="15" hidden="false" customHeight="false" outlineLevel="0" collapsed="false">
      <c r="A539" s="17" t="s">
        <v>111</v>
      </c>
      <c r="B539" s="17" t="s">
        <v>31</v>
      </c>
      <c r="C539" s="17" t="n">
        <v>77</v>
      </c>
      <c r="D539" s="17" t="s">
        <v>93</v>
      </c>
      <c r="E539" s="17" t="n">
        <v>85</v>
      </c>
      <c r="F539" s="17" t="n">
        <v>8</v>
      </c>
      <c r="G539" s="17"/>
    </row>
    <row r="540" customFormat="false" ht="15" hidden="false" customHeight="false" outlineLevel="0" collapsed="false">
      <c r="A540" s="17" t="s">
        <v>111</v>
      </c>
      <c r="B540" s="17" t="s">
        <v>34</v>
      </c>
      <c r="C540" s="17" t="n">
        <v>58</v>
      </c>
      <c r="D540" s="17" t="s">
        <v>52</v>
      </c>
      <c r="E540" s="17" t="n">
        <v>53</v>
      </c>
      <c r="F540" s="17" t="n">
        <v>5</v>
      </c>
      <c r="G540" s="17"/>
    </row>
    <row r="541" customFormat="false" ht="15" hidden="false" customHeight="false" outlineLevel="0" collapsed="false">
      <c r="A541" s="17" t="s">
        <v>111</v>
      </c>
      <c r="B541" s="17" t="s">
        <v>34</v>
      </c>
      <c r="C541" s="17" t="n">
        <v>58</v>
      </c>
      <c r="D541" s="17" t="s">
        <v>67</v>
      </c>
      <c r="E541" s="17" t="n">
        <v>57</v>
      </c>
      <c r="F541" s="17" t="n">
        <v>1</v>
      </c>
      <c r="G541" s="17"/>
    </row>
    <row r="542" customFormat="false" ht="15" hidden="false" customHeight="false" outlineLevel="0" collapsed="false">
      <c r="A542" s="17" t="s">
        <v>111</v>
      </c>
      <c r="B542" s="17" t="s">
        <v>37</v>
      </c>
      <c r="C542" s="17" t="n">
        <v>88</v>
      </c>
      <c r="D542" s="17" t="s">
        <v>49</v>
      </c>
      <c r="E542" s="17" t="n">
        <v>97</v>
      </c>
      <c r="F542" s="17" t="n">
        <v>9</v>
      </c>
      <c r="G542" s="17"/>
    </row>
    <row r="543" customFormat="false" ht="15" hidden="false" customHeight="false" outlineLevel="0" collapsed="false">
      <c r="A543" s="17" t="s">
        <v>111</v>
      </c>
      <c r="B543" s="17" t="s">
        <v>37</v>
      </c>
      <c r="C543" s="17" t="n">
        <v>88</v>
      </c>
      <c r="D543" s="17" t="s">
        <v>59</v>
      </c>
      <c r="E543" s="17" t="n">
        <v>81</v>
      </c>
      <c r="F543" s="17" t="n">
        <v>7</v>
      </c>
      <c r="G543" s="17"/>
    </row>
    <row r="544" customFormat="false" ht="15" hidden="false" customHeight="false" outlineLevel="0" collapsed="false">
      <c r="A544" s="17" t="s">
        <v>111</v>
      </c>
      <c r="B544" s="17" t="s">
        <v>37</v>
      </c>
      <c r="C544" s="17" t="n">
        <v>88</v>
      </c>
      <c r="D544" s="17" t="s">
        <v>91</v>
      </c>
      <c r="E544" s="17" t="n">
        <v>95</v>
      </c>
      <c r="F544" s="17" t="n">
        <v>7</v>
      </c>
      <c r="G544" s="17"/>
    </row>
    <row r="545" customFormat="false" ht="15" hidden="false" customHeight="false" outlineLevel="0" collapsed="false">
      <c r="A545" s="17" t="s">
        <v>111</v>
      </c>
      <c r="B545" s="17" t="s">
        <v>37</v>
      </c>
      <c r="C545" s="17" t="n">
        <v>88</v>
      </c>
      <c r="D545" s="17" t="s">
        <v>93</v>
      </c>
      <c r="E545" s="17" t="n">
        <v>85</v>
      </c>
      <c r="F545" s="17" t="n">
        <v>3</v>
      </c>
      <c r="G545" s="17"/>
    </row>
    <row r="546" customFormat="false" ht="15" hidden="false" customHeight="false" outlineLevel="0" collapsed="false">
      <c r="A546" s="17" t="s">
        <v>111</v>
      </c>
      <c r="B546" s="17" t="s">
        <v>39</v>
      </c>
      <c r="C546" s="17" t="n">
        <v>73</v>
      </c>
      <c r="D546" s="17" t="s">
        <v>42</v>
      </c>
      <c r="E546" s="17" t="n">
        <v>71</v>
      </c>
      <c r="F546" s="17" t="n">
        <v>2</v>
      </c>
      <c r="G546" s="17"/>
    </row>
    <row r="547" customFormat="false" ht="15" hidden="false" customHeight="false" outlineLevel="0" collapsed="false">
      <c r="A547" s="17" t="s">
        <v>111</v>
      </c>
      <c r="B547" s="17" t="s">
        <v>39</v>
      </c>
      <c r="C547" s="17" t="n">
        <v>73</v>
      </c>
      <c r="D547" s="17" t="s">
        <v>54</v>
      </c>
      <c r="E547" s="17" t="n">
        <v>73</v>
      </c>
      <c r="F547" s="17" t="n">
        <v>0</v>
      </c>
      <c r="G547" s="17" t="s">
        <v>243</v>
      </c>
    </row>
    <row r="548" customFormat="false" ht="15" hidden="false" customHeight="false" outlineLevel="0" collapsed="false">
      <c r="A548" s="17" t="s">
        <v>111</v>
      </c>
      <c r="B548" s="17" t="s">
        <v>39</v>
      </c>
      <c r="C548" s="17" t="n">
        <v>73</v>
      </c>
      <c r="D548" s="17" t="s">
        <v>59</v>
      </c>
      <c r="E548" s="17" t="n">
        <v>81</v>
      </c>
      <c r="F548" s="17" t="n">
        <v>8</v>
      </c>
      <c r="G548" s="17"/>
    </row>
    <row r="549" customFormat="false" ht="15" hidden="false" customHeight="false" outlineLevel="0" collapsed="false">
      <c r="A549" s="17" t="s">
        <v>111</v>
      </c>
      <c r="B549" s="17" t="s">
        <v>39</v>
      </c>
      <c r="C549" s="17" t="n">
        <v>73</v>
      </c>
      <c r="D549" s="17" t="s">
        <v>85</v>
      </c>
      <c r="E549" s="17" t="n">
        <v>74</v>
      </c>
      <c r="F549" s="17" t="n">
        <v>1</v>
      </c>
      <c r="G549" s="17"/>
    </row>
    <row r="550" customFormat="false" ht="15" hidden="false" customHeight="false" outlineLevel="0" collapsed="false">
      <c r="A550" s="17" t="s">
        <v>111</v>
      </c>
      <c r="B550" s="17" t="s">
        <v>42</v>
      </c>
      <c r="C550" s="17" t="n">
        <v>71</v>
      </c>
      <c r="D550" s="17" t="s">
        <v>54</v>
      </c>
      <c r="E550" s="17" t="n">
        <v>73</v>
      </c>
      <c r="F550" s="17" t="n">
        <v>2</v>
      </c>
      <c r="G550" s="17"/>
    </row>
    <row r="551" customFormat="false" ht="15" hidden="false" customHeight="false" outlineLevel="0" collapsed="false">
      <c r="A551" s="17" t="s">
        <v>111</v>
      </c>
      <c r="B551" s="17" t="s">
        <v>42</v>
      </c>
      <c r="C551" s="17" t="n">
        <v>71</v>
      </c>
      <c r="D551" s="17" t="s">
        <v>85</v>
      </c>
      <c r="E551" s="17" t="n">
        <v>74</v>
      </c>
      <c r="F551" s="17" t="n">
        <v>3</v>
      </c>
      <c r="G551" s="17"/>
    </row>
    <row r="552" customFormat="false" ht="15" hidden="false" customHeight="false" outlineLevel="0" collapsed="false">
      <c r="A552" s="17" t="s">
        <v>111</v>
      </c>
      <c r="B552" s="17" t="s">
        <v>44</v>
      </c>
      <c r="C552" s="17" t="n">
        <v>110</v>
      </c>
      <c r="D552" s="17" t="s">
        <v>95</v>
      </c>
      <c r="E552" s="17" t="n">
        <v>121</v>
      </c>
      <c r="F552" s="17" t="n">
        <v>11</v>
      </c>
      <c r="G552" s="17"/>
    </row>
    <row r="553" customFormat="false" ht="15" hidden="false" customHeight="false" outlineLevel="0" collapsed="false">
      <c r="A553" s="17" t="s">
        <v>111</v>
      </c>
      <c r="B553" s="17" t="s">
        <v>49</v>
      </c>
      <c r="C553" s="17" t="n">
        <v>97</v>
      </c>
      <c r="D553" s="17" t="s">
        <v>91</v>
      </c>
      <c r="E553" s="17" t="n">
        <v>95</v>
      </c>
      <c r="F553" s="17" t="n">
        <v>2</v>
      </c>
      <c r="G553" s="17"/>
    </row>
    <row r="554" customFormat="false" ht="15" hidden="false" customHeight="false" outlineLevel="0" collapsed="false">
      <c r="A554" s="17" t="s">
        <v>111</v>
      </c>
      <c r="B554" s="17" t="s">
        <v>52</v>
      </c>
      <c r="C554" s="17" t="n">
        <v>53</v>
      </c>
      <c r="D554" s="17" t="s">
        <v>63</v>
      </c>
      <c r="E554" s="17" t="n">
        <v>51</v>
      </c>
      <c r="F554" s="17" t="n">
        <v>2</v>
      </c>
      <c r="G554" s="17"/>
    </row>
    <row r="555" customFormat="false" ht="15" hidden="false" customHeight="false" outlineLevel="0" collapsed="false">
      <c r="A555" s="17" t="s">
        <v>111</v>
      </c>
      <c r="B555" s="17" t="s">
        <v>52</v>
      </c>
      <c r="C555" s="17" t="n">
        <v>53</v>
      </c>
      <c r="D555" s="17" t="s">
        <v>67</v>
      </c>
      <c r="E555" s="17" t="n">
        <v>57</v>
      </c>
      <c r="F555" s="17" t="n">
        <v>4</v>
      </c>
      <c r="G555" s="17"/>
    </row>
    <row r="556" customFormat="false" ht="15" hidden="false" customHeight="false" outlineLevel="0" collapsed="false">
      <c r="A556" s="17" t="s">
        <v>111</v>
      </c>
      <c r="B556" s="17" t="s">
        <v>54</v>
      </c>
      <c r="C556" s="17" t="n">
        <v>73</v>
      </c>
      <c r="D556" s="17" t="s">
        <v>59</v>
      </c>
      <c r="E556" s="17" t="n">
        <v>81</v>
      </c>
      <c r="F556" s="17" t="n">
        <v>8</v>
      </c>
      <c r="G556" s="17"/>
    </row>
    <row r="557" customFormat="false" ht="15" hidden="false" customHeight="false" outlineLevel="0" collapsed="false">
      <c r="A557" s="17" t="s">
        <v>111</v>
      </c>
      <c r="B557" s="17" t="s">
        <v>54</v>
      </c>
      <c r="C557" s="17" t="n">
        <v>73</v>
      </c>
      <c r="D557" s="17" t="s">
        <v>85</v>
      </c>
      <c r="E557" s="17" t="n">
        <v>74</v>
      </c>
      <c r="F557" s="17" t="n">
        <v>1</v>
      </c>
      <c r="G557" s="17"/>
    </row>
    <row r="558" customFormat="false" ht="15" hidden="false" customHeight="false" outlineLevel="0" collapsed="false">
      <c r="A558" s="17" t="s">
        <v>111</v>
      </c>
      <c r="B558" s="17" t="s">
        <v>56</v>
      </c>
      <c r="C558" s="17" t="n">
        <v>160</v>
      </c>
      <c r="D558" s="17" t="s">
        <v>77</v>
      </c>
      <c r="E558" s="17" t="n">
        <v>165</v>
      </c>
      <c r="F558" s="17" t="n">
        <v>5</v>
      </c>
      <c r="G558" s="17"/>
    </row>
    <row r="559" customFormat="false" ht="15" hidden="false" customHeight="false" outlineLevel="0" collapsed="false">
      <c r="A559" s="17" t="s">
        <v>111</v>
      </c>
      <c r="B559" s="17" t="s">
        <v>56</v>
      </c>
      <c r="C559" s="17" t="n">
        <v>160</v>
      </c>
      <c r="D559" s="17" t="s">
        <v>83</v>
      </c>
      <c r="E559" s="17" t="n">
        <v>154</v>
      </c>
      <c r="F559" s="17" t="n">
        <v>6</v>
      </c>
      <c r="G559" s="17"/>
    </row>
    <row r="560" customFormat="false" ht="15" hidden="false" customHeight="false" outlineLevel="0" collapsed="false">
      <c r="A560" s="17" t="s">
        <v>111</v>
      </c>
      <c r="B560" s="17" t="s">
        <v>59</v>
      </c>
      <c r="C560" s="17" t="n">
        <v>81</v>
      </c>
      <c r="D560" s="17" t="s">
        <v>85</v>
      </c>
      <c r="E560" s="17" t="n">
        <v>74</v>
      </c>
      <c r="F560" s="17" t="n">
        <v>7</v>
      </c>
      <c r="G560" s="17"/>
    </row>
    <row r="561" customFormat="false" ht="15" hidden="false" customHeight="false" outlineLevel="0" collapsed="false">
      <c r="A561" s="17" t="s">
        <v>111</v>
      </c>
      <c r="B561" s="17" t="s">
        <v>59</v>
      </c>
      <c r="C561" s="17" t="n">
        <v>81</v>
      </c>
      <c r="D561" s="17" t="s">
        <v>93</v>
      </c>
      <c r="E561" s="17" t="n">
        <v>85</v>
      </c>
      <c r="F561" s="17" t="n">
        <v>4</v>
      </c>
      <c r="G561" s="17"/>
    </row>
    <row r="562" customFormat="false" ht="15" hidden="false" customHeight="false" outlineLevel="0" collapsed="false">
      <c r="A562" s="17" t="s">
        <v>111</v>
      </c>
      <c r="B562" s="17" t="s">
        <v>65</v>
      </c>
      <c r="C562" s="17" t="n">
        <v>191</v>
      </c>
      <c r="D562" s="17" t="s">
        <v>71</v>
      </c>
      <c r="E562" s="17" t="n">
        <v>198</v>
      </c>
      <c r="F562" s="17" t="n">
        <v>7</v>
      </c>
      <c r="G562" s="17"/>
    </row>
    <row r="563" customFormat="false" ht="15" hidden="false" customHeight="false" outlineLevel="0" collapsed="false">
      <c r="A563" s="17" t="s">
        <v>111</v>
      </c>
      <c r="B563" s="17" t="s">
        <v>65</v>
      </c>
      <c r="C563" s="17" t="n">
        <v>191</v>
      </c>
      <c r="D563" s="17" t="s">
        <v>75</v>
      </c>
      <c r="E563" s="17" t="n">
        <v>186</v>
      </c>
      <c r="F563" s="17" t="n">
        <v>5</v>
      </c>
      <c r="G563" s="17"/>
    </row>
    <row r="564" customFormat="false" ht="15" hidden="false" customHeight="false" outlineLevel="0" collapsed="false">
      <c r="A564" s="17" t="s">
        <v>111</v>
      </c>
      <c r="B564" s="17" t="s">
        <v>65</v>
      </c>
      <c r="C564" s="17" t="n">
        <v>191</v>
      </c>
      <c r="D564" s="17" t="s">
        <v>79</v>
      </c>
      <c r="E564" s="17" t="n">
        <v>181</v>
      </c>
      <c r="F564" s="17" t="n">
        <v>10</v>
      </c>
      <c r="G564" s="17"/>
    </row>
    <row r="565" customFormat="false" ht="15" hidden="false" customHeight="false" outlineLevel="0" collapsed="false">
      <c r="A565" s="17" t="s">
        <v>111</v>
      </c>
      <c r="B565" s="17" t="s">
        <v>71</v>
      </c>
      <c r="C565" s="17" t="n">
        <v>198</v>
      </c>
      <c r="D565" s="17" t="s">
        <v>75</v>
      </c>
      <c r="E565" s="17" t="n">
        <v>186</v>
      </c>
      <c r="F565" s="17" t="n">
        <v>12</v>
      </c>
      <c r="G565" s="17"/>
    </row>
    <row r="566" customFormat="false" ht="15" hidden="false" customHeight="false" outlineLevel="0" collapsed="false">
      <c r="A566" s="17" t="s">
        <v>111</v>
      </c>
      <c r="B566" s="17" t="s">
        <v>71</v>
      </c>
      <c r="C566" s="17" t="n">
        <v>198</v>
      </c>
      <c r="D566" s="17" t="s">
        <v>79</v>
      </c>
      <c r="E566" s="17" t="n">
        <v>181</v>
      </c>
      <c r="F566" s="17" t="n">
        <v>17</v>
      </c>
      <c r="G566" s="17"/>
    </row>
    <row r="567" customFormat="false" ht="15" hidden="false" customHeight="false" outlineLevel="0" collapsed="false">
      <c r="A567" s="17" t="s">
        <v>111</v>
      </c>
      <c r="B567" s="17" t="s">
        <v>71</v>
      </c>
      <c r="C567" s="17" t="n">
        <v>198</v>
      </c>
      <c r="D567" s="17" t="s">
        <v>81</v>
      </c>
      <c r="E567" s="17" t="n">
        <v>216</v>
      </c>
      <c r="F567" s="17" t="n">
        <v>18</v>
      </c>
      <c r="G567" s="17"/>
    </row>
    <row r="568" customFormat="false" ht="15" hidden="false" customHeight="false" outlineLevel="0" collapsed="false">
      <c r="A568" s="17" t="s">
        <v>111</v>
      </c>
      <c r="B568" s="17" t="s">
        <v>75</v>
      </c>
      <c r="C568" s="17" t="n">
        <v>186</v>
      </c>
      <c r="D568" s="17" t="s">
        <v>79</v>
      </c>
      <c r="E568" s="17" t="n">
        <v>181</v>
      </c>
      <c r="F568" s="17" t="n">
        <v>5</v>
      </c>
      <c r="G568" s="17"/>
    </row>
    <row r="569" customFormat="false" ht="15" hidden="false" customHeight="false" outlineLevel="0" collapsed="false">
      <c r="A569" s="17" t="s">
        <v>111</v>
      </c>
      <c r="B569" s="17" t="s">
        <v>77</v>
      </c>
      <c r="C569" s="17" t="n">
        <v>165</v>
      </c>
      <c r="D569" s="17" t="s">
        <v>79</v>
      </c>
      <c r="E569" s="17" t="n">
        <v>181</v>
      </c>
      <c r="F569" s="17" t="n">
        <v>16</v>
      </c>
      <c r="G569" s="17"/>
    </row>
    <row r="570" customFormat="false" ht="15" hidden="false" customHeight="false" outlineLevel="0" collapsed="false">
      <c r="A570" s="17" t="s">
        <v>111</v>
      </c>
      <c r="B570" s="17" t="s">
        <v>77</v>
      </c>
      <c r="C570" s="17" t="n">
        <v>165</v>
      </c>
      <c r="D570" s="17" t="s">
        <v>83</v>
      </c>
      <c r="E570" s="17" t="n">
        <v>154</v>
      </c>
      <c r="F570" s="17" t="n">
        <v>11</v>
      </c>
      <c r="G570" s="17"/>
    </row>
    <row r="571" customFormat="false" ht="15" hidden="false" customHeight="false" outlineLevel="0" collapsed="false">
      <c r="A571" s="17" t="s">
        <v>111</v>
      </c>
      <c r="B571" s="17" t="s">
        <v>87</v>
      </c>
      <c r="C571" s="17" t="n">
        <v>126</v>
      </c>
      <c r="D571" s="17" t="s">
        <v>89</v>
      </c>
      <c r="E571" s="17" t="n">
        <v>131</v>
      </c>
      <c r="F571" s="17" t="n">
        <v>5</v>
      </c>
      <c r="G571" s="17"/>
    </row>
    <row r="572" customFormat="false" ht="15" hidden="false" customHeight="false" outlineLevel="0" collapsed="false">
      <c r="A572" s="17" t="s">
        <v>111</v>
      </c>
      <c r="B572" s="17" t="s">
        <v>87</v>
      </c>
      <c r="C572" s="17" t="n">
        <v>126</v>
      </c>
      <c r="D572" s="17" t="s">
        <v>95</v>
      </c>
      <c r="E572" s="17" t="n">
        <v>121</v>
      </c>
      <c r="F572" s="17" t="n">
        <v>5</v>
      </c>
      <c r="G572" s="17"/>
    </row>
    <row r="573" customFormat="false" ht="15" hidden="false" customHeight="false" outlineLevel="0" collapsed="false">
      <c r="A573" s="17" t="s">
        <v>111</v>
      </c>
      <c r="B573" s="17" t="s">
        <v>89</v>
      </c>
      <c r="C573" s="17" t="n">
        <v>131</v>
      </c>
      <c r="D573" s="17" t="s">
        <v>95</v>
      </c>
      <c r="E573" s="17" t="n">
        <v>121</v>
      </c>
      <c r="F573" s="17" t="n">
        <v>10</v>
      </c>
      <c r="G573" s="17"/>
    </row>
    <row r="574" customFormat="false" ht="15" hidden="false" customHeight="false" outlineLevel="0" collapsed="false">
      <c r="A574" s="17" t="s">
        <v>112</v>
      </c>
      <c r="B574" s="17" t="s">
        <v>25</v>
      </c>
      <c r="C574" s="17" t="n">
        <v>355</v>
      </c>
      <c r="D574" s="17" t="s">
        <v>28</v>
      </c>
      <c r="E574" s="17" t="n">
        <v>353</v>
      </c>
      <c r="F574" s="17" t="n">
        <v>2</v>
      </c>
      <c r="G574" s="17"/>
    </row>
    <row r="575" customFormat="false" ht="15" hidden="false" customHeight="false" outlineLevel="0" collapsed="false">
      <c r="A575" s="17" t="s">
        <v>112</v>
      </c>
      <c r="B575" s="17" t="s">
        <v>25</v>
      </c>
      <c r="C575" s="17" t="n">
        <v>355</v>
      </c>
      <c r="D575" s="17" t="s">
        <v>63</v>
      </c>
      <c r="E575" s="17" t="n">
        <v>362</v>
      </c>
      <c r="F575" s="17" t="n">
        <v>7</v>
      </c>
      <c r="G575" s="17"/>
    </row>
    <row r="576" customFormat="false" ht="15" hidden="false" customHeight="false" outlineLevel="0" collapsed="false">
      <c r="A576" s="17" t="s">
        <v>112</v>
      </c>
      <c r="B576" s="17" t="s">
        <v>25</v>
      </c>
      <c r="C576" s="17" t="n">
        <v>355</v>
      </c>
      <c r="D576" s="17" t="s">
        <v>71</v>
      </c>
      <c r="E576" s="17" t="n">
        <v>347</v>
      </c>
      <c r="F576" s="17" t="n">
        <v>8</v>
      </c>
      <c r="G576" s="17"/>
    </row>
    <row r="577" customFormat="false" ht="15" hidden="false" customHeight="false" outlineLevel="0" collapsed="false">
      <c r="A577" s="17" t="s">
        <v>112</v>
      </c>
      <c r="B577" s="17" t="s">
        <v>25</v>
      </c>
      <c r="C577" s="17" t="n">
        <v>355</v>
      </c>
      <c r="D577" s="17" t="s">
        <v>95</v>
      </c>
      <c r="E577" s="17" t="n">
        <v>356</v>
      </c>
      <c r="F577" s="17" t="n">
        <v>1</v>
      </c>
      <c r="G577" s="17"/>
    </row>
    <row r="578" customFormat="false" ht="15" hidden="false" customHeight="false" outlineLevel="0" collapsed="false">
      <c r="A578" s="17" t="s">
        <v>112</v>
      </c>
      <c r="B578" s="17" t="s">
        <v>28</v>
      </c>
      <c r="C578" s="17" t="n">
        <v>353</v>
      </c>
      <c r="D578" s="17" t="s">
        <v>63</v>
      </c>
      <c r="E578" s="17" t="n">
        <v>362</v>
      </c>
      <c r="F578" s="17" t="n">
        <v>9</v>
      </c>
      <c r="G578" s="17"/>
    </row>
    <row r="579" customFormat="false" ht="15" hidden="false" customHeight="false" outlineLevel="0" collapsed="false">
      <c r="A579" s="17" t="s">
        <v>112</v>
      </c>
      <c r="B579" s="17" t="s">
        <v>28</v>
      </c>
      <c r="C579" s="17" t="n">
        <v>353</v>
      </c>
      <c r="D579" s="17" t="s">
        <v>71</v>
      </c>
      <c r="E579" s="17" t="n">
        <v>347</v>
      </c>
      <c r="F579" s="17" t="n">
        <v>6</v>
      </c>
      <c r="G579" s="17"/>
    </row>
    <row r="580" customFormat="false" ht="15" hidden="false" customHeight="false" outlineLevel="0" collapsed="false">
      <c r="A580" s="17" t="s">
        <v>112</v>
      </c>
      <c r="B580" s="17" t="s">
        <v>28</v>
      </c>
      <c r="C580" s="17" t="n">
        <v>353</v>
      </c>
      <c r="D580" s="17" t="s">
        <v>73</v>
      </c>
      <c r="E580" s="17" t="n">
        <v>344</v>
      </c>
      <c r="F580" s="17" t="n">
        <v>9</v>
      </c>
      <c r="G580" s="17"/>
    </row>
    <row r="581" customFormat="false" ht="15" hidden="false" customHeight="false" outlineLevel="0" collapsed="false">
      <c r="A581" s="17" t="s">
        <v>112</v>
      </c>
      <c r="B581" s="17" t="s">
        <v>28</v>
      </c>
      <c r="C581" s="17" t="n">
        <v>353</v>
      </c>
      <c r="D581" s="17" t="s">
        <v>95</v>
      </c>
      <c r="E581" s="17" t="n">
        <v>356</v>
      </c>
      <c r="F581" s="17" t="n">
        <v>3</v>
      </c>
      <c r="G581" s="17"/>
    </row>
    <row r="582" customFormat="false" ht="15" hidden="false" customHeight="false" outlineLevel="0" collapsed="false">
      <c r="A582" s="17" t="s">
        <v>112</v>
      </c>
      <c r="B582" s="17" t="s">
        <v>34</v>
      </c>
      <c r="C582" s="17" t="n">
        <v>481</v>
      </c>
      <c r="D582" s="17" t="s">
        <v>52</v>
      </c>
      <c r="E582" s="17" t="n">
        <v>481</v>
      </c>
      <c r="F582" s="17" t="n">
        <v>0</v>
      </c>
      <c r="G582" s="17" t="s">
        <v>243</v>
      </c>
    </row>
    <row r="583" customFormat="false" ht="15" hidden="false" customHeight="false" outlineLevel="0" collapsed="false">
      <c r="A583" s="17" t="s">
        <v>112</v>
      </c>
      <c r="B583" s="17" t="s">
        <v>34</v>
      </c>
      <c r="C583" s="17" t="n">
        <v>481</v>
      </c>
      <c r="D583" s="17" t="s">
        <v>61</v>
      </c>
      <c r="E583" s="17" t="n">
        <v>474</v>
      </c>
      <c r="F583" s="17" t="n">
        <v>7</v>
      </c>
      <c r="G583" s="17"/>
    </row>
    <row r="584" customFormat="false" ht="15" hidden="false" customHeight="false" outlineLevel="0" collapsed="false">
      <c r="A584" s="17" t="s">
        <v>112</v>
      </c>
      <c r="B584" s="17" t="s">
        <v>34</v>
      </c>
      <c r="C584" s="17" t="n">
        <v>481</v>
      </c>
      <c r="D584" s="17" t="s">
        <v>75</v>
      </c>
      <c r="E584" s="17" t="n">
        <v>490</v>
      </c>
      <c r="F584" s="17" t="n">
        <v>9</v>
      </c>
      <c r="G584" s="17"/>
    </row>
    <row r="585" customFormat="false" ht="15" hidden="false" customHeight="false" outlineLevel="0" collapsed="false">
      <c r="A585" s="17" t="s">
        <v>112</v>
      </c>
      <c r="B585" s="17" t="s">
        <v>34</v>
      </c>
      <c r="C585" s="17" t="n">
        <v>481</v>
      </c>
      <c r="D585" s="17" t="s">
        <v>89</v>
      </c>
      <c r="E585" s="17" t="n">
        <v>483</v>
      </c>
      <c r="F585" s="17" t="n">
        <v>2</v>
      </c>
      <c r="G585" s="17"/>
    </row>
    <row r="586" customFormat="false" ht="15" hidden="false" customHeight="false" outlineLevel="0" collapsed="false">
      <c r="A586" s="17" t="s">
        <v>112</v>
      </c>
      <c r="B586" s="17" t="s">
        <v>37</v>
      </c>
      <c r="C586" s="17" t="n">
        <v>311</v>
      </c>
      <c r="D586" s="17" t="s">
        <v>77</v>
      </c>
      <c r="E586" s="17" t="n">
        <v>306</v>
      </c>
      <c r="F586" s="17" t="n">
        <v>5</v>
      </c>
      <c r="G586" s="17"/>
    </row>
    <row r="587" customFormat="false" ht="15" hidden="false" customHeight="false" outlineLevel="0" collapsed="false">
      <c r="A587" s="17" t="s">
        <v>112</v>
      </c>
      <c r="B587" s="17" t="s">
        <v>39</v>
      </c>
      <c r="C587" s="17" t="n">
        <v>441</v>
      </c>
      <c r="D587" s="17" t="s">
        <v>87</v>
      </c>
      <c r="E587" s="17" t="n">
        <v>437</v>
      </c>
      <c r="F587" s="17" t="n">
        <v>4</v>
      </c>
      <c r="G587" s="17"/>
    </row>
    <row r="588" customFormat="false" ht="15" hidden="false" customHeight="false" outlineLevel="0" collapsed="false">
      <c r="A588" s="17" t="s">
        <v>112</v>
      </c>
      <c r="B588" s="17" t="s">
        <v>44</v>
      </c>
      <c r="C588" s="17" t="n">
        <v>279</v>
      </c>
      <c r="D588" s="17" t="s">
        <v>93</v>
      </c>
      <c r="E588" s="17" t="n">
        <v>284</v>
      </c>
      <c r="F588" s="17" t="n">
        <v>5</v>
      </c>
      <c r="G588" s="17"/>
    </row>
    <row r="589" customFormat="false" ht="15" hidden="false" customHeight="false" outlineLevel="0" collapsed="false">
      <c r="A589" s="17" t="s">
        <v>112</v>
      </c>
      <c r="B589" s="17" t="s">
        <v>46</v>
      </c>
      <c r="C589" s="17" t="n">
        <v>471</v>
      </c>
      <c r="D589" s="17" t="s">
        <v>59</v>
      </c>
      <c r="E589" s="17" t="n">
        <v>466</v>
      </c>
      <c r="F589" s="17" t="n">
        <v>5</v>
      </c>
      <c r="G589" s="17"/>
    </row>
    <row r="590" customFormat="false" ht="15" hidden="false" customHeight="false" outlineLevel="0" collapsed="false">
      <c r="A590" s="17" t="s">
        <v>112</v>
      </c>
      <c r="B590" s="17" t="s">
        <v>46</v>
      </c>
      <c r="C590" s="17" t="n">
        <v>471</v>
      </c>
      <c r="D590" s="17" t="s">
        <v>61</v>
      </c>
      <c r="E590" s="17" t="n">
        <v>474</v>
      </c>
      <c r="F590" s="17" t="n">
        <v>3</v>
      </c>
      <c r="G590" s="17"/>
    </row>
    <row r="591" customFormat="false" ht="15" hidden="false" customHeight="false" outlineLevel="0" collapsed="false">
      <c r="A591" s="17" t="s">
        <v>112</v>
      </c>
      <c r="B591" s="17" t="s">
        <v>49</v>
      </c>
      <c r="C591" s="17" t="n">
        <v>401</v>
      </c>
      <c r="D591" s="17" t="s">
        <v>56</v>
      </c>
      <c r="E591" s="17" t="n">
        <v>404</v>
      </c>
      <c r="F591" s="17" t="n">
        <v>3</v>
      </c>
      <c r="G591" s="17"/>
    </row>
    <row r="592" customFormat="false" ht="15" hidden="false" customHeight="false" outlineLevel="0" collapsed="false">
      <c r="A592" s="17" t="s">
        <v>112</v>
      </c>
      <c r="B592" s="17" t="s">
        <v>49</v>
      </c>
      <c r="C592" s="17" t="n">
        <v>401</v>
      </c>
      <c r="D592" s="17" t="s">
        <v>85</v>
      </c>
      <c r="E592" s="17" t="n">
        <v>397</v>
      </c>
      <c r="F592" s="17" t="n">
        <v>4</v>
      </c>
      <c r="G592" s="17"/>
    </row>
    <row r="593" customFormat="false" ht="15" hidden="false" customHeight="false" outlineLevel="0" collapsed="false">
      <c r="A593" s="17" t="s">
        <v>112</v>
      </c>
      <c r="B593" s="17" t="s">
        <v>52</v>
      </c>
      <c r="C593" s="17" t="n">
        <v>481</v>
      </c>
      <c r="D593" s="17" t="s">
        <v>61</v>
      </c>
      <c r="E593" s="17" t="n">
        <v>474</v>
      </c>
      <c r="F593" s="17" t="n">
        <v>7</v>
      </c>
      <c r="G593" s="17"/>
    </row>
    <row r="594" customFormat="false" ht="15" hidden="false" customHeight="false" outlineLevel="0" collapsed="false">
      <c r="A594" s="17" t="s">
        <v>112</v>
      </c>
      <c r="B594" s="17" t="s">
        <v>52</v>
      </c>
      <c r="C594" s="17" t="n">
        <v>481</v>
      </c>
      <c r="D594" s="17" t="s">
        <v>75</v>
      </c>
      <c r="E594" s="17" t="n">
        <v>490</v>
      </c>
      <c r="F594" s="17" t="n">
        <v>9</v>
      </c>
      <c r="G594" s="17"/>
    </row>
    <row r="595" customFormat="false" ht="15" hidden="false" customHeight="false" outlineLevel="0" collapsed="false">
      <c r="A595" s="17" t="s">
        <v>112</v>
      </c>
      <c r="B595" s="17" t="s">
        <v>52</v>
      </c>
      <c r="C595" s="17" t="n">
        <v>481</v>
      </c>
      <c r="D595" s="17" t="s">
        <v>89</v>
      </c>
      <c r="E595" s="17" t="n">
        <v>483</v>
      </c>
      <c r="F595" s="17" t="n">
        <v>2</v>
      </c>
      <c r="G595" s="17"/>
    </row>
    <row r="596" customFormat="false" ht="15" hidden="false" customHeight="false" outlineLevel="0" collapsed="false">
      <c r="A596" s="17" t="s">
        <v>112</v>
      </c>
      <c r="B596" s="17" t="s">
        <v>54</v>
      </c>
      <c r="C596" s="17" t="n">
        <v>391</v>
      </c>
      <c r="D596" s="17" t="s">
        <v>85</v>
      </c>
      <c r="E596" s="17" t="n">
        <v>397</v>
      </c>
      <c r="F596" s="17" t="n">
        <v>6</v>
      </c>
      <c r="G596" s="17"/>
    </row>
    <row r="597" customFormat="false" ht="15" hidden="false" customHeight="false" outlineLevel="0" collapsed="false">
      <c r="A597" s="17" t="s">
        <v>112</v>
      </c>
      <c r="B597" s="17" t="s">
        <v>56</v>
      </c>
      <c r="C597" s="17" t="n">
        <v>404</v>
      </c>
      <c r="D597" s="17" t="s">
        <v>85</v>
      </c>
      <c r="E597" s="17" t="n">
        <v>397</v>
      </c>
      <c r="F597" s="17" t="n">
        <v>7</v>
      </c>
      <c r="G597" s="17"/>
    </row>
    <row r="598" customFormat="false" ht="15" hidden="false" customHeight="false" outlineLevel="0" collapsed="false">
      <c r="A598" s="17" t="s">
        <v>112</v>
      </c>
      <c r="B598" s="17" t="s">
        <v>59</v>
      </c>
      <c r="C598" s="17" t="n">
        <v>466</v>
      </c>
      <c r="D598" s="17" t="s">
        <v>61</v>
      </c>
      <c r="E598" s="17" t="n">
        <v>474</v>
      </c>
      <c r="F598" s="17" t="n">
        <v>8</v>
      </c>
      <c r="G598" s="17"/>
    </row>
    <row r="599" customFormat="false" ht="15" hidden="false" customHeight="false" outlineLevel="0" collapsed="false">
      <c r="A599" s="17" t="s">
        <v>112</v>
      </c>
      <c r="B599" s="17" t="s">
        <v>61</v>
      </c>
      <c r="C599" s="17" t="n">
        <v>474</v>
      </c>
      <c r="D599" s="17" t="s">
        <v>89</v>
      </c>
      <c r="E599" s="17" t="n">
        <v>483</v>
      </c>
      <c r="F599" s="17" t="n">
        <v>9</v>
      </c>
      <c r="G599" s="17"/>
    </row>
    <row r="600" customFormat="false" ht="15" hidden="false" customHeight="false" outlineLevel="0" collapsed="false">
      <c r="A600" s="17" t="s">
        <v>112</v>
      </c>
      <c r="B600" s="17" t="s">
        <v>63</v>
      </c>
      <c r="C600" s="17" t="n">
        <v>362</v>
      </c>
      <c r="D600" s="17" t="s">
        <v>67</v>
      </c>
      <c r="E600" s="17" t="n">
        <v>368</v>
      </c>
      <c r="F600" s="17" t="n">
        <v>6</v>
      </c>
      <c r="G600" s="17"/>
    </row>
    <row r="601" customFormat="false" ht="15" hidden="false" customHeight="false" outlineLevel="0" collapsed="false">
      <c r="A601" s="17" t="s">
        <v>112</v>
      </c>
      <c r="B601" s="17" t="s">
        <v>63</v>
      </c>
      <c r="C601" s="17" t="n">
        <v>362</v>
      </c>
      <c r="D601" s="17" t="s">
        <v>95</v>
      </c>
      <c r="E601" s="17" t="n">
        <v>356</v>
      </c>
      <c r="F601" s="17" t="n">
        <v>6</v>
      </c>
      <c r="G601" s="17"/>
    </row>
    <row r="602" customFormat="false" ht="15" hidden="false" customHeight="false" outlineLevel="0" collapsed="false">
      <c r="A602" s="17" t="s">
        <v>112</v>
      </c>
      <c r="B602" s="17" t="s">
        <v>71</v>
      </c>
      <c r="C602" s="17" t="n">
        <v>347</v>
      </c>
      <c r="D602" s="17" t="s">
        <v>73</v>
      </c>
      <c r="E602" s="17" t="n">
        <v>344</v>
      </c>
      <c r="F602" s="17" t="n">
        <v>3</v>
      </c>
      <c r="G602" s="17"/>
    </row>
    <row r="603" customFormat="false" ht="15" hidden="false" customHeight="false" outlineLevel="0" collapsed="false">
      <c r="A603" s="17" t="s">
        <v>112</v>
      </c>
      <c r="B603" s="17" t="s">
        <v>71</v>
      </c>
      <c r="C603" s="17" t="n">
        <v>347</v>
      </c>
      <c r="D603" s="17" t="s">
        <v>95</v>
      </c>
      <c r="E603" s="17" t="n">
        <v>356</v>
      </c>
      <c r="F603" s="17" t="n">
        <v>9</v>
      </c>
      <c r="G603" s="17"/>
    </row>
    <row r="604" customFormat="false" ht="15" hidden="false" customHeight="false" outlineLevel="0" collapsed="false">
      <c r="A604" s="17" t="s">
        <v>112</v>
      </c>
      <c r="B604" s="17" t="s">
        <v>75</v>
      </c>
      <c r="C604" s="17" t="n">
        <v>490</v>
      </c>
      <c r="D604" s="17" t="s">
        <v>89</v>
      </c>
      <c r="E604" s="17" t="n">
        <v>483</v>
      </c>
      <c r="F604" s="17" t="n">
        <v>7</v>
      </c>
      <c r="G604" s="17"/>
    </row>
    <row r="605" customFormat="false" ht="15" hidden="false" customHeight="false" outlineLevel="0" collapsed="false">
      <c r="A605" s="17" t="s">
        <v>112</v>
      </c>
      <c r="B605" s="17" t="s">
        <v>77</v>
      </c>
      <c r="C605" s="17" t="n">
        <v>306</v>
      </c>
      <c r="D605" s="17" t="s">
        <v>81</v>
      </c>
      <c r="E605" s="17" t="n">
        <v>300</v>
      </c>
      <c r="F605" s="17" t="n">
        <v>6</v>
      </c>
      <c r="G605" s="17"/>
    </row>
    <row r="606" customFormat="false" ht="15" hidden="false" customHeight="false" outlineLevel="0" collapsed="false">
      <c r="A606" s="17" t="s">
        <v>112</v>
      </c>
      <c r="B606" s="17" t="s">
        <v>79</v>
      </c>
      <c r="C606" s="17" t="n">
        <v>381</v>
      </c>
      <c r="D606" s="17" t="s">
        <v>83</v>
      </c>
      <c r="E606" s="17" t="n">
        <v>379</v>
      </c>
      <c r="F606" s="17" t="n">
        <v>2</v>
      </c>
      <c r="G606" s="17"/>
    </row>
    <row r="607" customFormat="false" ht="15" hidden="false" customHeight="false" outlineLevel="0" collapsed="false">
      <c r="A607" s="17" t="s">
        <v>112</v>
      </c>
      <c r="B607" s="17" t="s">
        <v>79</v>
      </c>
      <c r="C607" s="17" t="n">
        <v>381</v>
      </c>
      <c r="D607" s="17" t="s">
        <v>91</v>
      </c>
      <c r="E607" s="17" t="n">
        <v>380</v>
      </c>
      <c r="F607" s="17" t="n">
        <v>1</v>
      </c>
      <c r="G607" s="17"/>
    </row>
    <row r="608" customFormat="false" ht="15" hidden="false" customHeight="false" outlineLevel="0" collapsed="false">
      <c r="A608" s="17" t="s">
        <v>112</v>
      </c>
      <c r="B608" s="17" t="s">
        <v>83</v>
      </c>
      <c r="C608" s="17" t="n">
        <v>379</v>
      </c>
      <c r="D608" s="17" t="s">
        <v>91</v>
      </c>
      <c r="E608" s="17" t="n">
        <v>380</v>
      </c>
      <c r="F608" s="17" t="n">
        <v>1</v>
      </c>
      <c r="G608" s="17"/>
    </row>
    <row r="609" customFormat="false" ht="15" hidden="false" customHeight="false" outlineLevel="0" collapsed="false">
      <c r="A609" s="17" t="s">
        <v>113</v>
      </c>
      <c r="B609" s="17" t="s">
        <v>25</v>
      </c>
      <c r="C609" s="17" t="n">
        <v>1933</v>
      </c>
      <c r="D609" s="17" t="s">
        <v>85</v>
      </c>
      <c r="E609" s="17" t="n">
        <v>1933</v>
      </c>
      <c r="F609" s="17" t="n">
        <v>0</v>
      </c>
      <c r="G609" s="17" t="s">
        <v>243</v>
      </c>
    </row>
    <row r="610" customFormat="false" ht="15" hidden="false" customHeight="false" outlineLevel="0" collapsed="false">
      <c r="A610" s="17" t="s">
        <v>113</v>
      </c>
      <c r="B610" s="17" t="s">
        <v>28</v>
      </c>
      <c r="C610" s="17" t="n">
        <v>2002</v>
      </c>
      <c r="D610" s="17" t="s">
        <v>31</v>
      </c>
      <c r="E610" s="17" t="n">
        <v>2004</v>
      </c>
      <c r="F610" s="17" t="n">
        <v>2</v>
      </c>
      <c r="G610" s="17"/>
    </row>
    <row r="611" customFormat="false" ht="15" hidden="false" customHeight="false" outlineLevel="0" collapsed="false">
      <c r="A611" s="17" t="s">
        <v>113</v>
      </c>
      <c r="B611" s="17" t="s">
        <v>28</v>
      </c>
      <c r="C611" s="17" t="n">
        <v>2002</v>
      </c>
      <c r="D611" s="17" t="s">
        <v>81</v>
      </c>
      <c r="E611" s="17" t="n">
        <v>2000</v>
      </c>
      <c r="F611" s="17" t="n">
        <v>2</v>
      </c>
      <c r="G611" s="17"/>
    </row>
    <row r="612" customFormat="false" ht="15" hidden="false" customHeight="false" outlineLevel="0" collapsed="false">
      <c r="A612" s="17" t="s">
        <v>113</v>
      </c>
      <c r="B612" s="17" t="s">
        <v>31</v>
      </c>
      <c r="C612" s="17" t="n">
        <v>2004</v>
      </c>
      <c r="D612" s="17" t="s">
        <v>73</v>
      </c>
      <c r="E612" s="17" t="n">
        <v>2005</v>
      </c>
      <c r="F612" s="17" t="n">
        <v>1</v>
      </c>
      <c r="G612" s="17"/>
    </row>
    <row r="613" customFormat="false" ht="15" hidden="false" customHeight="false" outlineLevel="0" collapsed="false">
      <c r="A613" s="17" t="s">
        <v>113</v>
      </c>
      <c r="B613" s="17" t="s">
        <v>34</v>
      </c>
      <c r="C613" s="17" t="n">
        <v>2014</v>
      </c>
      <c r="D613" s="17" t="s">
        <v>44</v>
      </c>
      <c r="E613" s="17" t="n">
        <v>2012</v>
      </c>
      <c r="F613" s="17" t="n">
        <v>2</v>
      </c>
      <c r="G613" s="17"/>
    </row>
    <row r="614" customFormat="false" ht="15" hidden="false" customHeight="false" outlineLevel="0" collapsed="false">
      <c r="A614" s="17" t="s">
        <v>113</v>
      </c>
      <c r="B614" s="17" t="s">
        <v>34</v>
      </c>
      <c r="C614" s="17" t="n">
        <v>2014</v>
      </c>
      <c r="D614" s="17" t="s">
        <v>61</v>
      </c>
      <c r="E614" s="17" t="n">
        <v>2012</v>
      </c>
      <c r="F614" s="17" t="n">
        <v>2</v>
      </c>
      <c r="G614" s="17"/>
    </row>
    <row r="615" customFormat="false" ht="15" hidden="false" customHeight="false" outlineLevel="0" collapsed="false">
      <c r="A615" s="17" t="s">
        <v>113</v>
      </c>
      <c r="B615" s="17" t="s">
        <v>44</v>
      </c>
      <c r="C615" s="17" t="n">
        <v>2012</v>
      </c>
      <c r="D615" s="17" t="s">
        <v>61</v>
      </c>
      <c r="E615" s="17" t="n">
        <v>2012</v>
      </c>
      <c r="F615" s="17" t="n">
        <v>0</v>
      </c>
      <c r="G615" s="17" t="s">
        <v>243</v>
      </c>
    </row>
    <row r="616" customFormat="false" ht="15" hidden="false" customHeight="false" outlineLevel="0" collapsed="false">
      <c r="A616" s="17" t="s">
        <v>113</v>
      </c>
      <c r="B616" s="17" t="s">
        <v>44</v>
      </c>
      <c r="C616" s="17" t="n">
        <v>2012</v>
      </c>
      <c r="D616" s="17" t="s">
        <v>69</v>
      </c>
      <c r="E616" s="17" t="n">
        <v>2010</v>
      </c>
      <c r="F616" s="17" t="n">
        <v>2</v>
      </c>
      <c r="G616" s="17"/>
    </row>
    <row r="617" customFormat="false" ht="15" hidden="false" customHeight="false" outlineLevel="0" collapsed="false">
      <c r="A617" s="17" t="s">
        <v>113</v>
      </c>
      <c r="B617" s="17" t="s">
        <v>49</v>
      </c>
      <c r="C617" s="17" t="n">
        <v>2022</v>
      </c>
      <c r="D617" s="17" t="s">
        <v>95</v>
      </c>
      <c r="E617" s="17" t="n">
        <v>2023</v>
      </c>
      <c r="F617" s="17" t="n">
        <v>1</v>
      </c>
      <c r="G617" s="17"/>
    </row>
    <row r="618" customFormat="false" ht="15" hidden="false" customHeight="false" outlineLevel="0" collapsed="false">
      <c r="A618" s="17" t="s">
        <v>113</v>
      </c>
      <c r="B618" s="17" t="s">
        <v>54</v>
      </c>
      <c r="C618" s="17" t="n">
        <v>1923</v>
      </c>
      <c r="D618" s="17" t="s">
        <v>79</v>
      </c>
      <c r="E618" s="17" t="n">
        <v>1925</v>
      </c>
      <c r="F618" s="17" t="n">
        <v>2</v>
      </c>
      <c r="G618" s="17"/>
    </row>
    <row r="619" customFormat="false" ht="15" hidden="false" customHeight="false" outlineLevel="0" collapsed="false">
      <c r="A619" s="17" t="s">
        <v>113</v>
      </c>
      <c r="B619" s="17" t="s">
        <v>56</v>
      </c>
      <c r="C619" s="17" t="n">
        <v>1999</v>
      </c>
      <c r="D619" s="17" t="s">
        <v>81</v>
      </c>
      <c r="E619" s="17" t="n">
        <v>2000</v>
      </c>
      <c r="F619" s="17" t="n">
        <v>1</v>
      </c>
      <c r="G619" s="17"/>
    </row>
    <row r="620" customFormat="false" ht="15" hidden="false" customHeight="false" outlineLevel="0" collapsed="false">
      <c r="A620" s="17" t="s">
        <v>113</v>
      </c>
      <c r="B620" s="17" t="s">
        <v>59</v>
      </c>
      <c r="C620" s="17" t="n">
        <v>1972</v>
      </c>
      <c r="D620" s="17" t="s">
        <v>65</v>
      </c>
      <c r="E620" s="17" t="n">
        <v>1972</v>
      </c>
      <c r="F620" s="17" t="n">
        <v>0</v>
      </c>
      <c r="G620" s="17" t="s">
        <v>243</v>
      </c>
    </row>
    <row r="621" customFormat="false" ht="15" hidden="false" customHeight="false" outlineLevel="0" collapsed="false">
      <c r="A621" s="17" t="s">
        <v>113</v>
      </c>
      <c r="B621" s="17" t="s">
        <v>61</v>
      </c>
      <c r="C621" s="17" t="n">
        <v>2012</v>
      </c>
      <c r="D621" s="17" t="s">
        <v>69</v>
      </c>
      <c r="E621" s="17" t="n">
        <v>2010</v>
      </c>
      <c r="F621" s="17" t="n">
        <v>2</v>
      </c>
      <c r="G621" s="17"/>
    </row>
    <row r="622" customFormat="false" ht="15" hidden="false" customHeight="false" outlineLevel="0" collapsed="false">
      <c r="A622" s="17" t="s">
        <v>113</v>
      </c>
      <c r="B622" s="17" t="s">
        <v>63</v>
      </c>
      <c r="C622" s="17" t="n">
        <v>1960</v>
      </c>
      <c r="D622" s="17" t="s">
        <v>93</v>
      </c>
      <c r="E622" s="17" t="n">
        <v>1960</v>
      </c>
      <c r="F622" s="17" t="n">
        <v>0</v>
      </c>
      <c r="G622" s="17" t="s">
        <v>243</v>
      </c>
    </row>
    <row r="623" customFormat="false" ht="15" hidden="false" customHeight="false" outlineLevel="0" collapsed="false">
      <c r="A623" s="17" t="s">
        <v>113</v>
      </c>
      <c r="B623" s="17" t="s">
        <v>67</v>
      </c>
      <c r="C623" s="17" t="n">
        <v>1984</v>
      </c>
      <c r="D623" s="17" t="s">
        <v>77</v>
      </c>
      <c r="E623" s="17" t="n">
        <v>1985</v>
      </c>
      <c r="F623" s="17" t="n">
        <v>1</v>
      </c>
      <c r="G623" s="17"/>
    </row>
    <row r="624" customFormat="false" ht="15" hidden="false" customHeight="false" outlineLevel="0" collapsed="false">
      <c r="A624" s="17" t="s">
        <v>113</v>
      </c>
      <c r="B624" s="17" t="s">
        <v>69</v>
      </c>
      <c r="C624" s="17" t="n">
        <v>2010</v>
      </c>
      <c r="D624" s="17" t="s">
        <v>71</v>
      </c>
      <c r="E624" s="17" t="n">
        <v>2008</v>
      </c>
      <c r="F624" s="17" t="n">
        <v>2</v>
      </c>
      <c r="G624" s="17"/>
    </row>
    <row r="625" customFormat="false" ht="15" hidden="false" customHeight="false" outlineLevel="0" collapsed="false">
      <c r="A625" s="17" t="s">
        <v>113</v>
      </c>
      <c r="B625" s="17" t="s">
        <v>75</v>
      </c>
      <c r="C625" s="17" t="n">
        <v>1994</v>
      </c>
      <c r="D625" s="17" t="s">
        <v>83</v>
      </c>
      <c r="E625" s="17" t="n">
        <v>1994</v>
      </c>
      <c r="F625" s="17" t="n">
        <v>0</v>
      </c>
      <c r="G625" s="17" t="s">
        <v>243</v>
      </c>
    </row>
    <row r="626" customFormat="false" ht="15" hidden="false" customHeight="false" outlineLevel="0" collapsed="false">
      <c r="A626" s="17" t="s">
        <v>113</v>
      </c>
      <c r="B626" s="17" t="s">
        <v>75</v>
      </c>
      <c r="C626" s="17" t="n">
        <v>1994</v>
      </c>
      <c r="D626" s="17" t="s">
        <v>91</v>
      </c>
      <c r="E626" s="17" t="n">
        <v>1995</v>
      </c>
      <c r="F626" s="17" t="n">
        <v>1</v>
      </c>
      <c r="G626" s="17"/>
    </row>
    <row r="627" customFormat="false" ht="15" hidden="false" customHeight="false" outlineLevel="0" collapsed="false">
      <c r="A627" s="17" t="s">
        <v>113</v>
      </c>
      <c r="B627" s="17" t="s">
        <v>83</v>
      </c>
      <c r="C627" s="17" t="n">
        <v>1994</v>
      </c>
      <c r="D627" s="17" t="s">
        <v>91</v>
      </c>
      <c r="E627" s="17" t="n">
        <v>1995</v>
      </c>
      <c r="F627" s="17" t="n">
        <v>1</v>
      </c>
      <c r="G627" s="17"/>
    </row>
    <row r="628" customFormat="false" ht="15" hidden="false" customHeight="false" outlineLevel="0" collapsed="false">
      <c r="A628" s="17" t="s">
        <v>114</v>
      </c>
      <c r="B628" s="17" t="s">
        <v>25</v>
      </c>
      <c r="C628" s="17" t="n">
        <v>3</v>
      </c>
      <c r="D628" s="17" t="s">
        <v>81</v>
      </c>
      <c r="E628" s="17" t="n">
        <v>2</v>
      </c>
      <c r="F628" s="17" t="n">
        <v>1</v>
      </c>
      <c r="G628" s="17"/>
    </row>
    <row r="629" customFormat="false" ht="15" hidden="false" customHeight="false" outlineLevel="0" collapsed="false">
      <c r="A629" s="17" t="s">
        <v>114</v>
      </c>
      <c r="B629" s="17" t="s">
        <v>25</v>
      </c>
      <c r="C629" s="17" t="n">
        <v>3</v>
      </c>
      <c r="D629" s="17" t="s">
        <v>93</v>
      </c>
      <c r="E629" s="17" t="n">
        <v>4</v>
      </c>
      <c r="F629" s="17" t="n">
        <v>1</v>
      </c>
      <c r="G629" s="17"/>
    </row>
    <row r="630" customFormat="false" ht="15" hidden="false" customHeight="false" outlineLevel="0" collapsed="false">
      <c r="A630" s="17" t="s">
        <v>114</v>
      </c>
      <c r="B630" s="17" t="s">
        <v>31</v>
      </c>
      <c r="C630" s="17" t="n">
        <v>14</v>
      </c>
      <c r="D630" s="17" t="s">
        <v>69</v>
      </c>
      <c r="E630" s="17" t="n">
        <v>13</v>
      </c>
      <c r="F630" s="17" t="n">
        <v>1</v>
      </c>
      <c r="G630" s="17"/>
    </row>
    <row r="631" customFormat="false" ht="15" hidden="false" customHeight="false" outlineLevel="0" collapsed="false">
      <c r="A631" s="17" t="s">
        <v>114</v>
      </c>
      <c r="B631" s="17" t="s">
        <v>31</v>
      </c>
      <c r="C631" s="17" t="n">
        <v>14</v>
      </c>
      <c r="D631" s="17" t="s">
        <v>91</v>
      </c>
      <c r="E631" s="17" t="n">
        <v>15</v>
      </c>
      <c r="F631" s="17" t="n">
        <v>1</v>
      </c>
      <c r="G631" s="17"/>
    </row>
    <row r="632" customFormat="false" ht="15" hidden="false" customHeight="false" outlineLevel="0" collapsed="false">
      <c r="A632" s="17" t="s">
        <v>114</v>
      </c>
      <c r="B632" s="17" t="s">
        <v>37</v>
      </c>
      <c r="C632" s="17" t="n">
        <v>19</v>
      </c>
      <c r="D632" s="17" t="s">
        <v>73</v>
      </c>
      <c r="E632" s="17" t="n">
        <v>18</v>
      </c>
      <c r="F632" s="17" t="n">
        <v>1</v>
      </c>
      <c r="G632" s="17"/>
    </row>
    <row r="633" customFormat="false" ht="15" hidden="false" customHeight="false" outlineLevel="0" collapsed="false">
      <c r="A633" s="17" t="s">
        <v>114</v>
      </c>
      <c r="B633" s="17" t="s">
        <v>37</v>
      </c>
      <c r="C633" s="17" t="n">
        <v>19</v>
      </c>
      <c r="D633" s="17" t="s">
        <v>83</v>
      </c>
      <c r="E633" s="17" t="n">
        <v>20</v>
      </c>
      <c r="F633" s="17" t="n">
        <v>1</v>
      </c>
      <c r="G633" s="17"/>
    </row>
    <row r="634" customFormat="false" ht="15" hidden="false" customHeight="false" outlineLevel="0" collapsed="false">
      <c r="A634" s="17" t="s">
        <v>114</v>
      </c>
      <c r="B634" s="17" t="s">
        <v>39</v>
      </c>
      <c r="C634" s="17" t="n">
        <v>25</v>
      </c>
      <c r="D634" s="17" t="s">
        <v>56</v>
      </c>
      <c r="E634" s="17" t="n">
        <v>26</v>
      </c>
      <c r="F634" s="17" t="n">
        <v>1</v>
      </c>
      <c r="G634" s="17"/>
    </row>
    <row r="635" customFormat="false" ht="15" hidden="false" customHeight="false" outlineLevel="0" collapsed="false">
      <c r="A635" s="17" t="s">
        <v>114</v>
      </c>
      <c r="B635" s="17" t="s">
        <v>44</v>
      </c>
      <c r="C635" s="17" t="n">
        <v>9</v>
      </c>
      <c r="D635" s="17" t="s">
        <v>77</v>
      </c>
      <c r="E635" s="17" t="n">
        <v>8</v>
      </c>
      <c r="F635" s="17" t="n">
        <v>1</v>
      </c>
      <c r="G635" s="17"/>
    </row>
    <row r="636" customFormat="false" ht="15" hidden="false" customHeight="false" outlineLevel="0" collapsed="false">
      <c r="A636" s="17" t="s">
        <v>114</v>
      </c>
      <c r="B636" s="17" t="s">
        <v>46</v>
      </c>
      <c r="C636" s="17" t="n">
        <v>11</v>
      </c>
      <c r="D636" s="17" t="s">
        <v>71</v>
      </c>
      <c r="E636" s="17" t="n">
        <v>12</v>
      </c>
      <c r="F636" s="17" t="n">
        <v>1</v>
      </c>
      <c r="G636" s="17"/>
    </row>
    <row r="637" customFormat="false" ht="15" hidden="false" customHeight="false" outlineLevel="0" collapsed="false">
      <c r="A637" s="17" t="s">
        <v>114</v>
      </c>
      <c r="B637" s="17" t="s">
        <v>52</v>
      </c>
      <c r="C637" s="17" t="n">
        <v>17</v>
      </c>
      <c r="D637" s="17" t="s">
        <v>73</v>
      </c>
      <c r="E637" s="17" t="n">
        <v>18</v>
      </c>
      <c r="F637" s="17" t="n">
        <v>1</v>
      </c>
      <c r="G637" s="17"/>
    </row>
    <row r="638" customFormat="false" ht="15" hidden="false" customHeight="false" outlineLevel="0" collapsed="false">
      <c r="A638" s="17" t="s">
        <v>114</v>
      </c>
      <c r="B638" s="17" t="s">
        <v>54</v>
      </c>
      <c r="C638" s="17" t="n">
        <v>52</v>
      </c>
      <c r="D638" s="17" t="s">
        <v>59</v>
      </c>
      <c r="E638" s="17" t="n">
        <v>53</v>
      </c>
      <c r="F638" s="17" t="n">
        <v>1</v>
      </c>
      <c r="G638" s="17"/>
    </row>
    <row r="639" customFormat="false" ht="15" hidden="false" customHeight="false" outlineLevel="0" collapsed="false">
      <c r="A639" s="17" t="s">
        <v>114</v>
      </c>
      <c r="B639" s="17" t="s">
        <v>63</v>
      </c>
      <c r="C639" s="17" t="n">
        <v>6</v>
      </c>
      <c r="D639" s="17" t="s">
        <v>79</v>
      </c>
      <c r="E639" s="17" t="n">
        <v>5</v>
      </c>
      <c r="F639" s="17" t="n">
        <v>1</v>
      </c>
      <c r="G639" s="17"/>
    </row>
    <row r="640" customFormat="false" ht="15" hidden="false" customHeight="false" outlineLevel="0" collapsed="false">
      <c r="A640" s="17" t="s">
        <v>114</v>
      </c>
      <c r="B640" s="17" t="s">
        <v>63</v>
      </c>
      <c r="C640" s="17" t="n">
        <v>6</v>
      </c>
      <c r="D640" s="17" t="s">
        <v>95</v>
      </c>
      <c r="E640" s="17" t="n">
        <v>7</v>
      </c>
      <c r="F640" s="17" t="n">
        <v>1</v>
      </c>
      <c r="G640" s="17"/>
    </row>
    <row r="641" customFormat="false" ht="15" hidden="false" customHeight="false" outlineLevel="0" collapsed="false">
      <c r="A641" s="17" t="s">
        <v>114</v>
      </c>
      <c r="B641" s="17" t="s">
        <v>65</v>
      </c>
      <c r="C641" s="17" t="n">
        <v>1</v>
      </c>
      <c r="D641" s="17" t="s">
        <v>81</v>
      </c>
      <c r="E641" s="17" t="n">
        <v>2</v>
      </c>
      <c r="F641" s="17" t="n">
        <v>1</v>
      </c>
      <c r="G641" s="17"/>
    </row>
    <row r="642" customFormat="false" ht="15" hidden="false" customHeight="false" outlineLevel="0" collapsed="false">
      <c r="A642" s="17" t="s">
        <v>114</v>
      </c>
      <c r="B642" s="17" t="s">
        <v>67</v>
      </c>
      <c r="C642" s="17" t="n">
        <v>22</v>
      </c>
      <c r="D642" s="17" t="s">
        <v>85</v>
      </c>
      <c r="E642" s="17" t="n">
        <v>21</v>
      </c>
      <c r="F642" s="17" t="n">
        <v>1</v>
      </c>
      <c r="G642" s="17"/>
    </row>
    <row r="643" customFormat="false" ht="15" hidden="false" customHeight="false" outlineLevel="0" collapsed="false">
      <c r="A643" s="17" t="s">
        <v>114</v>
      </c>
      <c r="B643" s="17" t="s">
        <v>69</v>
      </c>
      <c r="C643" s="17" t="n">
        <v>13</v>
      </c>
      <c r="D643" s="17" t="s">
        <v>71</v>
      </c>
      <c r="E643" s="17" t="n">
        <v>12</v>
      </c>
      <c r="F643" s="17" t="n">
        <v>1</v>
      </c>
      <c r="G643" s="17"/>
    </row>
    <row r="644" customFormat="false" ht="15" hidden="false" customHeight="false" outlineLevel="0" collapsed="false">
      <c r="A644" s="17" t="s">
        <v>114</v>
      </c>
      <c r="B644" s="17" t="s">
        <v>77</v>
      </c>
      <c r="C644" s="17" t="n">
        <v>8</v>
      </c>
      <c r="D644" s="17" t="s">
        <v>95</v>
      </c>
      <c r="E644" s="17" t="n">
        <v>7</v>
      </c>
      <c r="F644" s="17" t="n">
        <v>1</v>
      </c>
      <c r="G644" s="17"/>
    </row>
    <row r="645" customFormat="false" ht="15" hidden="false" customHeight="false" outlineLevel="0" collapsed="false">
      <c r="A645" s="17" t="s">
        <v>114</v>
      </c>
      <c r="B645" s="17" t="s">
        <v>79</v>
      </c>
      <c r="C645" s="17" t="n">
        <v>5</v>
      </c>
      <c r="D645" s="17" t="s">
        <v>93</v>
      </c>
      <c r="E645" s="17" t="n">
        <v>4</v>
      </c>
      <c r="F645" s="17" t="n">
        <v>1</v>
      </c>
      <c r="G645" s="17"/>
    </row>
    <row r="646" customFormat="false" ht="15" hidden="false" customHeight="false" outlineLevel="0" collapsed="false">
      <c r="A646" s="17" t="s">
        <v>114</v>
      </c>
      <c r="B646" s="17" t="s">
        <v>83</v>
      </c>
      <c r="C646" s="17" t="n">
        <v>20</v>
      </c>
      <c r="D646" s="17" t="s">
        <v>85</v>
      </c>
      <c r="E646" s="17" t="n">
        <v>21</v>
      </c>
      <c r="F646" s="17" t="n">
        <v>1</v>
      </c>
      <c r="G646" s="17"/>
    </row>
    <row r="647" customFormat="false" ht="15" hidden="false" customHeight="false" outlineLevel="0" collapsed="false">
      <c r="A647" s="17" t="s">
        <v>114</v>
      </c>
      <c r="B647" s="17" t="s">
        <v>87</v>
      </c>
      <c r="C647" s="17" t="n">
        <v>33</v>
      </c>
      <c r="D647" s="17" t="s">
        <v>89</v>
      </c>
      <c r="E647" s="17" t="n">
        <v>32</v>
      </c>
      <c r="F647" s="17" t="n">
        <v>1</v>
      </c>
      <c r="G647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2026-09-23T21:07:30Z</dcterms:created>
  <dc:creator>openpyxl</dc:creator>
  <dc:description/>
  <dc:language>en-US</dc:language>
  <cp:lastModifiedBy/>
  <dcterms:modified xsi:type="dcterms:W3CDTF">2026-09-23T21:07:30Z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