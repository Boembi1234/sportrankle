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sche\Downloads\"/>
    </mc:Choice>
  </mc:AlternateContent>
  <xr:revisionPtr revIDLastSave="0" documentId="11_F6A94E5CB88A97D17BF2F1A2B11F9ABEBE7D54E1" xr6:coauthVersionLast="47" xr6:coauthVersionMax="47" xr10:uidLastSave="{00000000-0000-0000-0000-000000000000}"/>
  <bookViews>
    <workbookView xWindow="-108" yWindow="-108" windowWidth="41496" windowHeight="16776" tabRatio="500" xr2:uid="{00000000-000D-0000-FFFF-FFFF00000000}"/>
  </bookViews>
  <sheets>
    <sheet name="Daten" sheetId="1" r:id="rId1"/>
    <sheet name="Ränge" sheetId="2" r:id="rId2"/>
    <sheet name="Kategorien" sheetId="3" r:id="rId3"/>
    <sheet name="Paar-Chec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2" l="1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C33" i="2"/>
  <c r="B33" i="2"/>
  <c r="A33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C32" i="2"/>
  <c r="B32" i="2"/>
  <c r="A32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C31" i="2"/>
  <c r="B31" i="2"/>
  <c r="A31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C30" i="2"/>
  <c r="B30" i="2"/>
  <c r="A30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C29" i="2"/>
  <c r="B29" i="2"/>
  <c r="A29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C28" i="2"/>
  <c r="B28" i="2"/>
  <c r="X28" i="2" s="1"/>
  <c r="A28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C27" i="2"/>
  <c r="B27" i="2"/>
  <c r="A27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C26" i="2"/>
  <c r="B26" i="2"/>
  <c r="A26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C25" i="2"/>
  <c r="B25" i="2"/>
  <c r="Y25" i="2" s="1"/>
  <c r="A25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C24" i="2"/>
  <c r="B24" i="2"/>
  <c r="A24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C23" i="2"/>
  <c r="B23" i="2"/>
  <c r="A23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C22" i="2"/>
  <c r="B22" i="2"/>
  <c r="A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C21" i="2"/>
  <c r="B21" i="2"/>
  <c r="A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C20" i="2"/>
  <c r="B20" i="2"/>
  <c r="A20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C19" i="2"/>
  <c r="B19" i="2"/>
  <c r="A19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C18" i="2"/>
  <c r="B18" i="2"/>
  <c r="X18" i="2" s="1"/>
  <c r="A18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C17" i="2"/>
  <c r="B17" i="2"/>
  <c r="A17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C16" i="2"/>
  <c r="B16" i="2"/>
  <c r="A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C15" i="2"/>
  <c r="B15" i="2"/>
  <c r="A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C14" i="2"/>
  <c r="B14" i="2"/>
  <c r="A14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C13" i="2"/>
  <c r="B13" i="2"/>
  <c r="A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C12" i="2"/>
  <c r="B12" i="2"/>
  <c r="A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C11" i="2"/>
  <c r="B11" i="2"/>
  <c r="A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C10" i="2"/>
  <c r="B10" i="2"/>
  <c r="X10" i="2" s="1"/>
  <c r="A10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C9" i="2"/>
  <c r="B9" i="2"/>
  <c r="Y9" i="2" s="1"/>
  <c r="A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C8" i="2"/>
  <c r="B8" i="2"/>
  <c r="A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C7" i="2"/>
  <c r="B7" i="2"/>
  <c r="A7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C6" i="2"/>
  <c r="B6" i="2"/>
  <c r="A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C5" i="2"/>
  <c r="B5" i="2"/>
  <c r="A5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B4" i="2"/>
  <c r="A4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C3" i="2"/>
  <c r="B3" i="2"/>
  <c r="A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C2" i="2"/>
  <c r="B2" i="2"/>
  <c r="A2" i="2"/>
  <c r="E33" i="1"/>
  <c r="D33" i="1"/>
  <c r="D33" i="2" s="1"/>
  <c r="E32" i="1"/>
  <c r="E32" i="2" s="1"/>
  <c r="D32" i="1"/>
  <c r="E31" i="1"/>
  <c r="E31" i="2" s="1"/>
  <c r="D31" i="1"/>
  <c r="E30" i="1"/>
  <c r="E30" i="2" s="1"/>
  <c r="D30" i="1"/>
  <c r="D30" i="2" s="1"/>
  <c r="E29" i="1"/>
  <c r="E29" i="2" s="1"/>
  <c r="D29" i="1"/>
  <c r="D29" i="2" s="1"/>
  <c r="E28" i="1"/>
  <c r="E28" i="2" s="1"/>
  <c r="D28" i="1"/>
  <c r="D28" i="2" s="1"/>
  <c r="E27" i="1"/>
  <c r="E27" i="2" s="1"/>
  <c r="D27" i="1"/>
  <c r="D27" i="2" s="1"/>
  <c r="E26" i="1"/>
  <c r="E26" i="2" s="1"/>
  <c r="D26" i="1"/>
  <c r="D26" i="2" s="1"/>
  <c r="E25" i="1"/>
  <c r="E25" i="2" s="1"/>
  <c r="D25" i="1"/>
  <c r="D25" i="2" s="1"/>
  <c r="E24" i="1"/>
  <c r="D24" i="1"/>
  <c r="E23" i="1"/>
  <c r="E23" i="2" s="1"/>
  <c r="D23" i="1"/>
  <c r="D23" i="2" s="1"/>
  <c r="E22" i="1"/>
  <c r="D22" i="1"/>
  <c r="D22" i="2" s="1"/>
  <c r="E21" i="1"/>
  <c r="E21" i="2" s="1"/>
  <c r="D21" i="1"/>
  <c r="E20" i="1"/>
  <c r="E20" i="2" s="1"/>
  <c r="D20" i="1"/>
  <c r="D20" i="2" s="1"/>
  <c r="E19" i="1"/>
  <c r="E19" i="2" s="1"/>
  <c r="D19" i="1"/>
  <c r="D19" i="2" s="1"/>
  <c r="E18" i="1"/>
  <c r="E18" i="2" s="1"/>
  <c r="D18" i="1"/>
  <c r="D18" i="2" s="1"/>
  <c r="Y18" i="2" s="1"/>
  <c r="E17" i="1"/>
  <c r="D17" i="1"/>
  <c r="E16" i="1"/>
  <c r="E16" i="2" s="1"/>
  <c r="D16" i="1"/>
  <c r="E15" i="1"/>
  <c r="D15" i="1"/>
  <c r="E14" i="1"/>
  <c r="E14" i="2" s="1"/>
  <c r="D14" i="1"/>
  <c r="D14" i="2" s="1"/>
  <c r="E13" i="1"/>
  <c r="E13" i="2" s="1"/>
  <c r="D13" i="1"/>
  <c r="D13" i="2" s="1"/>
  <c r="E12" i="1"/>
  <c r="D12" i="1"/>
  <c r="D12" i="2" s="1"/>
  <c r="E11" i="1"/>
  <c r="E11" i="2" s="1"/>
  <c r="D11" i="1"/>
  <c r="D11" i="2" s="1"/>
  <c r="E10" i="1"/>
  <c r="E10" i="2" s="1"/>
  <c r="D10" i="1"/>
  <c r="D10" i="2" s="1"/>
  <c r="E9" i="1"/>
  <c r="E9" i="2" s="1"/>
  <c r="D9" i="1"/>
  <c r="D9" i="2" s="1"/>
  <c r="E8" i="1"/>
  <c r="D8" i="1"/>
  <c r="E7" i="1"/>
  <c r="E7" i="2" s="1"/>
  <c r="D7" i="1"/>
  <c r="D7" i="2" s="1"/>
  <c r="E6" i="1"/>
  <c r="E15" i="2" s="1"/>
  <c r="D6" i="1"/>
  <c r="D8" i="2" s="1"/>
  <c r="E5" i="1"/>
  <c r="E5" i="2" s="1"/>
  <c r="D5" i="1"/>
  <c r="E4" i="1"/>
  <c r="E4" i="2" s="1"/>
  <c r="D4" i="1"/>
  <c r="D4" i="2" s="1"/>
  <c r="E3" i="1"/>
  <c r="D3" i="1"/>
  <c r="D3" i="2" s="1"/>
  <c r="E2" i="1"/>
  <c r="E12" i="2" s="1"/>
  <c r="D2" i="1"/>
  <c r="D5" i="2" s="1"/>
  <c r="Y12" i="2" l="1"/>
  <c r="Y29" i="2"/>
  <c r="X29" i="2"/>
  <c r="X19" i="2"/>
  <c r="Y4" i="2"/>
  <c r="X4" i="2"/>
  <c r="X27" i="2"/>
  <c r="Y27" i="2"/>
  <c r="X3" i="2"/>
  <c r="Y7" i="2"/>
  <c r="Y26" i="2"/>
  <c r="Y24" i="2"/>
  <c r="Y13" i="2"/>
  <c r="X13" i="2"/>
  <c r="Y23" i="2"/>
  <c r="Y20" i="2"/>
  <c r="X20" i="2"/>
  <c r="Y14" i="2"/>
  <c r="Y30" i="2"/>
  <c r="Y11" i="2"/>
  <c r="X11" i="2"/>
  <c r="X5" i="2"/>
  <c r="X22" i="2"/>
  <c r="Y22" i="2"/>
  <c r="Y8" i="2"/>
  <c r="D31" i="2"/>
  <c r="Y19" i="2"/>
  <c r="Y5" i="2"/>
  <c r="X14" i="2"/>
  <c r="X30" i="2"/>
  <c r="D17" i="2"/>
  <c r="Y17" i="2" s="1"/>
  <c r="X12" i="2"/>
  <c r="E2" i="2"/>
  <c r="X7" i="2"/>
  <c r="X23" i="2"/>
  <c r="Y10" i="2"/>
  <c r="D16" i="2"/>
  <c r="X16" i="2" s="1"/>
  <c r="D32" i="2"/>
  <c r="Y32" i="2" s="1"/>
  <c r="D2" i="2"/>
  <c r="Y2" i="2" s="1"/>
  <c r="X32" i="2"/>
  <c r="D15" i="2"/>
  <c r="Y28" i="2"/>
  <c r="X9" i="2"/>
  <c r="X25" i="2"/>
  <c r="E8" i="2"/>
  <c r="D6" i="2"/>
  <c r="D24" i="2"/>
  <c r="E24" i="2"/>
  <c r="E3" i="2"/>
  <c r="Y3" i="2" s="1"/>
  <c r="X8" i="2"/>
  <c r="X24" i="2"/>
  <c r="E17" i="2"/>
  <c r="E33" i="2"/>
  <c r="Y33" i="2" s="1"/>
  <c r="X17" i="2"/>
  <c r="D21" i="2"/>
  <c r="X21" i="2" s="1"/>
  <c r="X33" i="2"/>
  <c r="X26" i="2"/>
  <c r="Y16" i="2" l="1"/>
  <c r="Y21" i="2"/>
  <c r="Y15" i="2"/>
  <c r="X15" i="2"/>
  <c r="X2" i="2"/>
  <c r="Y6" i="2"/>
  <c r="B37" i="2" s="1"/>
  <c r="X6" i="2"/>
  <c r="Y31" i="2"/>
  <c r="X31" i="2"/>
  <c r="B36" i="2" l="1"/>
  <c r="B35" i="2"/>
</calcChain>
</file>

<file path=xl/sharedStrings.xml><?xml version="1.0" encoding="utf-8"?>
<sst xmlns="http://schemas.openxmlformats.org/spreadsheetml/2006/main" count="4390" uniqueCount="368">
  <si>
    <t>Programm</t>
  </si>
  <si>
    <t>Universität gegründet (Jahr)</t>
  </si>
  <si>
    <t>Siege all-time (Siege)</t>
  </si>
  <si>
    <t>Siegquote all-time (%)</t>
  </si>
  <si>
    <t>Jahre seit letztem AP-Nationaltitel (Jahre)</t>
  </si>
  <si>
    <t>AP-Nationaltitel (Titel)</t>
  </si>
  <si>
    <t>Heisman-Sieger (Anzahl)</t>
  </si>
  <si>
    <t>Bowl-Siege all-time (Siege)</t>
  </si>
  <si>
    <t>CFP-Teilnahmen (Anzahl)</t>
  </si>
  <si>
    <t>Siege Saison 2025 (Siege)</t>
  </si>
  <si>
    <t>Stadionkapazität (Plätze)</t>
  </si>
  <si>
    <t>Stadion eröffnet (Jahr)</t>
  </si>
  <si>
    <t>Studierende (Tsd.)</t>
  </si>
  <si>
    <t>Einwohner Uni-Stadt (Tsd.)</t>
  </si>
  <si>
    <t>NFL-Draft-Picks 2026 (Spieler)</t>
  </si>
  <si>
    <t>Cheftrainer-Gehalt 2025 (Mio. USD)</t>
  </si>
  <si>
    <t>Alumni auf NFL-Kadern Woche 1 2026 (Spieler)</t>
  </si>
  <si>
    <t>NFL-Draft-Picks seit 1980 (Spieler)</t>
  </si>
  <si>
    <t>Erstrunden-Picks seit 1980 (Spieler)</t>
  </si>
  <si>
    <t>Pro-Bowler gedraftet seit 1980 (Spieler)</t>
  </si>
  <si>
    <t>Hall-of-Famer gedraftet seit 1980 (Spieler)</t>
  </si>
  <si>
    <t>Combine-Teilnehmer seit 2000 (Spieler)</t>
  </si>
  <si>
    <t>Schnellster 40-Yard eines Alumni (Sekunden)</t>
  </si>
  <si>
    <t>HILFSSPALTE: Niederlagen all-time (Ende 2025)</t>
  </si>
  <si>
    <t>HILFSSPALTE: Unentschieden all-time</t>
  </si>
  <si>
    <t>HILFSSPALTE: Letzter AP-Titel (Saison)</t>
  </si>
  <si>
    <t>HILFSSPALTE: Erste Football-Saison</t>
  </si>
  <si>
    <t>HILFSSPALTE: Uni-Stadt</t>
  </si>
  <si>
    <t>HILFSSPALTE: Head Coach Saison 2025</t>
  </si>
  <si>
    <t>HILFSSPALTE: Schulname in nflverse</t>
  </si>
  <si>
    <t>Anmerkung</t>
  </si>
  <si>
    <t>Ohio State Buckeyes</t>
  </si>
  <si>
    <t>Columbus, OH</t>
  </si>
  <si>
    <t>Ryan Day</t>
  </si>
  <si>
    <t>Ohio State</t>
  </si>
  <si>
    <t>Beste Siegquote der FBS (.737). Nationaltitel 2024 (CFP). 11 Draft-Picks 2026 (Rekord der Liste, gleichauf mit Texas A&amp;M).</t>
  </si>
  <si>
    <t>Alabama Crimson Tide</t>
  </si>
  <si>
    <t>Tuscaloosa, AL</t>
  </si>
  <si>
    <t>Kalen DeBoer</t>
  </si>
  <si>
    <t>Alabama</t>
  </si>
  <si>
    <t>Meiste AP-Titel (12) und meiste Bowl-Siege (46), meiste CFP-Teilnahmen (8).</t>
  </si>
  <si>
    <t>Notre Dame Fighting Irish</t>
  </si>
  <si>
    <t>South Bend, IN</t>
  </si>
  <si>
    <t>Marcus Freeman</t>
  </si>
  <si>
    <t>Notre Dame</t>
  </si>
  <si>
    <t>Independent (kein Conference-Football). Kleinste Uni der Liste. Jeremiyah Love = Nr.-3-Pick 2026.</t>
  </si>
  <si>
    <t>Michigan Wolverines</t>
  </si>
  <si>
    <t>Ann Arbor, MI</t>
  </si>
  <si>
    <t>Sherrone Moore</t>
  </si>
  <si>
    <t>Michigan</t>
  </si>
  <si>
    <t>Meiste Siege der College-Geschichte (1'021) und grösstes Stadion der USA ('The Big House'). Älteste Uni der Liste (1817). Trainerwechsel 2026: Sherrone Moore → Kyle Whittingham (Gehaltswert = Saison 2025).</t>
  </si>
  <si>
    <t>Boise State Broncos</t>
  </si>
  <si>
    <t>Boise, ID</t>
  </si>
  <si>
    <t>Spencer Danielson</t>
  </si>
  <si>
    <t>Boise State</t>
  </si>
  <si>
    <t>Blauer Kunstrasen. Nie AP-Titel: Durststrecke = seit Programmstart 1968. Kleinstes Stadion der Liste.</t>
  </si>
  <si>
    <t>Oklahoma Sooners</t>
  </si>
  <si>
    <t>Norman, OK</t>
  </si>
  <si>
    <t>Brent Venables</t>
  </si>
  <si>
    <t>Oklahoma</t>
  </si>
  <si>
    <t>7 Heisman-Sieger (gleichauf mit Ohio State, Notre Dame). Seit 2024 in der SEC.</t>
  </si>
  <si>
    <t>Texas Longhorns</t>
  </si>
  <si>
    <t>Austin, TX</t>
  </si>
  <si>
    <t>Steve Sarkisian</t>
  </si>
  <si>
    <t>Texas</t>
  </si>
  <si>
    <t>Letzter AP-Titel 2005 (Vince Young). Seit 2024 in der SEC.</t>
  </si>
  <si>
    <t>USC Trojans</t>
  </si>
  <si>
    <t>Los Angeles, CA</t>
  </si>
  <si>
    <t>Lincoln Riley</t>
  </si>
  <si>
    <t>USC</t>
  </si>
  <si>
    <t>Meiste Heisman-Sieger (8, inkl. Reggie Bush nach Wiedereinsetzung 2024). Grösste Stadt der Liste. Nie im CFP.</t>
  </si>
  <si>
    <t>Penn State Nittany Lions</t>
  </si>
  <si>
    <t>State College, PA</t>
  </si>
  <si>
    <t>James Franklin</t>
  </si>
  <si>
    <t>Penn State</t>
  </si>
  <si>
    <t>Beaver Stadium: zweitgrösstes Stadion (Kapazität während Umbau 2025/26 reduziert – vor Livegang prüfen). Kleinste Uni-Stadt (State College). Trainerwechsel 2026: James Franklin → Matt Campbell (Gehaltswert = Saison 2025).</t>
  </si>
  <si>
    <t>Nebraska Cornhuskers</t>
  </si>
  <si>
    <t>Lincoln, NE</t>
  </si>
  <si>
    <t>Matt Rhule</t>
  </si>
  <si>
    <t>Nebraska</t>
  </si>
  <si>
    <t>Ausverkauft seit 1962 (NCAA-Rekordserie). Letzter AP-Titel 1995.</t>
  </si>
  <si>
    <t>Tennessee Volunteers</t>
  </si>
  <si>
    <t>Knoxville, TN</t>
  </si>
  <si>
    <t>Josh Heupel</t>
  </si>
  <si>
    <t>Tennessee</t>
  </si>
  <si>
    <t>Zweitälteste Uni der Liste (1794). Neyland Stadium eröffnet 1921. Nie ein Heisman-Sieger.</t>
  </si>
  <si>
    <t>Georgia Bulldogs</t>
  </si>
  <si>
    <t>Athens, GA</t>
  </si>
  <si>
    <t>Kirby Smart</t>
  </si>
  <si>
    <t>Georgia</t>
  </si>
  <si>
    <t>Älteste staatliche Uni der USA (1785). AP-Titel 2021 und 2022. Meiste Unentschieden der Liste (54, mit USC).</t>
  </si>
  <si>
    <t>Florida State Seminoles</t>
  </si>
  <si>
    <t>Tallahassee, FL</t>
  </si>
  <si>
    <t>Mike Norvell</t>
  </si>
  <si>
    <t>Florida State</t>
  </si>
  <si>
    <t>Jüngstes Programm der Liste (1947). Drei Heisman-Sieger (Ward, Weinke, Winston). Norvell verzichtete 2025 freiwillig auf 4,5 Mio. (Wert nach Verzicht).</t>
  </si>
  <si>
    <t>LSU Tigers</t>
  </si>
  <si>
    <t>Baton Rouge, LA</t>
  </si>
  <si>
    <t>Brian Kelly</t>
  </si>
  <si>
    <t>LSU</t>
  </si>
  <si>
    <t>'Death Valley'. AP-Titel 2019 (Joe Burrow, Heisman 2019). Trainerwechsel 2026: Brian Kelly → Lane Kiffin (Gehaltswert = Saison 2025).</t>
  </si>
  <si>
    <t>Miami Hurricanes</t>
  </si>
  <si>
    <t>Coral Gables, FL</t>
  </si>
  <si>
    <t>Mario Cristobal</t>
  </si>
  <si>
    <t>Miami (FL)</t>
  </si>
  <si>
    <t>CFP-Finalist 2025 (Niederlage gegen Indiana). Spielt im NFL-Stadion der Dolphins (Hard Rock Stadium, 1987). 9 Draft-Picks 2026.</t>
  </si>
  <si>
    <t>Florida Gators</t>
  </si>
  <si>
    <t>Gainesville, FL</t>
  </si>
  <si>
    <t>Billy Napier</t>
  </si>
  <si>
    <t>Florida</t>
  </si>
  <si>
    <t>'The Swamp'. Drei Heisman-Sieger (Spurrier, Wuerffel, Tebow). Nie im CFP; nur 4 Siege 2025. Trainerwechsel 2026: Billy Napier → Jon Sumrall (Gehaltswert = Saison 2025).</t>
  </si>
  <si>
    <t>Clemson Tigers</t>
  </si>
  <si>
    <t>Clemson, SC</t>
  </si>
  <si>
    <t>Dabo Swinney</t>
  </si>
  <si>
    <t>Clemson</t>
  </si>
  <si>
    <t>7 CFP-Teilnahmen (Nr. 2 der Liste). Kleinste Uni-Stadt der Liste (Clemson, ca. 17'000). Nie ein Heisman-Sieger.</t>
  </si>
  <si>
    <t>Auburn Tigers</t>
  </si>
  <si>
    <t>Auburn, AL</t>
  </si>
  <si>
    <t>Hugh Freeze</t>
  </si>
  <si>
    <t>Auburn</t>
  </si>
  <si>
    <t>Drei Heisman-Sieger (Sullivan, Bo Jackson, Cam Newton). Nie im CFP. Trainerwechsel 2026: Hugh Freeze → Alex Golesh (Gehaltswert = Saison 2025).</t>
  </si>
  <si>
    <t>Washington Huskies</t>
  </si>
  <si>
    <t>Seattle, WA</t>
  </si>
  <si>
    <t>Jedd Fisch</t>
  </si>
  <si>
    <t>Washington</t>
  </si>
  <si>
    <t>Nie AP-Titel (Coaches-Poll 1991): Durststrecke = seit Programmstart 1889. CFP-Finalist 2023.</t>
  </si>
  <si>
    <t>Texas A&amp;M Aggies</t>
  </si>
  <si>
    <t>College Station, TX</t>
  </si>
  <si>
    <t>Mike Elko</t>
  </si>
  <si>
    <t>Texas A&amp;M</t>
  </si>
  <si>
    <t>Grösste Uni der Liste (ca. 79'000). Letzter AP-Titel 1939 – längste Durststrecke eines Ex-Meisters. 11 Draft-Picks 2026.</t>
  </si>
  <si>
    <t>Arizona State Sun Devils</t>
  </si>
  <si>
    <t>Tempe, AZ</t>
  </si>
  <si>
    <t>Kenny Dillingham</t>
  </si>
  <si>
    <t>Arizona State</t>
  </si>
  <si>
    <t>Grösste Uni (Campus Tempe ca. 80'000 – Zählweise vor Livegang prüfen). Nie AP-Titel.</t>
  </si>
  <si>
    <t>Michigan State Spartans</t>
  </si>
  <si>
    <t>East Lansing, MI</t>
  </si>
  <si>
    <t>Jonathan Smith</t>
  </si>
  <si>
    <t>Michigan State</t>
  </si>
  <si>
    <t>Letzter AP-Titel 1952 (zweitlängste Durststrecke eines Ex-Meisters). Trainerwechsel 2026: Jonathan Smith → Pat Fitzgerald (Gehaltswert = Saison 2025).</t>
  </si>
  <si>
    <t>Utah Utes</t>
  </si>
  <si>
    <t>Salt Lake City, UT</t>
  </si>
  <si>
    <t>Kyle Whittingham</t>
  </si>
  <si>
    <t>Utah</t>
  </si>
  <si>
    <t>Jüngstes Stadion der Liste (Rice-Eccles 1998). Nie AP-Titel, nie im CFP. 11 Siege 2025. Trainerwechsel 2026: Kyle Whittingham → Morgan Scalley (Gehaltswert = Saison 2025).</t>
  </si>
  <si>
    <t>Wisconsin Badgers</t>
  </si>
  <si>
    <t>Madison, WI</t>
  </si>
  <si>
    <t>Luke Fickell</t>
  </si>
  <si>
    <t>Wisconsin</t>
  </si>
  <si>
    <t>Nie AP-Titel. Zwei Heisman-Sieger (Ameche, Dayne). Kein Draft-Pick 2026. Camp Randall: zweitältestes Stadion der Liste (1917).</t>
  </si>
  <si>
    <t>Oregon Ducks</t>
  </si>
  <si>
    <t>Eugene, OR</t>
  </si>
  <si>
    <t>Dan Lanning</t>
  </si>
  <si>
    <t>Oregon</t>
  </si>
  <si>
    <t>Nie AP-Titel (CFP-Finalist 2014). 13 Siege 2025. Heisman: Mariota 2014.</t>
  </si>
  <si>
    <t>Colorado Buffaloes</t>
  </si>
  <si>
    <t>Boulder, CO</t>
  </si>
  <si>
    <t>Deion Sanders</t>
  </si>
  <si>
    <t>Colorado</t>
  </si>
  <si>
    <t>Heisman 2024 (Travis Hunter), Head Coach Deion Sanders. Nur 3 Siege 2025, kein Draft-Pick 2026.</t>
  </si>
  <si>
    <t>Ole Miss Rebels</t>
  </si>
  <si>
    <t>Oxford, MS</t>
  </si>
  <si>
    <t>Lane Kiffin</t>
  </si>
  <si>
    <t>Mississippi</t>
  </si>
  <si>
    <t>Ältestes Stadion der Liste (Vaught-Hemingway 1915). 13 Siege 2025 (Programmrekord), erste CFP-Teilnahme. Nie AP-Titel. Trainerwechsel 2026: Lane Kiffin → Pete Golding (Gehaltswert = Saison 2025).</t>
  </si>
  <si>
    <t>Texas Tech Red Raiders</t>
  </si>
  <si>
    <t>Lubbock, TX</t>
  </si>
  <si>
    <t>Joey McGuire</t>
  </si>
  <si>
    <t>Texas Tech</t>
  </si>
  <si>
    <t>Big-12-Champion 2025, erste CFP-Teilnahme. David Bailey = Nr.-2-Pick 2026. Nie AP-Titel. McGuire-Gehalt 2025 nur ausserhalb der USA-Today-Top-50 belegt (SI); ab 2026 6,5 Mio.</t>
  </si>
  <si>
    <t>Missouri Tigers</t>
  </si>
  <si>
    <t>Columbia, MO</t>
  </si>
  <si>
    <t>Eli Drinkwitz</t>
  </si>
  <si>
    <t>Missouri</t>
  </si>
  <si>
    <t>Nie AP-Titel, nie im CFP. Seit 2012 in der SEC.</t>
  </si>
  <si>
    <t>Iowa Hawkeyes</t>
  </si>
  <si>
    <t>Iowa City, IA</t>
  </si>
  <si>
    <t>Kirk Ferentz</t>
  </si>
  <si>
    <t>Iowa</t>
  </si>
  <si>
    <t>Heisman 1939 (Nile Kinnick, Stadion nach ihm benannt). Nie AP-Titel (Coaches-Poll 1958).</t>
  </si>
  <si>
    <t>TCU Horned Frogs</t>
  </si>
  <si>
    <t>Fort Worth, TX</t>
  </si>
  <si>
    <t>Sonny Dykes</t>
  </si>
  <si>
    <t>TCU</t>
  </si>
  <si>
    <t>Meiste Unentschieden der Liste (57). AP-Titel 1938 – längste Durststrecke aller Ex-Meister (88 Jahre). CFP-Finalist 2022.</t>
  </si>
  <si>
    <t>Indiana Hoosiers</t>
  </si>
  <si>
    <t>Bloomington, IN</t>
  </si>
  <si>
    <t>Curt Cignetti</t>
  </si>
  <si>
    <t>Indiana</t>
  </si>
  <si>
    <t>Nationalmeister 2025 (16-0, CFP-Finale gegen Miami), Heisman 2025 (Fernando Mendoza, Nr.-1-Pick 2026). Schlechteste All-time-Siegquote der Liste (.424), nur 6 Bowl-Siege.</t>
  </si>
  <si>
    <t>Referenzjahr / Stichtag (für Formeln)</t>
  </si>
  <si>
    <t>Graue Spalten = Hilfsspalten (Rohdaten für Formeln), nicht als Attribut im Spiel verwenden. Formelspalten rechnen live aus den Hilfsspalten.</t>
  </si>
  <si>
    <t>Werte mit dem Vermerk 'vor Livegang prüfen' in der Anmerkung/Kategorien-Tabelle vor Veröffentlichung gegenprüfen.</t>
  </si>
  <si>
    <t>Universität gegründet</t>
  </si>
  <si>
    <t>Siege all-time</t>
  </si>
  <si>
    <t>Siegquote all-time</t>
  </si>
  <si>
    <t>Jahre seit letztem AP-Nationaltitel</t>
  </si>
  <si>
    <t>AP-Nationaltitel</t>
  </si>
  <si>
    <t>Heisman-Sieger</t>
  </si>
  <si>
    <t>Bowl-Siege all-time</t>
  </si>
  <si>
    <t>CFP-Teilnahmen</t>
  </si>
  <si>
    <t>Siege Saison 2025</t>
  </si>
  <si>
    <t>Stadionkapazität</t>
  </si>
  <si>
    <t>Stadion eröffnet</t>
  </si>
  <si>
    <t>Studierende</t>
  </si>
  <si>
    <t>Einwohner Uni-Stadt</t>
  </si>
  <si>
    <t>NFL-Draft-Picks 2026</t>
  </si>
  <si>
    <t>Cheftrainer-Gehalt 2025</t>
  </si>
  <si>
    <t>Alumni auf NFL-Kadern Woche 1 2026</t>
  </si>
  <si>
    <t>NFL-Draft-Picks seit 1980</t>
  </si>
  <si>
    <t>Erstrunden-Picks seit 1980</t>
  </si>
  <si>
    <t>Pro-Bowler gedraftet seit 1980</t>
  </si>
  <si>
    <t>Hall-of-Famer gedraftet seit 1980</t>
  </si>
  <si>
    <t>Combine-Teilnehmer seit 2000</t>
  </si>
  <si>
    <t>Schnellster 40-Yard eines Alumni</t>
  </si>
  <si>
    <t>Anzahl Top-3-Ränge</t>
  </si>
  <si>
    <t>Anzahl Rang 1</t>
  </si>
  <si>
    <t>Einträge mit mind. 1 Top-3-Rang</t>
  </si>
  <si>
    <t>Einträge ohne Top-3-Rang</t>
  </si>
  <si>
    <t>Verschiedene Nr. 1 (Einträge mit mind. 1 Rang 1)</t>
  </si>
  <si>
    <t>#</t>
  </si>
  <si>
    <t>Kategorie</t>
  </si>
  <si>
    <t>Einheit</t>
  </si>
  <si>
    <t>Rang 1 =</t>
  </si>
  <si>
    <t>Wer gewinnt (Nr. 1)</t>
  </si>
  <si>
    <t>Datenqualität</t>
  </si>
  <si>
    <t>Mindestabstand im Spiel</t>
  </si>
  <si>
    <t>Zu nahe Paare</t>
  </si>
  <si>
    <t>Definition</t>
  </si>
  <si>
    <t>Quelle</t>
  </si>
  <si>
    <t>Hinweise</t>
  </si>
  <si>
    <t>Update-Plan</t>
  </si>
  <si>
    <t>Jahr</t>
  </si>
  <si>
    <t>älteste Uni</t>
  </si>
  <si>
    <t>hart</t>
  </si>
  <si>
    <t>≥ 3.0 Jahre</t>
  </si>
  <si>
    <t>Gründungsjahr der Universität.</t>
  </si>
  <si>
    <t>Wikipedia (Universitätsartikel)</t>
  </si>
  <si>
    <t>Georgia 1785 (älteste staatliche Uni der USA), Tennessee 1794, Michigan 1817. Drei Unis 1876 (Texas A&amp;M, Oregon, Colorado).</t>
  </si>
  <si>
    <t>Nie.</t>
  </si>
  <si>
    <t>Siege</t>
  </si>
  <si>
    <t>meiste</t>
  </si>
  <si>
    <t>≥ 20.0 Siege</t>
  </si>
  <si>
    <t>Alle offiziell anerkannten Siege (nach NCAA-Aberkennungen), Stand Ende Saison 2025 inkl. Bowls/CFP.</t>
  </si>
  <si>
    <t>Wikipedia 'NCAA Division I FBS football win–loss records' (Haupttabelle, Stand nach Saison 2025)</t>
  </si>
  <si>
    <t>Michigan 1'021 vor Ohio State 990. Achtung: Die Conference-Untertabellen derselben Wikipedia-Seite sind noch Stand 2024 – nur Haupttabelle verwenden.</t>
  </si>
  <si>
    <t>Jährlich im Januar.</t>
  </si>
  <si>
    <t>%</t>
  </si>
  <si>
    <t>höchste</t>
  </si>
  <si>
    <t>≥ 1 Prozentpunkt</t>
  </si>
  <si>
    <t>(Siege + ½ Unentschieden) / Spiele, NCAA-Zählweise, Stand Ende 2025.</t>
  </si>
  <si>
    <t>Formel aus Siege + Hilfsspalten Niederlagen/Unentschieden</t>
  </si>
  <si>
    <t>Ohio State .737, Alabama/Notre Dame .733, Michigan .732 – sehr eng an der Spitze (Paar-Check).</t>
  </si>
  <si>
    <t>Jährlich.</t>
  </si>
  <si>
    <t>Jahre</t>
  </si>
  <si>
    <t>längste Durststrecke</t>
  </si>
  <si>
    <t>Iowa Hawkeyes, Washington Huskies, Wisconsin Badgers</t>
  </si>
  <si>
    <t>Referenzjahr minus Saison des letzten AP-Poll-Nationaltitels (seit 1936); ohne AP-Titel: Jahre seit erster Football-Saison des Programms.</t>
  </si>
  <si>
    <t>Wikipedia 'List of NCAA Division I FBS football bowl records' (Spalte 'Last AP Championship') + Programmstart</t>
  </si>
  <si>
    <t>Formel aus Hilfsspalten. Coaches-Poll-Titel (Washington 1991, Iowa 1958) zählen nicht – AP als einheitliche Quelle (Regel 8).</t>
  </si>
  <si>
    <t>Jährlich im Januar (Referenzjahr + Titelsaison).</t>
  </si>
  <si>
    <t>Titel</t>
  </si>
  <si>
    <t>≥ 1.0 Titel</t>
  </si>
  <si>
    <t>Anzahl Nationaltitel im AP-Poll (seit 1936), inkl. Saison 2025.</t>
  </si>
  <si>
    <t>Wikipedia 'List of NCAA Division I FBS football bowl records' (Klammerwert bei 'Last AP Championship')</t>
  </si>
  <si>
    <t>Alabama 12, Notre Dame 8, Oklahoma 7. 10 Programme ohne AP-Titel – sparsam als Runde einsetzen. 'Claimed titles' bewusst nicht verwendet (widersprüchlich).</t>
  </si>
  <si>
    <t>Anzahl</t>
  </si>
  <si>
    <t>≥ 1.0 Sieger</t>
  </si>
  <si>
    <t>Anzahl Heisman-Trophy-Gewinner des Programms, inkl. 2025 (Fernando Mendoza, Indiana). USC 8 inkl. Reggie Bush (2005, 2024 wiedereingesetzt).</t>
  </si>
  <si>
    <t>Wikipedia 'Heisman Trophy' (Sieger nach Schule); NFL.com 13.12.2025 (Mendoza)</t>
  </si>
  <si>
    <t>12 Programme mit 0 – nur sparsam als Runde. Archie Griffin (Ohio State) zählt 2x.</t>
  </si>
  <si>
    <t>Jährlich im Dezember.</t>
  </si>
  <si>
    <t>≥ 2.0 Siege</t>
  </si>
  <si>
    <t>Siege in NCAA-sanktionierten Bowl-Spielen inkl. CFP-Spiele in Bowls, Stand nach Bowl-Saison 2025/26 (19.01.2026).</t>
  </si>
  <si>
    <t>Wikipedia 'List of NCAA Division I FBS football bowl records'</t>
  </si>
  <si>
    <t>Alabama 46. Bowl-Teilnahmen bewusst nicht als Attribut (stark korreliert, Regel 8).</t>
  </si>
  <si>
    <t>≥ 1.0 Teilnahmen</t>
  </si>
  <si>
    <t>Teilnahmen am College Football Playoff (2014–2025, 4er- und 12er-Format).</t>
  </si>
  <si>
    <t>Wikipedia 'List of NCAA Division I FBS football bowl records' (Spalte 'CFP Playoff Appearances')</t>
  </si>
  <si>
    <t>Alabama 8, Ohio State/Clemson 7. 9 Programme mit 0 – sparsam einsetzen.</t>
  </si>
  <si>
    <t>≥ 1.0 Siege</t>
  </si>
  <si>
    <t>Siege in der Saison 2025 inkl. Conference Championship, Bowl und CFP (Stand 19.01.2026).</t>
  </si>
  <si>
    <t>ESPN/ACC/Sports-Reference Conference-Standings 2025 (SEC, Big Ten, ACC, Big 12, MWC, Independent)</t>
  </si>
  <si>
    <t>Indiana 16-0 (Nationalmeister), Miami 13-3, Oregon 13-2, Ole Miss 13-2. Viele Gleichstände (9 Siege: 6 Teams).</t>
  </si>
  <si>
    <t>Plätze</t>
  </si>
  <si>
    <t>grösstes</t>
  </si>
  <si>
    <t>mittel</t>
  </si>
  <si>
    <t>≥ 1500.0 Plätze</t>
  </si>
  <si>
    <t>Offizielle Kapazität des Heimstadions Saison 2025/26.</t>
  </si>
  <si>
    <t>Wikipedia 'List of American football stadiums by capacity' / Stadionartikel</t>
  </si>
  <si>
    <t>Michigan 107'601, Penn State 106'304 (Umbau), Ohio State 102'780. Miami spielt im NFL-Stadion (65'326). Kapazitäten vor Livegang mit Stand 2026 prüfen.</t>
  </si>
  <si>
    <t>Jährlich vor Saisonstart.</t>
  </si>
  <si>
    <t>ältestes Stadion</t>
  </si>
  <si>
    <t>≥ 2.0 Jahre</t>
  </si>
  <si>
    <t>Eröffnungsjahr des Heimstadions (Erstnutzung).</t>
  </si>
  <si>
    <t>Wikipedia Stadionartikel</t>
  </si>
  <si>
    <t>Vaught-Hemingway (Ole Miss) 1915, Camp Randall 1917, Husky Stadium 1920. Jüngstes: Rice-Eccles 1998.</t>
  </si>
  <si>
    <t>Bei Stadionwechsel.</t>
  </si>
  <si>
    <t>Tsd.</t>
  </si>
  <si>
    <t>grösste Uni</t>
  </si>
  <si>
    <t>≥ 10 % Unterschied</t>
  </si>
  <si>
    <t>Gesamtzahl Studierende am Hauptcampus (Herbst 2024, auf Hundert gerundet).</t>
  </si>
  <si>
    <t>Wikipedia Universitätsartikel (Infobox 'Students')</t>
  </si>
  <si>
    <t>Arizona State (Tempe) und Texas A&amp;M ca. 80'000; Notre Dame und TCU ca. 13'000. Zählweise (Campus vs. Gesamtsystem) vor Livegang vereinheitlichen.</t>
  </si>
  <si>
    <t>Alle 2 Jahre.</t>
  </si>
  <si>
    <t>grösste Stadt</t>
  </si>
  <si>
    <t>Einwohner der Stadt, in der die Universität liegt (US Census, Schätzung 2023, auf Tausend gerundet). Miami = Coral Gables (Campus).</t>
  </si>
  <si>
    <t>Wikipedia Stadtartikel (US Census)</t>
  </si>
  <si>
    <t>Los Angeles 3,8 Mio. vs. Clemson 17'000 – analog 'Kantonseinwohner pro Team'. Census-Werte vor Livegang prüfen.</t>
  </si>
  <si>
    <t>Alle 2–3 Jahre.</t>
  </si>
  <si>
    <t>Spieler</t>
  </si>
  <si>
    <t>Ohio State Buckeyes, Texas A&amp;M Aggies</t>
  </si>
  <si>
    <t>≥ 1.0 Picks</t>
  </si>
  <si>
    <t>Anzahl Spieler des Programms, die im NFL Draft 2026 (7 Runden, 257 Picks) ausgewählt wurden (Schule laut Draft-Liste = letzte College-Station).</t>
  </si>
  <si>
    <t>AP/WTOP 'NFL Draft Selections 2026' (manuell ausgezählt)</t>
  </si>
  <si>
    <t>Ohio State und Texas A&amp;M je 11, Alabama 10. Wisconsin und Colorado 0. Zählung vor Livegang gegen NFL.com 'Draft by College' prüfen.</t>
  </si>
  <si>
    <t>Jährlich Ende April.</t>
  </si>
  <si>
    <t>Mio. USD</t>
  </si>
  <si>
    <t>bestbezahlter Trainer</t>
  </si>
  <si>
    <t>≥ 0.15 Mio. USD</t>
  </si>
  <si>
    <t>Gesamtvergütung (Total Pay) des Head Coaches in der Saison 2025 laut USA-Today-Gehaltsdatenbank; Trainername in Hilfsspalte. Private Unis (Notre Dame, USC, Miami, TCU) laut USA-Today-Schätzung aus Steuerformularen.</t>
  </si>
  <si>
    <t>USA Today Coaches Salaries 2025 (via SportsGrid/FootballScoop Okt. 2025); FSU: CBS; Texas Tech: SI</t>
  </si>
  <si>
    <t>Ersetzt 'Unentschieden all-time' (v1). Smart (Georgia) 13,3 vor Day (Ohio State) 12,6 und Riley (USC) 11,5; Boise State 2,0 am Ende. Acht Programme haben zur Saison 2026 den Trainer gewechselt (Anmerkung) – Beschriftung bewusst 'Saison 2025'. Vor Livegang mit USA-Today-Datenbank 2026 (erscheint Okt. 2026) aktualisieren.</t>
  </si>
  <si>
    <t>Jährlich im Oktober (USA-Today-Datenbank).</t>
  </si>
  <si>
    <t>meiste NFL-Profis</t>
  </si>
  <si>
    <t>≥ 2 Spieler</t>
  </si>
  <si>
    <t>Ehemalige Spieler des Programms auf aktiven NFL-Kadern (53-Mann) zum Kickoff der Saison 2026 (Woche 1, ohne Practice Squad).</t>
  </si>
  <si>
    <t>NFL.com/USA Today Kickoff-Auswertung 09.09.2026 (via sports.yahoo.com, saturdaytradition.com)</t>
  </si>
  <si>
    <t>Alabama 57 knapp vor Ohio State 56 und Georgia 52; Arizona State 6 am Ende. Korreliert nur schwach mit Draft-Picks 2026 (ein Jahrgang vs. ganze Liga). Zählzeitpunkt beeinflusst Werte um ±2 – Mindestabstand 2.</t>
  </si>
  <si>
    <t>Jährlich nach Woche 1.</t>
  </si>
  <si>
    <t>≥ 5.0 Spieler</t>
  </si>
  <si>
    <t>Anzahl Spieler des Programms, die in den NFL-Drafts 1980–2026 gezogen wurden.</t>
  </si>
  <si>
    <t>nflverse draft_picks / combine / rosters, Stand 25.09.2026</t>
  </si>
  <si>
    <t>Zuordnung über PFR-College-Feld; Spieler mit mehreren Colleges zählen beim letzten.</t>
  </si>
  <si>
    <t>Jährlich nach dem Draft.</t>
  </si>
  <si>
    <t>≥ 2.0 Spieler</t>
  </si>
  <si>
    <t>Anzahl Erstrunden-Picks des Programms in den NFL-Drafts 1980–2026.</t>
  </si>
  <si>
    <t>Zählwert → Gleichstände im Mittelfeld.</t>
  </si>
  <si>
    <t>Alumni aus den NFL-Drafts 1980–2026 mit mindestens einem Pro Bowl in der NFL-Karriere.</t>
  </si>
  <si>
    <t>Nur gedraftete Spieler; Undrafted Free Agents fehlen.</t>
  </si>
  <si>
    <t>≥ 1.0 Spieler</t>
  </si>
  <si>
    <t>Alumni aus den NFL-Drafts 1980–2026, die in der Pro Football Hall of Fame sind (PFR-Flag).</t>
  </si>
  <si>
    <t>Nur Drafts ab 1980 und nur gedraftete Spieler (Undrafted-HOFer wie Kurt Warner fehlen). Viele Gleichstände bei 0–2. Vor Livegang mit profootballhof.com abgleichen.</t>
  </si>
  <si>
    <t>Jährlich im Februar.</t>
  </si>
  <si>
    <t>Anzahl eingeladener Spieler zum NFL Scouting Combine 2000–2026.</t>
  </si>
  <si>
    <t>Guter Indikator für NFL-Pipeline unabhängig vom Draft-Erfolg.</t>
  </si>
  <si>
    <t>Jährlich im März.</t>
  </si>
  <si>
    <t>s</t>
  </si>
  <si>
    <t>schnellster</t>
  </si>
  <si>
    <t>≥ 0.02 s</t>
  </si>
  <si>
    <t>Beste offizielle 40-Yard-Zeit eines Programm-Alumni beim Combine seit 2000.</t>
  </si>
  <si>
    <t>32/32 mit Wert. Hundertstel-Raster → Gleichstände.</t>
  </si>
  <si>
    <t>Auswahl: 32 bekannteste FBS-Programme (Blue Bloods + aktuelle CFP-Teams 2025: Indiana, Miami, Ole Miss, Texas Tech, Oregon, Utah, Boise State). Stand 23.09.2026, Daten Ende Saison 2025 (CFP-Finale 19.01.2026: Indiana – Miami).</t>
  </si>
  <si>
    <t>Änderungen v2 → v3 (25.09.2026): 6 neue Kategorien aus nflverse (Draft-Picks und Erstrunden-Picks seit 1980, Pro-Bowler und Hall-of-Famer gedraftet seit 1980, Combine-Teilnehmer seit 2000, schnellster 40-Yard). Neue Hilfsspalte: Schulname in nflverse (für Script-Updates).</t>
  </si>
  <si>
    <t>Änderungen v1 → v2 (25.09.2026): 'Unentschieden all-time' gestrichen (zu viele Kleinstwerte, historisch bedeutungslos für die Zielgruppe). Neu: Cheftrainer-Gehalt 2025 und Alumni auf NFL-Kadern Woche 1 2026; Hilfsspalte Head Coach 2025.</t>
  </si>
  <si>
    <t>Erfolgsdaten (Siege, Siegquote, Bowl-Siege, CFP, AP-Titel, Heisman, Siege 2025, Draft 2026) sind quellenbelegt (Wikipedia-Listen, ESPN/Sports-Reference-Standings, AP-Draftliste). Stadion-, Studierenden- und Einwohnerzahlen aus Wikipedia-Artikeln – vor Livegang stichprobenartig prüfen (Qualität 'mittel').</t>
  </si>
  <si>
    <t>Bewusst weggelassen: Bowl-Teilnahmen (korreliert mit Bowl-Siegen), 'claimed' Nationaltitel (widersprüchliche Zählweisen), Conference-Titel (Conference-Wechsel machen Vergleich schief), Consensus All-Americans (korreliert mit Titeln), Höhe ü. M. (zu viele Gleichstände).</t>
  </si>
  <si>
    <t>Drei Attribute mit vielen Nullen (AP-Titel, Heisman, CFP-Teilnahmen) – höchstens eines davon pro Spielrunde.</t>
  </si>
  <si>
    <t>Mindestabstand: siehe Blatt 'Paar-Check'.</t>
  </si>
  <si>
    <t>Vor Livegang prüfen (v2): Trainergehälter privater Unis (Schätzwerte), Texas Tech (Sekundärquelle), Alumni-Zählung (Kickoff-Stand, ohne Practice Squad), sowie weiterhin Stadion-/Studierenden-/Einwohnerzahlen.</t>
  </si>
  <si>
    <t>Programm A</t>
  </si>
  <si>
    <t>Wert A</t>
  </si>
  <si>
    <t>Programm B</t>
  </si>
  <si>
    <t>Wert B</t>
  </si>
  <si>
    <t>Differenz</t>
  </si>
  <si>
    <t>Gleichstand?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</si>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</sst>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/>
    <xf numFmtId="2" fontId="3" fillId="0" borderId="1" xfId="0" applyNumberFormat="1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6" customWidth="1"/>
    <col min="2" max="23" width="15" customWidth="1"/>
    <col min="24" max="24" width="13" customWidth="1"/>
    <col min="30" max="30" width="15" customWidth="1"/>
    <col min="31" max="31" width="60" customWidth="1"/>
  </cols>
  <sheetData>
    <row r="1" spans="1:31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</row>
    <row r="2" spans="1:31" ht="22.35" customHeight="1" x14ac:dyDescent="0.3">
      <c r="A2" s="3" t="s">
        <v>31</v>
      </c>
      <c r="B2" s="4">
        <v>1870</v>
      </c>
      <c r="C2" s="4">
        <v>990</v>
      </c>
      <c r="D2" s="5">
        <f t="shared" ref="D2:D33" si="0">ROUND((C2+0.5*Y2)/(C2+X2+Y2),3)</f>
        <v>0.73699999999999999</v>
      </c>
      <c r="E2" s="4">
        <f t="shared" ref="E2:E33" si="1">$B$35-IF(Z2="",AA2,Z2)</f>
        <v>2</v>
      </c>
      <c r="F2" s="4">
        <v>6</v>
      </c>
      <c r="G2" s="4">
        <v>7</v>
      </c>
      <c r="H2" s="4">
        <v>30</v>
      </c>
      <c r="I2" s="4">
        <v>7</v>
      </c>
      <c r="J2" s="4">
        <v>12</v>
      </c>
      <c r="K2" s="4">
        <v>102780</v>
      </c>
      <c r="L2" s="4">
        <v>1922</v>
      </c>
      <c r="M2" s="6">
        <v>61.7</v>
      </c>
      <c r="N2" s="4">
        <v>913</v>
      </c>
      <c r="O2" s="4">
        <v>11</v>
      </c>
      <c r="P2" s="5">
        <v>12.574999999999999</v>
      </c>
      <c r="Q2" s="4">
        <v>56</v>
      </c>
      <c r="R2" s="4">
        <v>284</v>
      </c>
      <c r="S2" s="4">
        <v>69</v>
      </c>
      <c r="T2" s="4">
        <v>40</v>
      </c>
      <c r="U2" s="4">
        <v>1</v>
      </c>
      <c r="V2" s="4">
        <v>228</v>
      </c>
      <c r="W2" s="15">
        <v>4.2699999999999996</v>
      </c>
      <c r="X2" s="7">
        <v>337</v>
      </c>
      <c r="Y2" s="7">
        <v>53</v>
      </c>
      <c r="Z2" s="7">
        <v>2024</v>
      </c>
      <c r="AA2" s="7">
        <v>1890</v>
      </c>
      <c r="AB2" s="7" t="s">
        <v>32</v>
      </c>
      <c r="AC2" s="7" t="s">
        <v>33</v>
      </c>
      <c r="AD2" s="7" t="s">
        <v>34</v>
      </c>
      <c r="AE2" s="8" t="s">
        <v>35</v>
      </c>
    </row>
    <row r="3" spans="1:31" ht="15" customHeight="1" x14ac:dyDescent="0.3">
      <c r="A3" s="3" t="s">
        <v>36</v>
      </c>
      <c r="B3" s="4">
        <v>1831</v>
      </c>
      <c r="C3" s="4">
        <v>985</v>
      </c>
      <c r="D3" s="5">
        <f t="shared" si="0"/>
        <v>0.73299999999999998</v>
      </c>
      <c r="E3" s="4">
        <f t="shared" si="1"/>
        <v>6</v>
      </c>
      <c r="F3" s="4">
        <v>12</v>
      </c>
      <c r="G3" s="4">
        <v>4</v>
      </c>
      <c r="H3" s="4">
        <v>46</v>
      </c>
      <c r="I3" s="4">
        <v>8</v>
      </c>
      <c r="J3" s="4">
        <v>11</v>
      </c>
      <c r="K3" s="4">
        <v>100077</v>
      </c>
      <c r="L3" s="4">
        <v>1929</v>
      </c>
      <c r="M3" s="6">
        <v>40.799999999999997</v>
      </c>
      <c r="N3" s="4">
        <v>111</v>
      </c>
      <c r="O3" s="4">
        <v>10</v>
      </c>
      <c r="P3" s="5">
        <v>10.25</v>
      </c>
      <c r="Q3" s="4">
        <v>57</v>
      </c>
      <c r="R3" s="4">
        <v>263</v>
      </c>
      <c r="S3" s="4">
        <v>67</v>
      </c>
      <c r="T3" s="4">
        <v>39</v>
      </c>
      <c r="U3" s="4">
        <v>2</v>
      </c>
      <c r="V3" s="4">
        <v>222</v>
      </c>
      <c r="W3" s="15">
        <v>4.2699999999999996</v>
      </c>
      <c r="X3" s="7">
        <v>345</v>
      </c>
      <c r="Y3" s="7">
        <v>43</v>
      </c>
      <c r="Z3" s="7">
        <v>2020</v>
      </c>
      <c r="AA3" s="7">
        <v>1892</v>
      </c>
      <c r="AB3" s="7" t="s">
        <v>37</v>
      </c>
      <c r="AC3" s="7" t="s">
        <v>38</v>
      </c>
      <c r="AD3" s="7" t="s">
        <v>39</v>
      </c>
      <c r="AE3" s="8" t="s">
        <v>40</v>
      </c>
    </row>
    <row r="4" spans="1:31" ht="22.35" customHeight="1" x14ac:dyDescent="0.3">
      <c r="A4" s="3" t="s">
        <v>41</v>
      </c>
      <c r="B4" s="4">
        <v>1842</v>
      </c>
      <c r="C4" s="4">
        <v>972</v>
      </c>
      <c r="D4" s="5">
        <f t="shared" si="0"/>
        <v>0.73299999999999998</v>
      </c>
      <c r="E4" s="4">
        <f t="shared" si="1"/>
        <v>38</v>
      </c>
      <c r="F4" s="4">
        <v>8</v>
      </c>
      <c r="G4" s="4">
        <v>7</v>
      </c>
      <c r="H4" s="4">
        <v>23</v>
      </c>
      <c r="I4" s="4">
        <v>3</v>
      </c>
      <c r="J4" s="4">
        <v>10</v>
      </c>
      <c r="K4" s="4">
        <v>77622</v>
      </c>
      <c r="L4" s="4">
        <v>1930</v>
      </c>
      <c r="M4" s="6">
        <v>13.2</v>
      </c>
      <c r="N4" s="4">
        <v>103</v>
      </c>
      <c r="O4" s="4">
        <v>5</v>
      </c>
      <c r="P4" s="5">
        <v>7.4210000000000003</v>
      </c>
      <c r="Q4" s="4">
        <v>41</v>
      </c>
      <c r="R4" s="4">
        <v>241</v>
      </c>
      <c r="S4" s="4">
        <v>33</v>
      </c>
      <c r="T4" s="4">
        <v>31</v>
      </c>
      <c r="U4" s="4">
        <v>3</v>
      </c>
      <c r="V4" s="4">
        <v>168</v>
      </c>
      <c r="W4" s="15">
        <v>4.32</v>
      </c>
      <c r="X4" s="7">
        <v>341</v>
      </c>
      <c r="Y4" s="7">
        <v>42</v>
      </c>
      <c r="Z4" s="7">
        <v>1988</v>
      </c>
      <c r="AA4" s="7">
        <v>1887</v>
      </c>
      <c r="AB4" s="7" t="s">
        <v>42</v>
      </c>
      <c r="AC4" s="7" t="s">
        <v>43</v>
      </c>
      <c r="AD4" s="7" t="s">
        <v>44</v>
      </c>
      <c r="AE4" s="8" t="s">
        <v>45</v>
      </c>
    </row>
    <row r="5" spans="1:31" ht="32.85" customHeight="1" x14ac:dyDescent="0.3">
      <c r="A5" s="3" t="s">
        <v>46</v>
      </c>
      <c r="B5" s="4">
        <v>1817</v>
      </c>
      <c r="C5" s="4">
        <v>1021</v>
      </c>
      <c r="D5" s="5">
        <f t="shared" si="0"/>
        <v>0.73199999999999998</v>
      </c>
      <c r="E5" s="4">
        <f t="shared" si="1"/>
        <v>3</v>
      </c>
      <c r="F5" s="4">
        <v>3</v>
      </c>
      <c r="G5" s="4">
        <v>3</v>
      </c>
      <c r="H5" s="4">
        <v>24</v>
      </c>
      <c r="I5" s="4">
        <v>3</v>
      </c>
      <c r="J5" s="4">
        <v>9</v>
      </c>
      <c r="K5" s="4">
        <v>107601</v>
      </c>
      <c r="L5" s="4">
        <v>1927</v>
      </c>
      <c r="M5" s="6">
        <v>52.9</v>
      </c>
      <c r="N5" s="4">
        <v>122</v>
      </c>
      <c r="O5" s="4">
        <v>5</v>
      </c>
      <c r="P5" s="5">
        <v>6.11</v>
      </c>
      <c r="Q5" s="4">
        <v>40</v>
      </c>
      <c r="R5" s="4">
        <v>231</v>
      </c>
      <c r="S5" s="4">
        <v>37</v>
      </c>
      <c r="T5" s="4">
        <v>26</v>
      </c>
      <c r="U5" s="4">
        <v>3</v>
      </c>
      <c r="V5" s="4">
        <v>165</v>
      </c>
      <c r="W5" s="15">
        <v>4.26</v>
      </c>
      <c r="X5" s="7">
        <v>362</v>
      </c>
      <c r="Y5" s="7">
        <v>36</v>
      </c>
      <c r="Z5" s="7">
        <v>2023</v>
      </c>
      <c r="AA5" s="7">
        <v>1879</v>
      </c>
      <c r="AB5" s="7" t="s">
        <v>47</v>
      </c>
      <c r="AC5" s="7" t="s">
        <v>48</v>
      </c>
      <c r="AD5" s="7" t="s">
        <v>49</v>
      </c>
      <c r="AE5" s="8" t="s">
        <v>50</v>
      </c>
    </row>
    <row r="6" spans="1:31" ht="22.35" customHeight="1" x14ac:dyDescent="0.3">
      <c r="A6" s="3" t="s">
        <v>51</v>
      </c>
      <c r="B6" s="4">
        <v>1932</v>
      </c>
      <c r="C6" s="4">
        <v>511</v>
      </c>
      <c r="D6" s="5">
        <f t="shared" si="0"/>
        <v>0.72399999999999998</v>
      </c>
      <c r="E6" s="4">
        <f t="shared" si="1"/>
        <v>58</v>
      </c>
      <c r="F6" s="4">
        <v>0</v>
      </c>
      <c r="G6" s="4">
        <v>0</v>
      </c>
      <c r="H6" s="4">
        <v>13</v>
      </c>
      <c r="I6" s="4">
        <v>1</v>
      </c>
      <c r="J6" s="4">
        <v>9</v>
      </c>
      <c r="K6" s="4">
        <v>36387</v>
      </c>
      <c r="L6" s="4">
        <v>1970</v>
      </c>
      <c r="M6" s="6">
        <v>25.8</v>
      </c>
      <c r="N6" s="4">
        <v>236</v>
      </c>
      <c r="O6" s="4">
        <v>1</v>
      </c>
      <c r="P6" s="5">
        <v>2.0009999999999999</v>
      </c>
      <c r="Q6" s="4">
        <v>9</v>
      </c>
      <c r="R6" s="4">
        <v>59</v>
      </c>
      <c r="S6" s="4">
        <v>6</v>
      </c>
      <c r="T6" s="4">
        <v>6</v>
      </c>
      <c r="U6" s="4">
        <v>0</v>
      </c>
      <c r="V6" s="4">
        <v>63</v>
      </c>
      <c r="W6" s="15">
        <v>4.32</v>
      </c>
      <c r="X6" s="7">
        <v>194</v>
      </c>
      <c r="Y6" s="7">
        <v>2</v>
      </c>
      <c r="Z6" s="7"/>
      <c r="AA6" s="7">
        <v>1968</v>
      </c>
      <c r="AB6" s="7" t="s">
        <v>52</v>
      </c>
      <c r="AC6" s="7" t="s">
        <v>53</v>
      </c>
      <c r="AD6" s="7" t="s">
        <v>54</v>
      </c>
      <c r="AE6" s="8" t="s">
        <v>55</v>
      </c>
    </row>
    <row r="7" spans="1:31" ht="22.35" customHeight="1" x14ac:dyDescent="0.3">
      <c r="A7" s="3" t="s">
        <v>56</v>
      </c>
      <c r="B7" s="4">
        <v>1890</v>
      </c>
      <c r="C7" s="4">
        <v>960</v>
      </c>
      <c r="D7" s="5">
        <f t="shared" si="0"/>
        <v>0.72299999999999998</v>
      </c>
      <c r="E7" s="4">
        <f t="shared" si="1"/>
        <v>26</v>
      </c>
      <c r="F7" s="4">
        <v>7</v>
      </c>
      <c r="G7" s="4">
        <v>7</v>
      </c>
      <c r="H7" s="4">
        <v>31</v>
      </c>
      <c r="I7" s="4">
        <v>5</v>
      </c>
      <c r="J7" s="4">
        <v>10</v>
      </c>
      <c r="K7" s="4">
        <v>80126</v>
      </c>
      <c r="L7" s="4">
        <v>1923</v>
      </c>
      <c r="M7" s="6">
        <v>32</v>
      </c>
      <c r="N7" s="4">
        <v>131</v>
      </c>
      <c r="O7" s="4">
        <v>5</v>
      </c>
      <c r="P7" s="5">
        <v>7.5529999999999999</v>
      </c>
      <c r="Q7" s="4">
        <v>32</v>
      </c>
      <c r="R7" s="4">
        <v>224</v>
      </c>
      <c r="S7" s="4">
        <v>31</v>
      </c>
      <c r="T7" s="4">
        <v>24</v>
      </c>
      <c r="U7" s="4">
        <v>0</v>
      </c>
      <c r="V7" s="4">
        <v>170</v>
      </c>
      <c r="W7" s="15">
        <v>4.3</v>
      </c>
      <c r="X7" s="7">
        <v>351</v>
      </c>
      <c r="Y7" s="7">
        <v>53</v>
      </c>
      <c r="Z7" s="7">
        <v>2000</v>
      </c>
      <c r="AA7" s="7">
        <v>1895</v>
      </c>
      <c r="AB7" s="7" t="s">
        <v>57</v>
      </c>
      <c r="AC7" s="7" t="s">
        <v>58</v>
      </c>
      <c r="AD7" s="7" t="s">
        <v>59</v>
      </c>
      <c r="AE7" s="8" t="s">
        <v>60</v>
      </c>
    </row>
    <row r="8" spans="1:31" ht="15" customHeight="1" x14ac:dyDescent="0.3">
      <c r="A8" s="3" t="s">
        <v>61</v>
      </c>
      <c r="B8" s="4">
        <v>1883</v>
      </c>
      <c r="C8" s="4">
        <v>972</v>
      </c>
      <c r="D8" s="5">
        <f t="shared" si="0"/>
        <v>0.70499999999999996</v>
      </c>
      <c r="E8" s="4">
        <f t="shared" si="1"/>
        <v>21</v>
      </c>
      <c r="F8" s="4">
        <v>3</v>
      </c>
      <c r="G8" s="4">
        <v>2</v>
      </c>
      <c r="H8" s="4">
        <v>34</v>
      </c>
      <c r="I8" s="4">
        <v>2</v>
      </c>
      <c r="J8" s="4">
        <v>10</v>
      </c>
      <c r="K8" s="4">
        <v>100119</v>
      </c>
      <c r="L8" s="4">
        <v>1924</v>
      </c>
      <c r="M8" s="6">
        <v>53.1</v>
      </c>
      <c r="N8" s="4">
        <v>980</v>
      </c>
      <c r="O8" s="4">
        <v>6</v>
      </c>
      <c r="P8" s="5">
        <v>10.8</v>
      </c>
      <c r="Q8" s="4">
        <v>42</v>
      </c>
      <c r="R8" s="4">
        <v>206</v>
      </c>
      <c r="S8" s="4">
        <v>34</v>
      </c>
      <c r="T8" s="4">
        <v>22</v>
      </c>
      <c r="U8" s="4">
        <v>1</v>
      </c>
      <c r="V8" s="4">
        <v>146</v>
      </c>
      <c r="W8" s="15">
        <v>4.21</v>
      </c>
      <c r="X8" s="7">
        <v>397</v>
      </c>
      <c r="Y8" s="7">
        <v>33</v>
      </c>
      <c r="Z8" s="7">
        <v>2005</v>
      </c>
      <c r="AA8" s="7">
        <v>1893</v>
      </c>
      <c r="AB8" s="7" t="s">
        <v>62</v>
      </c>
      <c r="AC8" s="7" t="s">
        <v>63</v>
      </c>
      <c r="AD8" s="7" t="s">
        <v>64</v>
      </c>
      <c r="AE8" s="8" t="s">
        <v>65</v>
      </c>
    </row>
    <row r="9" spans="1:31" ht="22.35" customHeight="1" x14ac:dyDescent="0.3">
      <c r="A9" s="3" t="s">
        <v>66</v>
      </c>
      <c r="B9" s="4">
        <v>1880</v>
      </c>
      <c r="C9" s="4">
        <v>886</v>
      </c>
      <c r="D9" s="5">
        <f t="shared" si="0"/>
        <v>0.69399999999999995</v>
      </c>
      <c r="E9" s="4">
        <f t="shared" si="1"/>
        <v>22</v>
      </c>
      <c r="F9" s="4">
        <v>5</v>
      </c>
      <c r="G9" s="4">
        <v>8</v>
      </c>
      <c r="H9" s="4">
        <v>36</v>
      </c>
      <c r="I9" s="4">
        <v>0</v>
      </c>
      <c r="J9" s="4">
        <v>9</v>
      </c>
      <c r="K9" s="4">
        <v>77500</v>
      </c>
      <c r="L9" s="4">
        <v>1923</v>
      </c>
      <c r="M9" s="6">
        <v>49</v>
      </c>
      <c r="N9" s="4">
        <v>3821</v>
      </c>
      <c r="O9" s="4">
        <v>3</v>
      </c>
      <c r="P9" s="5">
        <v>11.538</v>
      </c>
      <c r="Q9" s="4">
        <v>27</v>
      </c>
      <c r="R9" s="4">
        <v>252</v>
      </c>
      <c r="S9" s="4">
        <v>56</v>
      </c>
      <c r="T9" s="4">
        <v>40</v>
      </c>
      <c r="U9" s="4">
        <v>7</v>
      </c>
      <c r="V9" s="4">
        <v>178</v>
      </c>
      <c r="W9" s="15">
        <v>4.3099999999999996</v>
      </c>
      <c r="X9" s="7">
        <v>375</v>
      </c>
      <c r="Y9" s="7">
        <v>54</v>
      </c>
      <c r="Z9" s="7">
        <v>2004</v>
      </c>
      <c r="AA9" s="7">
        <v>1888</v>
      </c>
      <c r="AB9" s="7" t="s">
        <v>67</v>
      </c>
      <c r="AC9" s="7" t="s">
        <v>68</v>
      </c>
      <c r="AD9" s="7" t="s">
        <v>69</v>
      </c>
      <c r="AE9" s="8" t="s">
        <v>70</v>
      </c>
    </row>
    <row r="10" spans="1:31" ht="43.2" customHeight="1" x14ac:dyDescent="0.3">
      <c r="A10" s="3" t="s">
        <v>71</v>
      </c>
      <c r="B10" s="4">
        <v>1855</v>
      </c>
      <c r="C10" s="4">
        <v>946</v>
      </c>
      <c r="D10" s="5">
        <f t="shared" si="0"/>
        <v>0.69099999999999995</v>
      </c>
      <c r="E10" s="4">
        <f t="shared" si="1"/>
        <v>40</v>
      </c>
      <c r="F10" s="4">
        <v>2</v>
      </c>
      <c r="G10" s="4">
        <v>1</v>
      </c>
      <c r="H10" s="4">
        <v>34</v>
      </c>
      <c r="I10" s="4">
        <v>1</v>
      </c>
      <c r="J10" s="4">
        <v>7</v>
      </c>
      <c r="K10" s="4">
        <v>106304</v>
      </c>
      <c r="L10" s="4">
        <v>1960</v>
      </c>
      <c r="M10" s="6">
        <v>48.5</v>
      </c>
      <c r="N10" s="4">
        <v>40</v>
      </c>
      <c r="O10" s="4">
        <v>8</v>
      </c>
      <c r="P10" s="5">
        <v>8.5</v>
      </c>
      <c r="Q10" s="4">
        <v>36</v>
      </c>
      <c r="R10" s="4">
        <v>248</v>
      </c>
      <c r="S10" s="4">
        <v>36</v>
      </c>
      <c r="T10" s="4">
        <v>27</v>
      </c>
      <c r="U10" s="4">
        <v>1</v>
      </c>
      <c r="V10" s="4">
        <v>148</v>
      </c>
      <c r="W10" s="15">
        <v>4.3099999999999996</v>
      </c>
      <c r="X10" s="7">
        <v>412</v>
      </c>
      <c r="Y10" s="7">
        <v>41</v>
      </c>
      <c r="Z10" s="7">
        <v>1986</v>
      </c>
      <c r="AA10" s="7">
        <v>1887</v>
      </c>
      <c r="AB10" s="7" t="s">
        <v>72</v>
      </c>
      <c r="AC10" s="7" t="s">
        <v>73</v>
      </c>
      <c r="AD10" s="7" t="s">
        <v>74</v>
      </c>
      <c r="AE10" s="8" t="s">
        <v>75</v>
      </c>
    </row>
    <row r="11" spans="1:31" ht="15" customHeight="1" x14ac:dyDescent="0.3">
      <c r="A11" s="3" t="s">
        <v>76</v>
      </c>
      <c r="B11" s="4">
        <v>1869</v>
      </c>
      <c r="C11" s="4">
        <v>927</v>
      </c>
      <c r="D11" s="5">
        <f t="shared" si="0"/>
        <v>0.67800000000000005</v>
      </c>
      <c r="E11" s="4">
        <f t="shared" si="1"/>
        <v>31</v>
      </c>
      <c r="F11" s="4">
        <v>4</v>
      </c>
      <c r="G11" s="4">
        <v>3</v>
      </c>
      <c r="H11" s="4">
        <v>27</v>
      </c>
      <c r="I11" s="4">
        <v>0</v>
      </c>
      <c r="J11" s="4">
        <v>7</v>
      </c>
      <c r="K11" s="4">
        <v>85458</v>
      </c>
      <c r="L11" s="4">
        <v>1923</v>
      </c>
      <c r="M11" s="6">
        <v>24</v>
      </c>
      <c r="N11" s="4">
        <v>295</v>
      </c>
      <c r="O11" s="4">
        <v>1</v>
      </c>
      <c r="P11" s="5">
        <v>8.5</v>
      </c>
      <c r="Q11" s="4">
        <v>7</v>
      </c>
      <c r="R11" s="4">
        <v>203</v>
      </c>
      <c r="S11" s="4">
        <v>20</v>
      </c>
      <c r="T11" s="4">
        <v>17</v>
      </c>
      <c r="U11" s="4">
        <v>2</v>
      </c>
      <c r="V11" s="4">
        <v>109</v>
      </c>
      <c r="W11" s="15">
        <v>4.29</v>
      </c>
      <c r="X11" s="7">
        <v>430</v>
      </c>
      <c r="Y11" s="7">
        <v>40</v>
      </c>
      <c r="Z11" s="7">
        <v>1995</v>
      </c>
      <c r="AA11" s="7">
        <v>1890</v>
      </c>
      <c r="AB11" s="7" t="s">
        <v>77</v>
      </c>
      <c r="AC11" s="7" t="s">
        <v>78</v>
      </c>
      <c r="AD11" s="7" t="s">
        <v>79</v>
      </c>
      <c r="AE11" s="8" t="s">
        <v>80</v>
      </c>
    </row>
    <row r="12" spans="1:31" ht="22.35" customHeight="1" x14ac:dyDescent="0.3">
      <c r="A12" s="3" t="s">
        <v>81</v>
      </c>
      <c r="B12" s="4">
        <v>1794</v>
      </c>
      <c r="C12" s="4">
        <v>877</v>
      </c>
      <c r="D12" s="5">
        <f t="shared" si="0"/>
        <v>0.67</v>
      </c>
      <c r="E12" s="4">
        <f t="shared" si="1"/>
        <v>28</v>
      </c>
      <c r="F12" s="4">
        <v>2</v>
      </c>
      <c r="G12" s="4">
        <v>0</v>
      </c>
      <c r="H12" s="4">
        <v>31</v>
      </c>
      <c r="I12" s="4">
        <v>1</v>
      </c>
      <c r="J12" s="4">
        <v>8</v>
      </c>
      <c r="K12" s="4">
        <v>101915</v>
      </c>
      <c r="L12" s="4">
        <v>1921</v>
      </c>
      <c r="M12" s="6">
        <v>38.700000000000003</v>
      </c>
      <c r="N12" s="4">
        <v>198</v>
      </c>
      <c r="O12" s="4">
        <v>5</v>
      </c>
      <c r="P12" s="5">
        <v>9</v>
      </c>
      <c r="Q12" s="4">
        <v>21</v>
      </c>
      <c r="R12" s="4">
        <v>214</v>
      </c>
      <c r="S12" s="4">
        <v>38</v>
      </c>
      <c r="T12" s="4">
        <v>27</v>
      </c>
      <c r="U12" s="4">
        <v>1</v>
      </c>
      <c r="V12" s="4">
        <v>141</v>
      </c>
      <c r="W12" s="15">
        <v>4.22</v>
      </c>
      <c r="X12" s="7">
        <v>418</v>
      </c>
      <c r="Y12" s="7">
        <v>53</v>
      </c>
      <c r="Z12" s="7">
        <v>1998</v>
      </c>
      <c r="AA12" s="7">
        <v>1891</v>
      </c>
      <c r="AB12" s="7" t="s">
        <v>82</v>
      </c>
      <c r="AC12" s="7" t="s">
        <v>83</v>
      </c>
      <c r="AD12" s="7" t="s">
        <v>84</v>
      </c>
      <c r="AE12" s="8" t="s">
        <v>85</v>
      </c>
    </row>
    <row r="13" spans="1:31" ht="22.35" customHeight="1" x14ac:dyDescent="0.3">
      <c r="A13" s="3" t="s">
        <v>86</v>
      </c>
      <c r="B13" s="4">
        <v>1785</v>
      </c>
      <c r="C13" s="4">
        <v>895</v>
      </c>
      <c r="D13" s="5">
        <f t="shared" si="0"/>
        <v>0.66800000000000004</v>
      </c>
      <c r="E13" s="4">
        <f t="shared" si="1"/>
        <v>4</v>
      </c>
      <c r="F13" s="4">
        <v>3</v>
      </c>
      <c r="G13" s="4">
        <v>2</v>
      </c>
      <c r="H13" s="4">
        <v>38</v>
      </c>
      <c r="I13" s="4">
        <v>5</v>
      </c>
      <c r="J13" s="4">
        <v>12</v>
      </c>
      <c r="K13" s="4">
        <v>93033</v>
      </c>
      <c r="L13" s="4">
        <v>1929</v>
      </c>
      <c r="M13" s="6">
        <v>41.6</v>
      </c>
      <c r="N13" s="4">
        <v>129</v>
      </c>
      <c r="O13" s="4">
        <v>8</v>
      </c>
      <c r="P13" s="5">
        <v>13.282999999999999</v>
      </c>
      <c r="Q13" s="4">
        <v>52</v>
      </c>
      <c r="R13" s="4">
        <v>242</v>
      </c>
      <c r="S13" s="4">
        <v>45</v>
      </c>
      <c r="T13" s="4">
        <v>33</v>
      </c>
      <c r="U13" s="4">
        <v>3</v>
      </c>
      <c r="V13" s="4">
        <v>210</v>
      </c>
      <c r="W13" s="15">
        <v>4.3099999999999996</v>
      </c>
      <c r="X13" s="7">
        <v>432</v>
      </c>
      <c r="Y13" s="7">
        <v>54</v>
      </c>
      <c r="Z13" s="7">
        <v>2022</v>
      </c>
      <c r="AA13" s="7">
        <v>1892</v>
      </c>
      <c r="AB13" s="7" t="s">
        <v>87</v>
      </c>
      <c r="AC13" s="7" t="s">
        <v>88</v>
      </c>
      <c r="AD13" s="7" t="s">
        <v>89</v>
      </c>
      <c r="AE13" s="8" t="s">
        <v>90</v>
      </c>
    </row>
    <row r="14" spans="1:31" ht="22.35" customHeight="1" x14ac:dyDescent="0.3">
      <c r="A14" s="3" t="s">
        <v>91</v>
      </c>
      <c r="B14" s="4">
        <v>1851</v>
      </c>
      <c r="C14" s="4">
        <v>585</v>
      </c>
      <c r="D14" s="5">
        <f t="shared" si="0"/>
        <v>0.66500000000000004</v>
      </c>
      <c r="E14" s="4">
        <f t="shared" si="1"/>
        <v>13</v>
      </c>
      <c r="F14" s="4">
        <v>3</v>
      </c>
      <c r="G14" s="4">
        <v>3</v>
      </c>
      <c r="H14" s="4">
        <v>29</v>
      </c>
      <c r="I14" s="4">
        <v>1</v>
      </c>
      <c r="J14" s="4">
        <v>5</v>
      </c>
      <c r="K14" s="4">
        <v>79560</v>
      </c>
      <c r="L14" s="4">
        <v>1950</v>
      </c>
      <c r="M14" s="6">
        <v>44.2</v>
      </c>
      <c r="N14" s="4">
        <v>202</v>
      </c>
      <c r="O14" s="4">
        <v>1</v>
      </c>
      <c r="P14" s="5">
        <v>5.65</v>
      </c>
      <c r="Q14" s="4">
        <v>19</v>
      </c>
      <c r="R14" s="4">
        <v>227</v>
      </c>
      <c r="S14" s="4">
        <v>44</v>
      </c>
      <c r="T14" s="4">
        <v>34</v>
      </c>
      <c r="U14" s="4">
        <v>4</v>
      </c>
      <c r="V14" s="4">
        <v>176</v>
      </c>
      <c r="W14" s="15">
        <v>4.34</v>
      </c>
      <c r="X14" s="7">
        <v>291</v>
      </c>
      <c r="Y14" s="7">
        <v>17</v>
      </c>
      <c r="Z14" s="7">
        <v>2013</v>
      </c>
      <c r="AA14" s="7">
        <v>1947</v>
      </c>
      <c r="AB14" s="7" t="s">
        <v>92</v>
      </c>
      <c r="AC14" s="7" t="s">
        <v>93</v>
      </c>
      <c r="AD14" s="7" t="s">
        <v>94</v>
      </c>
      <c r="AE14" s="8" t="s">
        <v>95</v>
      </c>
    </row>
    <row r="15" spans="1:31" ht="22.35" customHeight="1" x14ac:dyDescent="0.3">
      <c r="A15" s="3" t="s">
        <v>96</v>
      </c>
      <c r="B15" s="4">
        <v>1860</v>
      </c>
      <c r="C15" s="4">
        <v>818</v>
      </c>
      <c r="D15" s="5">
        <f t="shared" si="0"/>
        <v>0.64600000000000002</v>
      </c>
      <c r="E15" s="4">
        <f t="shared" si="1"/>
        <v>7</v>
      </c>
      <c r="F15" s="4">
        <v>3</v>
      </c>
      <c r="G15" s="4">
        <v>2</v>
      </c>
      <c r="H15" s="4">
        <v>31</v>
      </c>
      <c r="I15" s="4">
        <v>1</v>
      </c>
      <c r="J15" s="4">
        <v>7</v>
      </c>
      <c r="K15" s="4">
        <v>102321</v>
      </c>
      <c r="L15" s="4">
        <v>1924</v>
      </c>
      <c r="M15" s="6">
        <v>40</v>
      </c>
      <c r="N15" s="4">
        <v>220</v>
      </c>
      <c r="O15" s="4">
        <v>7</v>
      </c>
      <c r="P15" s="5">
        <v>10.175000000000001</v>
      </c>
      <c r="Q15" s="4">
        <v>44</v>
      </c>
      <c r="R15" s="4">
        <v>244</v>
      </c>
      <c r="S15" s="4">
        <v>38</v>
      </c>
      <c r="T15" s="4">
        <v>35</v>
      </c>
      <c r="U15" s="4">
        <v>2</v>
      </c>
      <c r="V15" s="4">
        <v>215</v>
      </c>
      <c r="W15" s="15">
        <v>4.28</v>
      </c>
      <c r="X15" s="7">
        <v>438</v>
      </c>
      <c r="Y15" s="7">
        <v>47</v>
      </c>
      <c r="Z15" s="7">
        <v>2019</v>
      </c>
      <c r="AA15" s="7">
        <v>1893</v>
      </c>
      <c r="AB15" s="7" t="s">
        <v>97</v>
      </c>
      <c r="AC15" s="7" t="s">
        <v>98</v>
      </c>
      <c r="AD15" s="7" t="s">
        <v>99</v>
      </c>
      <c r="AE15" s="8" t="s">
        <v>100</v>
      </c>
    </row>
    <row r="16" spans="1:31" ht="22.35" customHeight="1" x14ac:dyDescent="0.3">
      <c r="A16" s="3" t="s">
        <v>101</v>
      </c>
      <c r="B16" s="4">
        <v>1925</v>
      </c>
      <c r="C16" s="4">
        <v>676</v>
      </c>
      <c r="D16" s="5">
        <f t="shared" si="0"/>
        <v>0.63100000000000001</v>
      </c>
      <c r="E16" s="4">
        <f t="shared" si="1"/>
        <v>25</v>
      </c>
      <c r="F16" s="4">
        <v>5</v>
      </c>
      <c r="G16" s="4">
        <v>2</v>
      </c>
      <c r="H16" s="4">
        <v>22</v>
      </c>
      <c r="I16" s="4">
        <v>1</v>
      </c>
      <c r="J16" s="4">
        <v>13</v>
      </c>
      <c r="K16" s="4">
        <v>65326</v>
      </c>
      <c r="L16" s="4">
        <v>1987</v>
      </c>
      <c r="M16" s="6">
        <v>19.600000000000001</v>
      </c>
      <c r="N16" s="4">
        <v>49</v>
      </c>
      <c r="O16" s="4">
        <v>9</v>
      </c>
      <c r="P16" s="5">
        <v>8.3030000000000008</v>
      </c>
      <c r="Q16" s="4">
        <v>28</v>
      </c>
      <c r="R16" s="4">
        <v>265</v>
      </c>
      <c r="S16" s="4">
        <v>58</v>
      </c>
      <c r="T16" s="4">
        <v>45</v>
      </c>
      <c r="U16" s="4">
        <v>9</v>
      </c>
      <c r="V16" s="4">
        <v>143</v>
      </c>
      <c r="W16" s="15">
        <v>4.28</v>
      </c>
      <c r="X16" s="7">
        <v>391</v>
      </c>
      <c r="Y16" s="7">
        <v>19</v>
      </c>
      <c r="Z16" s="7">
        <v>2001</v>
      </c>
      <c r="AA16" s="7">
        <v>1926</v>
      </c>
      <c r="AB16" s="7" t="s">
        <v>102</v>
      </c>
      <c r="AC16" s="7" t="s">
        <v>103</v>
      </c>
      <c r="AD16" s="7" t="s">
        <v>104</v>
      </c>
      <c r="AE16" s="8" t="s">
        <v>105</v>
      </c>
    </row>
    <row r="17" spans="1:31" ht="32.85" customHeight="1" x14ac:dyDescent="0.3">
      <c r="A17" s="3" t="s">
        <v>106</v>
      </c>
      <c r="B17" s="4">
        <v>1853</v>
      </c>
      <c r="C17" s="4">
        <v>767</v>
      </c>
      <c r="D17" s="5">
        <f t="shared" si="0"/>
        <v>0.625</v>
      </c>
      <c r="E17" s="4">
        <f t="shared" si="1"/>
        <v>18</v>
      </c>
      <c r="F17" s="4">
        <v>3</v>
      </c>
      <c r="G17" s="4">
        <v>3</v>
      </c>
      <c r="H17" s="4">
        <v>26</v>
      </c>
      <c r="I17" s="4">
        <v>0</v>
      </c>
      <c r="J17" s="4">
        <v>4</v>
      </c>
      <c r="K17" s="4">
        <v>88548</v>
      </c>
      <c r="L17" s="4">
        <v>1930</v>
      </c>
      <c r="M17" s="6">
        <v>55.2</v>
      </c>
      <c r="N17" s="4">
        <v>145</v>
      </c>
      <c r="O17" s="4">
        <v>6</v>
      </c>
      <c r="P17" s="5">
        <v>7.47</v>
      </c>
      <c r="Q17" s="4">
        <v>37</v>
      </c>
      <c r="R17" s="4">
        <v>246</v>
      </c>
      <c r="S17" s="4">
        <v>50</v>
      </c>
      <c r="T17" s="4">
        <v>25</v>
      </c>
      <c r="U17" s="4">
        <v>1</v>
      </c>
      <c r="V17" s="4">
        <v>197</v>
      </c>
      <c r="W17" s="15">
        <v>4.32</v>
      </c>
      <c r="X17" s="7">
        <v>452</v>
      </c>
      <c r="Y17" s="7">
        <v>40</v>
      </c>
      <c r="Z17" s="7">
        <v>2008</v>
      </c>
      <c r="AA17" s="7">
        <v>1906</v>
      </c>
      <c r="AB17" s="7" t="s">
        <v>107</v>
      </c>
      <c r="AC17" s="7" t="s">
        <v>108</v>
      </c>
      <c r="AD17" s="7" t="s">
        <v>109</v>
      </c>
      <c r="AE17" s="8" t="s">
        <v>110</v>
      </c>
    </row>
    <row r="18" spans="1:31" ht="22.35" customHeight="1" x14ac:dyDescent="0.3">
      <c r="A18" s="3" t="s">
        <v>111</v>
      </c>
      <c r="B18" s="4">
        <v>1889</v>
      </c>
      <c r="C18" s="4">
        <v>809</v>
      </c>
      <c r="D18" s="5">
        <f t="shared" si="0"/>
        <v>0.624</v>
      </c>
      <c r="E18" s="4">
        <f t="shared" si="1"/>
        <v>8</v>
      </c>
      <c r="F18" s="4">
        <v>3</v>
      </c>
      <c r="G18" s="4">
        <v>0</v>
      </c>
      <c r="H18" s="4">
        <v>27</v>
      </c>
      <c r="I18" s="4">
        <v>7</v>
      </c>
      <c r="J18" s="4">
        <v>7</v>
      </c>
      <c r="K18" s="4">
        <v>81500</v>
      </c>
      <c r="L18" s="4">
        <v>1942</v>
      </c>
      <c r="M18" s="6">
        <v>29</v>
      </c>
      <c r="N18" s="4">
        <v>17</v>
      </c>
      <c r="O18" s="4">
        <v>8</v>
      </c>
      <c r="P18" s="5">
        <v>11.446999999999999</v>
      </c>
      <c r="Q18" s="4">
        <v>30</v>
      </c>
      <c r="R18" s="4">
        <v>199</v>
      </c>
      <c r="S18" s="4">
        <v>35</v>
      </c>
      <c r="T18" s="4">
        <v>22</v>
      </c>
      <c r="U18" s="4">
        <v>1</v>
      </c>
      <c r="V18" s="4">
        <v>146</v>
      </c>
      <c r="W18" s="15">
        <v>4.28</v>
      </c>
      <c r="X18" s="7">
        <v>478</v>
      </c>
      <c r="Y18" s="7">
        <v>45</v>
      </c>
      <c r="Z18" s="7">
        <v>2018</v>
      </c>
      <c r="AA18" s="7">
        <v>1896</v>
      </c>
      <c r="AB18" s="7" t="s">
        <v>112</v>
      </c>
      <c r="AC18" s="7" t="s">
        <v>113</v>
      </c>
      <c r="AD18" s="7" t="s">
        <v>114</v>
      </c>
      <c r="AE18" s="8" t="s">
        <v>115</v>
      </c>
    </row>
    <row r="19" spans="1:31" ht="32.85" customHeight="1" x14ac:dyDescent="0.3">
      <c r="A19" s="3" t="s">
        <v>116</v>
      </c>
      <c r="B19" s="4">
        <v>1856</v>
      </c>
      <c r="C19" s="4">
        <v>807</v>
      </c>
      <c r="D19" s="5">
        <f t="shared" si="0"/>
        <v>0.623</v>
      </c>
      <c r="E19" s="4">
        <f t="shared" si="1"/>
        <v>16</v>
      </c>
      <c r="F19" s="4">
        <v>2</v>
      </c>
      <c r="G19" s="4">
        <v>3</v>
      </c>
      <c r="H19" s="4">
        <v>24</v>
      </c>
      <c r="I19" s="4">
        <v>0</v>
      </c>
      <c r="J19" s="4">
        <v>5</v>
      </c>
      <c r="K19" s="4">
        <v>88043</v>
      </c>
      <c r="L19" s="4">
        <v>1939</v>
      </c>
      <c r="M19" s="6">
        <v>33</v>
      </c>
      <c r="N19" s="4">
        <v>81</v>
      </c>
      <c r="O19" s="4">
        <v>4</v>
      </c>
      <c r="P19" s="5">
        <v>6.7350000000000003</v>
      </c>
      <c r="Q19" s="4">
        <v>23</v>
      </c>
      <c r="R19" s="4">
        <v>183</v>
      </c>
      <c r="S19" s="4">
        <v>22</v>
      </c>
      <c r="T19" s="4">
        <v>22</v>
      </c>
      <c r="U19" s="4">
        <v>1</v>
      </c>
      <c r="V19" s="4">
        <v>135</v>
      </c>
      <c r="W19" s="15">
        <v>4.2699999999999996</v>
      </c>
      <c r="X19" s="7">
        <v>478</v>
      </c>
      <c r="Y19" s="7">
        <v>47</v>
      </c>
      <c r="Z19" s="7">
        <v>2010</v>
      </c>
      <c r="AA19" s="7">
        <v>1892</v>
      </c>
      <c r="AB19" s="7" t="s">
        <v>117</v>
      </c>
      <c r="AC19" s="7" t="s">
        <v>118</v>
      </c>
      <c r="AD19" s="7" t="s">
        <v>119</v>
      </c>
      <c r="AE19" s="8" t="s">
        <v>120</v>
      </c>
    </row>
    <row r="20" spans="1:31" ht="22.35" customHeight="1" x14ac:dyDescent="0.3">
      <c r="A20" s="3" t="s">
        <v>121</v>
      </c>
      <c r="B20" s="4">
        <v>1861</v>
      </c>
      <c r="C20" s="4">
        <v>783</v>
      </c>
      <c r="D20" s="5">
        <f t="shared" si="0"/>
        <v>0.61799999999999999</v>
      </c>
      <c r="E20" s="4">
        <f t="shared" si="1"/>
        <v>137</v>
      </c>
      <c r="F20" s="4">
        <v>0</v>
      </c>
      <c r="G20" s="4">
        <v>0</v>
      </c>
      <c r="H20" s="4">
        <v>21</v>
      </c>
      <c r="I20" s="4">
        <v>2</v>
      </c>
      <c r="J20" s="4">
        <v>9</v>
      </c>
      <c r="K20" s="4">
        <v>70138</v>
      </c>
      <c r="L20" s="4">
        <v>1920</v>
      </c>
      <c r="M20" s="6">
        <v>52.5</v>
      </c>
      <c r="N20" s="4">
        <v>755</v>
      </c>
      <c r="O20" s="4">
        <v>7</v>
      </c>
      <c r="P20" s="5">
        <v>7.5750000000000002</v>
      </c>
      <c r="Q20" s="4">
        <v>23</v>
      </c>
      <c r="R20" s="4">
        <v>191</v>
      </c>
      <c r="S20" s="4">
        <v>26</v>
      </c>
      <c r="T20" s="4">
        <v>14</v>
      </c>
      <c r="U20" s="4">
        <v>0</v>
      </c>
      <c r="V20" s="4">
        <v>105</v>
      </c>
      <c r="W20" s="15">
        <v>4.22</v>
      </c>
      <c r="X20" s="7">
        <v>474</v>
      </c>
      <c r="Y20" s="7">
        <v>50</v>
      </c>
      <c r="Z20" s="7"/>
      <c r="AA20" s="7">
        <v>1889</v>
      </c>
      <c r="AB20" s="7" t="s">
        <v>122</v>
      </c>
      <c r="AC20" s="7" t="s">
        <v>123</v>
      </c>
      <c r="AD20" s="7" t="s">
        <v>124</v>
      </c>
      <c r="AE20" s="8" t="s">
        <v>125</v>
      </c>
    </row>
    <row r="21" spans="1:31" ht="22.35" customHeight="1" x14ac:dyDescent="0.3">
      <c r="A21" s="3" t="s">
        <v>126</v>
      </c>
      <c r="B21" s="4">
        <v>1876</v>
      </c>
      <c r="C21" s="4">
        <v>789</v>
      </c>
      <c r="D21" s="5">
        <f t="shared" si="0"/>
        <v>0.60399999999999998</v>
      </c>
      <c r="E21" s="4">
        <f t="shared" si="1"/>
        <v>87</v>
      </c>
      <c r="F21" s="4">
        <v>1</v>
      </c>
      <c r="G21" s="4">
        <v>2</v>
      </c>
      <c r="H21" s="4">
        <v>20</v>
      </c>
      <c r="I21" s="4">
        <v>1</v>
      </c>
      <c r="J21" s="4">
        <v>11</v>
      </c>
      <c r="K21" s="4">
        <v>102733</v>
      </c>
      <c r="L21" s="4">
        <v>1927</v>
      </c>
      <c r="M21" s="6">
        <v>79.099999999999994</v>
      </c>
      <c r="N21" s="4">
        <v>125</v>
      </c>
      <c r="O21" s="4">
        <v>11</v>
      </c>
      <c r="P21" s="5">
        <v>7</v>
      </c>
      <c r="Q21" s="4">
        <v>26</v>
      </c>
      <c r="R21" s="4">
        <v>193</v>
      </c>
      <c r="S21" s="4">
        <v>28</v>
      </c>
      <c r="T21" s="4">
        <v>19</v>
      </c>
      <c r="U21" s="4">
        <v>0</v>
      </c>
      <c r="V21" s="4">
        <v>133</v>
      </c>
      <c r="W21" s="15">
        <v>4.32</v>
      </c>
      <c r="X21" s="7">
        <v>509</v>
      </c>
      <c r="Y21" s="7">
        <v>48</v>
      </c>
      <c r="Z21" s="7">
        <v>1939</v>
      </c>
      <c r="AA21" s="7">
        <v>1894</v>
      </c>
      <c r="AB21" s="7" t="s">
        <v>127</v>
      </c>
      <c r="AC21" s="7" t="s">
        <v>128</v>
      </c>
      <c r="AD21" s="7" t="s">
        <v>129</v>
      </c>
      <c r="AE21" s="8" t="s">
        <v>130</v>
      </c>
    </row>
    <row r="22" spans="1:31" ht="22.35" customHeight="1" x14ac:dyDescent="0.3">
      <c r="A22" s="3" t="s">
        <v>131</v>
      </c>
      <c r="B22" s="4">
        <v>1885</v>
      </c>
      <c r="C22" s="4">
        <v>641</v>
      </c>
      <c r="D22" s="5">
        <f t="shared" si="0"/>
        <v>0.59699999999999998</v>
      </c>
      <c r="E22" s="4">
        <f t="shared" si="1"/>
        <v>129</v>
      </c>
      <c r="F22" s="4">
        <v>0</v>
      </c>
      <c r="G22" s="4">
        <v>0</v>
      </c>
      <c r="H22" s="4">
        <v>15</v>
      </c>
      <c r="I22" s="4">
        <v>1</v>
      </c>
      <c r="J22" s="4">
        <v>8</v>
      </c>
      <c r="K22" s="4">
        <v>53599</v>
      </c>
      <c r="L22" s="4">
        <v>1958</v>
      </c>
      <c r="M22" s="6">
        <v>80.099999999999994</v>
      </c>
      <c r="N22" s="4">
        <v>189</v>
      </c>
      <c r="O22" s="4">
        <v>4</v>
      </c>
      <c r="P22" s="5">
        <v>7.4420000000000002</v>
      </c>
      <c r="Q22" s="4">
        <v>6</v>
      </c>
      <c r="R22" s="4">
        <v>151</v>
      </c>
      <c r="S22" s="4">
        <v>18</v>
      </c>
      <c r="T22" s="4">
        <v>13</v>
      </c>
      <c r="U22" s="4">
        <v>2</v>
      </c>
      <c r="V22" s="4">
        <v>96</v>
      </c>
      <c r="W22" s="15">
        <v>4.32</v>
      </c>
      <c r="X22" s="7">
        <v>428</v>
      </c>
      <c r="Y22" s="7">
        <v>24</v>
      </c>
      <c r="Z22" s="7"/>
      <c r="AA22" s="7">
        <v>1897</v>
      </c>
      <c r="AB22" s="7" t="s">
        <v>132</v>
      </c>
      <c r="AC22" s="7" t="s">
        <v>133</v>
      </c>
      <c r="AD22" s="7" t="s">
        <v>134</v>
      </c>
      <c r="AE22" s="8" t="s">
        <v>135</v>
      </c>
    </row>
    <row r="23" spans="1:31" ht="32.85" customHeight="1" x14ac:dyDescent="0.3">
      <c r="A23" s="3" t="s">
        <v>136</v>
      </c>
      <c r="B23" s="4">
        <v>1855</v>
      </c>
      <c r="C23" s="4">
        <v>738</v>
      </c>
      <c r="D23" s="5">
        <f t="shared" si="0"/>
        <v>0.59599999999999997</v>
      </c>
      <c r="E23" s="4">
        <f t="shared" si="1"/>
        <v>74</v>
      </c>
      <c r="F23" s="4">
        <v>1</v>
      </c>
      <c r="G23" s="4">
        <v>0</v>
      </c>
      <c r="H23" s="4">
        <v>14</v>
      </c>
      <c r="I23" s="4">
        <v>1</v>
      </c>
      <c r="J23" s="4">
        <v>4</v>
      </c>
      <c r="K23" s="4">
        <v>75005</v>
      </c>
      <c r="L23" s="4">
        <v>1923</v>
      </c>
      <c r="M23" s="6">
        <v>51.3</v>
      </c>
      <c r="N23" s="4">
        <v>47</v>
      </c>
      <c r="O23" s="4">
        <v>2</v>
      </c>
      <c r="P23" s="5">
        <v>7.35</v>
      </c>
      <c r="Q23" s="4">
        <v>13</v>
      </c>
      <c r="R23" s="4">
        <v>147</v>
      </c>
      <c r="S23" s="4">
        <v>17</v>
      </c>
      <c r="T23" s="4">
        <v>14</v>
      </c>
      <c r="U23" s="4">
        <v>1</v>
      </c>
      <c r="V23" s="4">
        <v>113</v>
      </c>
      <c r="W23" s="15">
        <v>4.3099999999999996</v>
      </c>
      <c r="X23" s="7">
        <v>494</v>
      </c>
      <c r="Y23" s="7">
        <v>44</v>
      </c>
      <c r="Z23" s="7">
        <v>1952</v>
      </c>
      <c r="AA23" s="7">
        <v>1896</v>
      </c>
      <c r="AB23" s="7" t="s">
        <v>137</v>
      </c>
      <c r="AC23" s="7" t="s">
        <v>138</v>
      </c>
      <c r="AD23" s="7" t="s">
        <v>139</v>
      </c>
      <c r="AE23" s="8" t="s">
        <v>140</v>
      </c>
    </row>
    <row r="24" spans="1:31" ht="32.85" customHeight="1" x14ac:dyDescent="0.3">
      <c r="A24" s="3" t="s">
        <v>141</v>
      </c>
      <c r="B24" s="4">
        <v>1850</v>
      </c>
      <c r="C24" s="4">
        <v>727</v>
      </c>
      <c r="D24" s="5">
        <f t="shared" si="0"/>
        <v>0.59499999999999997</v>
      </c>
      <c r="E24" s="4">
        <f t="shared" si="1"/>
        <v>134</v>
      </c>
      <c r="F24" s="4">
        <v>0</v>
      </c>
      <c r="G24" s="4">
        <v>0</v>
      </c>
      <c r="H24" s="4">
        <v>18</v>
      </c>
      <c r="I24" s="4">
        <v>0</v>
      </c>
      <c r="J24" s="4">
        <v>11</v>
      </c>
      <c r="K24" s="4">
        <v>51444</v>
      </c>
      <c r="L24" s="4">
        <v>1998</v>
      </c>
      <c r="M24" s="6">
        <v>35</v>
      </c>
      <c r="N24" s="4">
        <v>210</v>
      </c>
      <c r="O24" s="4">
        <v>3</v>
      </c>
      <c r="P24" s="5">
        <v>6.9249999999999998</v>
      </c>
      <c r="Q24" s="4">
        <v>22</v>
      </c>
      <c r="R24" s="4">
        <v>97</v>
      </c>
      <c r="S24" s="4">
        <v>10</v>
      </c>
      <c r="T24" s="4">
        <v>13</v>
      </c>
      <c r="U24" s="4">
        <v>0</v>
      </c>
      <c r="V24" s="4">
        <v>100</v>
      </c>
      <c r="W24" s="15">
        <v>4.29</v>
      </c>
      <c r="X24" s="7">
        <v>489</v>
      </c>
      <c r="Y24" s="7">
        <v>31</v>
      </c>
      <c r="Z24" s="7"/>
      <c r="AA24" s="7">
        <v>1892</v>
      </c>
      <c r="AB24" s="7" t="s">
        <v>142</v>
      </c>
      <c r="AC24" s="7" t="s">
        <v>143</v>
      </c>
      <c r="AD24" s="7" t="s">
        <v>144</v>
      </c>
      <c r="AE24" s="8" t="s">
        <v>145</v>
      </c>
    </row>
    <row r="25" spans="1:31" ht="22.35" customHeight="1" x14ac:dyDescent="0.3">
      <c r="A25" s="3" t="s">
        <v>146</v>
      </c>
      <c r="B25" s="4">
        <v>1848</v>
      </c>
      <c r="C25" s="4">
        <v>749</v>
      </c>
      <c r="D25" s="5">
        <f t="shared" si="0"/>
        <v>0.58399999999999996</v>
      </c>
      <c r="E25" s="4">
        <f t="shared" si="1"/>
        <v>137</v>
      </c>
      <c r="F25" s="4">
        <v>0</v>
      </c>
      <c r="G25" s="4">
        <v>2</v>
      </c>
      <c r="H25" s="4">
        <v>19</v>
      </c>
      <c r="I25" s="4">
        <v>0</v>
      </c>
      <c r="J25" s="4">
        <v>4</v>
      </c>
      <c r="K25" s="4">
        <v>76057</v>
      </c>
      <c r="L25" s="4">
        <v>1917</v>
      </c>
      <c r="M25" s="6">
        <v>51.7</v>
      </c>
      <c r="N25" s="4">
        <v>280</v>
      </c>
      <c r="O25" s="4">
        <v>0</v>
      </c>
      <c r="P25" s="5">
        <v>7.8250000000000002</v>
      </c>
      <c r="Q25" s="4">
        <v>18</v>
      </c>
      <c r="R25" s="4">
        <v>164</v>
      </c>
      <c r="S25" s="4">
        <v>22</v>
      </c>
      <c r="T25" s="4">
        <v>20</v>
      </c>
      <c r="U25" s="4">
        <v>1</v>
      </c>
      <c r="V25" s="4">
        <v>132</v>
      </c>
      <c r="W25" s="15">
        <v>4.33</v>
      </c>
      <c r="X25" s="7">
        <v>526</v>
      </c>
      <c r="Y25" s="7">
        <v>53</v>
      </c>
      <c r="Z25" s="7"/>
      <c r="AA25" s="7">
        <v>1889</v>
      </c>
      <c r="AB25" s="7" t="s">
        <v>147</v>
      </c>
      <c r="AC25" s="7" t="s">
        <v>148</v>
      </c>
      <c r="AD25" s="7" t="s">
        <v>149</v>
      </c>
      <c r="AE25" s="8" t="s">
        <v>150</v>
      </c>
    </row>
    <row r="26" spans="1:31" ht="15" customHeight="1" x14ac:dyDescent="0.3">
      <c r="A26" s="3" t="s">
        <v>151</v>
      </c>
      <c r="B26" s="4">
        <v>1876</v>
      </c>
      <c r="C26" s="4">
        <v>721</v>
      </c>
      <c r="D26" s="5">
        <f t="shared" si="0"/>
        <v>0.58199999999999996</v>
      </c>
      <c r="E26" s="4">
        <f t="shared" si="1"/>
        <v>132</v>
      </c>
      <c r="F26" s="4">
        <v>0</v>
      </c>
      <c r="G26" s="4">
        <v>1</v>
      </c>
      <c r="H26" s="4">
        <v>19</v>
      </c>
      <c r="I26" s="4">
        <v>3</v>
      </c>
      <c r="J26" s="4">
        <v>13</v>
      </c>
      <c r="K26" s="4">
        <v>54000</v>
      </c>
      <c r="L26" s="4">
        <v>1967</v>
      </c>
      <c r="M26" s="6">
        <v>24</v>
      </c>
      <c r="N26" s="4">
        <v>178</v>
      </c>
      <c r="O26" s="4">
        <v>7</v>
      </c>
      <c r="P26" s="5">
        <v>10.4</v>
      </c>
      <c r="Q26" s="4">
        <v>36</v>
      </c>
      <c r="R26" s="4">
        <v>153</v>
      </c>
      <c r="S26" s="4">
        <v>20</v>
      </c>
      <c r="T26" s="4">
        <v>13</v>
      </c>
      <c r="U26" s="4">
        <v>0</v>
      </c>
      <c r="V26" s="4">
        <v>142</v>
      </c>
      <c r="W26" s="15">
        <v>4.3499999999999996</v>
      </c>
      <c r="X26" s="7">
        <v>512</v>
      </c>
      <c r="Y26" s="7">
        <v>46</v>
      </c>
      <c r="Z26" s="7"/>
      <c r="AA26" s="7">
        <v>1894</v>
      </c>
      <c r="AB26" s="7" t="s">
        <v>152</v>
      </c>
      <c r="AC26" s="7" t="s">
        <v>153</v>
      </c>
      <c r="AD26" s="7" t="s">
        <v>154</v>
      </c>
      <c r="AE26" s="8" t="s">
        <v>155</v>
      </c>
    </row>
    <row r="27" spans="1:31" ht="22.35" customHeight="1" x14ac:dyDescent="0.3">
      <c r="A27" s="3" t="s">
        <v>156</v>
      </c>
      <c r="B27" s="4">
        <v>1876</v>
      </c>
      <c r="C27" s="4">
        <v>733</v>
      </c>
      <c r="D27" s="5">
        <f t="shared" si="0"/>
        <v>0.56899999999999995</v>
      </c>
      <c r="E27" s="4">
        <f t="shared" si="1"/>
        <v>36</v>
      </c>
      <c r="F27" s="4">
        <v>1</v>
      </c>
      <c r="G27" s="4">
        <v>2</v>
      </c>
      <c r="H27" s="4">
        <v>12</v>
      </c>
      <c r="I27" s="4">
        <v>0</v>
      </c>
      <c r="J27" s="4">
        <v>3</v>
      </c>
      <c r="K27" s="4">
        <v>50183</v>
      </c>
      <c r="L27" s="4">
        <v>1924</v>
      </c>
      <c r="M27" s="6">
        <v>38</v>
      </c>
      <c r="N27" s="4">
        <v>105</v>
      </c>
      <c r="O27" s="4">
        <v>0</v>
      </c>
      <c r="P27" s="5">
        <v>8.9749999999999996</v>
      </c>
      <c r="Q27" s="4">
        <v>9</v>
      </c>
      <c r="R27" s="4">
        <v>132</v>
      </c>
      <c r="S27" s="4">
        <v>16</v>
      </c>
      <c r="T27" s="4">
        <v>10</v>
      </c>
      <c r="U27" s="4">
        <v>0</v>
      </c>
      <c r="V27" s="4">
        <v>71</v>
      </c>
      <c r="W27" s="15">
        <v>4.37</v>
      </c>
      <c r="X27" s="7">
        <v>550</v>
      </c>
      <c r="Y27" s="7">
        <v>36</v>
      </c>
      <c r="Z27" s="7">
        <v>1990</v>
      </c>
      <c r="AA27" s="7">
        <v>1890</v>
      </c>
      <c r="AB27" s="7" t="s">
        <v>157</v>
      </c>
      <c r="AC27" s="7" t="s">
        <v>158</v>
      </c>
      <c r="AD27" s="7" t="s">
        <v>159</v>
      </c>
      <c r="AE27" s="8" t="s">
        <v>160</v>
      </c>
    </row>
    <row r="28" spans="1:31" ht="32.85" customHeight="1" x14ac:dyDescent="0.3">
      <c r="A28" s="3" t="s">
        <v>161</v>
      </c>
      <c r="B28" s="4">
        <v>1848</v>
      </c>
      <c r="C28" s="4">
        <v>688</v>
      </c>
      <c r="D28" s="5">
        <f t="shared" si="0"/>
        <v>0.55400000000000005</v>
      </c>
      <c r="E28" s="4">
        <f t="shared" si="1"/>
        <v>133</v>
      </c>
      <c r="F28" s="4">
        <v>0</v>
      </c>
      <c r="G28" s="4">
        <v>0</v>
      </c>
      <c r="H28" s="4">
        <v>28</v>
      </c>
      <c r="I28" s="4">
        <v>1</v>
      </c>
      <c r="J28" s="4">
        <v>13</v>
      </c>
      <c r="K28" s="4">
        <v>64038</v>
      </c>
      <c r="L28" s="4">
        <v>1915</v>
      </c>
      <c r="M28" s="6">
        <v>24.7</v>
      </c>
      <c r="N28" s="4">
        <v>28</v>
      </c>
      <c r="O28" s="4">
        <v>2</v>
      </c>
      <c r="P28" s="5">
        <v>9</v>
      </c>
      <c r="Q28" s="4">
        <v>26</v>
      </c>
      <c r="R28" s="4">
        <v>116</v>
      </c>
      <c r="S28" s="4">
        <v>17</v>
      </c>
      <c r="T28" s="4">
        <v>15</v>
      </c>
      <c r="U28" s="4">
        <v>1</v>
      </c>
      <c r="V28" s="4">
        <v>104</v>
      </c>
      <c r="W28" s="15">
        <v>4.29</v>
      </c>
      <c r="X28" s="7">
        <v>550</v>
      </c>
      <c r="Y28" s="7">
        <v>35</v>
      </c>
      <c r="Z28" s="7"/>
      <c r="AA28" s="7">
        <v>1893</v>
      </c>
      <c r="AB28" s="7" t="s">
        <v>162</v>
      </c>
      <c r="AC28" s="7" t="s">
        <v>163</v>
      </c>
      <c r="AD28" s="7" t="s">
        <v>164</v>
      </c>
      <c r="AE28" s="8" t="s">
        <v>165</v>
      </c>
    </row>
    <row r="29" spans="1:31" ht="32.85" customHeight="1" x14ac:dyDescent="0.3">
      <c r="A29" s="3" t="s">
        <v>166</v>
      </c>
      <c r="B29" s="4">
        <v>1923</v>
      </c>
      <c r="C29" s="4">
        <v>608</v>
      </c>
      <c r="D29" s="5">
        <f t="shared" si="0"/>
        <v>0.55400000000000005</v>
      </c>
      <c r="E29" s="4">
        <f t="shared" si="1"/>
        <v>101</v>
      </c>
      <c r="F29" s="4">
        <v>0</v>
      </c>
      <c r="G29" s="4">
        <v>0</v>
      </c>
      <c r="H29" s="4">
        <v>17</v>
      </c>
      <c r="I29" s="4">
        <v>1</v>
      </c>
      <c r="J29" s="4">
        <v>12</v>
      </c>
      <c r="K29" s="4">
        <v>60229</v>
      </c>
      <c r="L29" s="4">
        <v>1947</v>
      </c>
      <c r="M29" s="6">
        <v>41</v>
      </c>
      <c r="N29" s="4">
        <v>267</v>
      </c>
      <c r="O29" s="4">
        <v>8</v>
      </c>
      <c r="P29" s="5">
        <v>4.55</v>
      </c>
      <c r="Q29" s="4">
        <v>18</v>
      </c>
      <c r="R29" s="4">
        <v>89</v>
      </c>
      <c r="S29" s="4">
        <v>7</v>
      </c>
      <c r="T29" s="4">
        <v>4</v>
      </c>
      <c r="U29" s="4">
        <v>1</v>
      </c>
      <c r="V29" s="4">
        <v>69</v>
      </c>
      <c r="W29" s="15">
        <v>4.33</v>
      </c>
      <c r="X29" s="7">
        <v>486</v>
      </c>
      <c r="Y29" s="7">
        <v>32</v>
      </c>
      <c r="Z29" s="7"/>
      <c r="AA29" s="7">
        <v>1925</v>
      </c>
      <c r="AB29" s="7" t="s">
        <v>167</v>
      </c>
      <c r="AC29" s="7" t="s">
        <v>168</v>
      </c>
      <c r="AD29" s="7" t="s">
        <v>169</v>
      </c>
      <c r="AE29" s="8" t="s">
        <v>170</v>
      </c>
    </row>
    <row r="30" spans="1:31" ht="15" customHeight="1" x14ac:dyDescent="0.3">
      <c r="A30" s="3" t="s">
        <v>171</v>
      </c>
      <c r="B30" s="4">
        <v>1839</v>
      </c>
      <c r="C30" s="4">
        <v>724</v>
      </c>
      <c r="D30" s="5">
        <f t="shared" si="0"/>
        <v>0.54800000000000004</v>
      </c>
      <c r="E30" s="4">
        <f t="shared" si="1"/>
        <v>136</v>
      </c>
      <c r="F30" s="4">
        <v>0</v>
      </c>
      <c r="G30" s="4">
        <v>0</v>
      </c>
      <c r="H30" s="4">
        <v>17</v>
      </c>
      <c r="I30" s="4">
        <v>0</v>
      </c>
      <c r="J30" s="4">
        <v>8</v>
      </c>
      <c r="K30" s="4">
        <v>62621</v>
      </c>
      <c r="L30" s="4">
        <v>1926</v>
      </c>
      <c r="M30" s="6">
        <v>32</v>
      </c>
      <c r="N30" s="4">
        <v>128</v>
      </c>
      <c r="O30" s="4">
        <v>6</v>
      </c>
      <c r="P30" s="5">
        <v>9</v>
      </c>
      <c r="Q30" s="4">
        <v>22</v>
      </c>
      <c r="R30" s="4">
        <v>108</v>
      </c>
      <c r="S30" s="4">
        <v>13</v>
      </c>
      <c r="T30" s="4">
        <v>11</v>
      </c>
      <c r="U30" s="4">
        <v>0</v>
      </c>
      <c r="V30" s="4">
        <v>88</v>
      </c>
      <c r="W30" s="15">
        <v>4.32</v>
      </c>
      <c r="X30" s="7">
        <v>593</v>
      </c>
      <c r="Y30" s="7">
        <v>52</v>
      </c>
      <c r="Z30" s="7"/>
      <c r="AA30" s="7">
        <v>1890</v>
      </c>
      <c r="AB30" s="7" t="s">
        <v>172</v>
      </c>
      <c r="AC30" s="7" t="s">
        <v>173</v>
      </c>
      <c r="AD30" s="7" t="s">
        <v>174</v>
      </c>
      <c r="AE30" s="8" t="s">
        <v>175</v>
      </c>
    </row>
    <row r="31" spans="1:31" ht="22.35" customHeight="1" x14ac:dyDescent="0.3">
      <c r="A31" s="3" t="s">
        <v>176</v>
      </c>
      <c r="B31" s="4">
        <v>1847</v>
      </c>
      <c r="C31" s="4">
        <v>703</v>
      </c>
      <c r="D31" s="5">
        <f t="shared" si="0"/>
        <v>0.54600000000000004</v>
      </c>
      <c r="E31" s="4">
        <f t="shared" si="1"/>
        <v>137</v>
      </c>
      <c r="F31" s="4">
        <v>0</v>
      </c>
      <c r="G31" s="4">
        <v>1</v>
      </c>
      <c r="H31" s="4">
        <v>19</v>
      </c>
      <c r="I31" s="4">
        <v>0</v>
      </c>
      <c r="J31" s="4">
        <v>9</v>
      </c>
      <c r="K31" s="4">
        <v>69250</v>
      </c>
      <c r="L31" s="4">
        <v>1929</v>
      </c>
      <c r="M31" s="6">
        <v>31.4</v>
      </c>
      <c r="N31" s="4">
        <v>75</v>
      </c>
      <c r="O31" s="4">
        <v>6</v>
      </c>
      <c r="P31" s="5">
        <v>7.1749999999999998</v>
      </c>
      <c r="Q31" s="4">
        <v>31</v>
      </c>
      <c r="R31" s="4">
        <v>164</v>
      </c>
      <c r="S31" s="4">
        <v>20</v>
      </c>
      <c r="T31" s="4">
        <v>24</v>
      </c>
      <c r="U31" s="4">
        <v>1</v>
      </c>
      <c r="V31" s="4">
        <v>144</v>
      </c>
      <c r="W31" s="15">
        <v>4.3499999999999996</v>
      </c>
      <c r="X31" s="7">
        <v>582</v>
      </c>
      <c r="Y31" s="7">
        <v>39</v>
      </c>
      <c r="Z31" s="7"/>
      <c r="AA31" s="7">
        <v>1889</v>
      </c>
      <c r="AB31" s="7" t="s">
        <v>177</v>
      </c>
      <c r="AC31" s="7" t="s">
        <v>178</v>
      </c>
      <c r="AD31" s="7" t="s">
        <v>179</v>
      </c>
      <c r="AE31" s="8" t="s">
        <v>180</v>
      </c>
    </row>
    <row r="32" spans="1:31" ht="22.35" customHeight="1" x14ac:dyDescent="0.3">
      <c r="A32" s="3" t="s">
        <v>181</v>
      </c>
      <c r="B32" s="4">
        <v>1873</v>
      </c>
      <c r="C32" s="4">
        <v>696</v>
      </c>
      <c r="D32" s="5">
        <f t="shared" si="0"/>
        <v>0.54400000000000004</v>
      </c>
      <c r="E32" s="4">
        <f t="shared" si="1"/>
        <v>88</v>
      </c>
      <c r="F32" s="4">
        <v>2</v>
      </c>
      <c r="G32" s="4">
        <v>1</v>
      </c>
      <c r="H32" s="4">
        <v>20</v>
      </c>
      <c r="I32" s="4">
        <v>1</v>
      </c>
      <c r="J32" s="4">
        <v>9</v>
      </c>
      <c r="K32" s="4">
        <v>45000</v>
      </c>
      <c r="L32" s="4">
        <v>1930</v>
      </c>
      <c r="M32" s="6">
        <v>13.1</v>
      </c>
      <c r="N32" s="4">
        <v>978</v>
      </c>
      <c r="O32" s="4">
        <v>1</v>
      </c>
      <c r="P32" s="5">
        <v>7.0359999999999996</v>
      </c>
      <c r="Q32" s="4">
        <v>21</v>
      </c>
      <c r="R32" s="4">
        <v>103</v>
      </c>
      <c r="S32" s="4">
        <v>8</v>
      </c>
      <c r="T32" s="4">
        <v>7</v>
      </c>
      <c r="U32" s="4">
        <v>1</v>
      </c>
      <c r="V32" s="4">
        <v>97</v>
      </c>
      <c r="W32" s="15">
        <v>4.3600000000000003</v>
      </c>
      <c r="X32" s="7">
        <v>578</v>
      </c>
      <c r="Y32" s="7">
        <v>57</v>
      </c>
      <c r="Z32" s="7">
        <v>1938</v>
      </c>
      <c r="AA32" s="7">
        <v>1896</v>
      </c>
      <c r="AB32" s="7" t="s">
        <v>182</v>
      </c>
      <c r="AC32" s="7" t="s">
        <v>183</v>
      </c>
      <c r="AD32" s="7" t="s">
        <v>184</v>
      </c>
      <c r="AE32" s="8" t="s">
        <v>185</v>
      </c>
    </row>
    <row r="33" spans="1:31" ht="32.85" customHeight="1" x14ac:dyDescent="0.3">
      <c r="A33" s="3" t="s">
        <v>186</v>
      </c>
      <c r="B33" s="4">
        <v>1820</v>
      </c>
      <c r="C33" s="4">
        <v>521</v>
      </c>
      <c r="D33" s="5">
        <f t="shared" si="0"/>
        <v>0.42399999999999999</v>
      </c>
      <c r="E33" s="4">
        <f t="shared" si="1"/>
        <v>1</v>
      </c>
      <c r="F33" s="4">
        <v>1</v>
      </c>
      <c r="G33" s="4">
        <v>1</v>
      </c>
      <c r="H33" s="4">
        <v>6</v>
      </c>
      <c r="I33" s="4">
        <v>2</v>
      </c>
      <c r="J33" s="4">
        <v>16</v>
      </c>
      <c r="K33" s="4">
        <v>52626</v>
      </c>
      <c r="L33" s="4">
        <v>1960</v>
      </c>
      <c r="M33" s="6">
        <v>48.4</v>
      </c>
      <c r="N33" s="4">
        <v>80</v>
      </c>
      <c r="O33" s="4">
        <v>8</v>
      </c>
      <c r="P33" s="5">
        <v>8.3000000000000007</v>
      </c>
      <c r="Q33" s="4">
        <v>18</v>
      </c>
      <c r="R33" s="4">
        <v>71</v>
      </c>
      <c r="S33" s="4">
        <v>6</v>
      </c>
      <c r="T33" s="4">
        <v>3</v>
      </c>
      <c r="U33" s="4">
        <v>0</v>
      </c>
      <c r="V33" s="4">
        <v>60</v>
      </c>
      <c r="W33" s="15">
        <v>4.3600000000000003</v>
      </c>
      <c r="X33" s="7">
        <v>715</v>
      </c>
      <c r="Y33" s="7">
        <v>44</v>
      </c>
      <c r="Z33" s="7">
        <v>2025</v>
      </c>
      <c r="AA33" s="7">
        <v>1887</v>
      </c>
      <c r="AB33" s="7" t="s">
        <v>187</v>
      </c>
      <c r="AC33" s="7" t="s">
        <v>188</v>
      </c>
      <c r="AD33" s="7" t="s">
        <v>189</v>
      </c>
      <c r="AE33" s="8" t="s">
        <v>190</v>
      </c>
    </row>
    <row r="35" spans="1:31" ht="15" customHeight="1" x14ac:dyDescent="0.3">
      <c r="A35" s="9" t="s">
        <v>191</v>
      </c>
      <c r="B35" s="10">
        <v>2026</v>
      </c>
    </row>
    <row r="36" spans="1:31" ht="15" customHeight="1" x14ac:dyDescent="0.3">
      <c r="A36" s="11" t="s">
        <v>192</v>
      </c>
    </row>
    <row r="37" spans="1:31" ht="15" customHeight="1" x14ac:dyDescent="0.3">
      <c r="A37" s="11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6" customWidth="1"/>
    <col min="2" max="17" width="12" customWidth="1"/>
    <col min="18" max="23" width="15" customWidth="1"/>
  </cols>
  <sheetData>
    <row r="1" spans="1:25" ht="42" customHeight="1" x14ac:dyDescent="0.3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</row>
    <row r="2" spans="1:25" ht="15" customHeight="1" x14ac:dyDescent="0.3">
      <c r="A2" s="9" t="str">
        <f>Daten!A2</f>
        <v>Ohio State Buckeyes</v>
      </c>
      <c r="B2" s="12">
        <f>RANK(Daten!B2,Daten!B$2:B$33,1)</f>
        <v>20</v>
      </c>
      <c r="C2" s="12">
        <f>RANK(Daten!C2,Daten!C$2:C$33,0)</f>
        <v>2</v>
      </c>
      <c r="D2" s="12">
        <f>RANK(Daten!D2,Daten!D$2:D$33,0)</f>
        <v>1</v>
      </c>
      <c r="E2" s="12">
        <f>RANK(Daten!E2,Daten!E$2:E$33,0)</f>
        <v>31</v>
      </c>
      <c r="F2" s="12">
        <f>RANK(Daten!F2,Daten!F$2:F$33,0)</f>
        <v>4</v>
      </c>
      <c r="G2" s="12">
        <f>RANK(Daten!G2,Daten!G$2:G$33,0)</f>
        <v>2</v>
      </c>
      <c r="H2" s="12">
        <f>RANK(Daten!H2,Daten!H$2:H$33,0)</f>
        <v>9</v>
      </c>
      <c r="I2" s="12">
        <f>RANK(Daten!I2,Daten!I$2:I$33,0)</f>
        <v>2</v>
      </c>
      <c r="J2" s="12">
        <f>RANK(Daten!J2,Daten!J$2:J$33,0)</f>
        <v>5</v>
      </c>
      <c r="K2" s="12">
        <f>RANK(Daten!K2,Daten!K$2:K$33,0)</f>
        <v>3</v>
      </c>
      <c r="L2" s="12">
        <f>RANK(Daten!L2,Daten!L$2:L$33,1)</f>
        <v>5</v>
      </c>
      <c r="M2" s="12">
        <f>RANK(Daten!M2,Daten!M$2:M$33,0)</f>
        <v>3</v>
      </c>
      <c r="N2" s="12">
        <f>RANK(Daten!N2,Daten!N$2:N$33,0)</f>
        <v>4</v>
      </c>
      <c r="O2" s="12">
        <f>RANK(Daten!O2,Daten!O$2:O$33,0)</f>
        <v>1</v>
      </c>
      <c r="P2" s="12">
        <f>RANK(Daten!P2,Daten!P$2:P$33,0)</f>
        <v>2</v>
      </c>
      <c r="Q2" s="12">
        <f>RANK(Daten!Q2,Daten!Q$2:Q$33,0)</f>
        <v>2</v>
      </c>
      <c r="R2" s="12">
        <f>IF(Daten!R2="","",RANK(Daten!R2,Daten!R$2:R$33,0))</f>
        <v>1</v>
      </c>
      <c r="S2" s="12">
        <f>IF(Daten!S2="","",RANK(Daten!S2,Daten!S$2:S$33,0))</f>
        <v>1</v>
      </c>
      <c r="T2" s="12">
        <f>IF(Daten!T2="","",RANK(Daten!T2,Daten!T$2:T$33,0))</f>
        <v>2</v>
      </c>
      <c r="U2" s="12">
        <f>IF(Daten!U2="","",RANK(Daten!U2,Daten!U$2:U$33,0))</f>
        <v>11</v>
      </c>
      <c r="V2" s="12">
        <f>IF(Daten!V2="","",RANK(Daten!V2,Daten!V$2:V$33,0))</f>
        <v>1</v>
      </c>
      <c r="W2" s="12">
        <f>IF(Daten!W2="","",RANK(Daten!W2,Daten!W$2:W$33,1))</f>
        <v>5</v>
      </c>
      <c r="X2" s="3">
        <f t="shared" ref="X2:X33" si="0">COUNTIF(B2:Q2,"&lt;=3")</f>
        <v>9</v>
      </c>
      <c r="Y2" s="3">
        <f t="shared" ref="Y2:Y33" si="1">COUNTIF(B2:Q2,1)</f>
        <v>2</v>
      </c>
    </row>
    <row r="3" spans="1:25" ht="15" customHeight="1" x14ac:dyDescent="0.3">
      <c r="A3" s="9" t="str">
        <f>Daten!A3</f>
        <v>Alabama Crimson Tide</v>
      </c>
      <c r="B3" s="12">
        <f>RANK(Daten!B3,Daten!B$2:B$33,1)</f>
        <v>5</v>
      </c>
      <c r="C3" s="12">
        <f>RANK(Daten!C3,Daten!C$2:C$33,0)</f>
        <v>3</v>
      </c>
      <c r="D3" s="12">
        <f>RANK(Daten!D3,Daten!D$2:D$33,0)</f>
        <v>2</v>
      </c>
      <c r="E3" s="12">
        <f>RANK(Daten!E3,Daten!E$2:E$33,0)</f>
        <v>28</v>
      </c>
      <c r="F3" s="12">
        <f>RANK(Daten!F3,Daten!F$2:F$33,0)</f>
        <v>1</v>
      </c>
      <c r="G3" s="12">
        <f>RANK(Daten!G3,Daten!G$2:G$33,0)</f>
        <v>5</v>
      </c>
      <c r="H3" s="12">
        <f>RANK(Daten!H3,Daten!H$2:H$33,0)</f>
        <v>1</v>
      </c>
      <c r="I3" s="12">
        <f>RANK(Daten!I3,Daten!I$2:I$33,0)</f>
        <v>1</v>
      </c>
      <c r="J3" s="12">
        <f>RANK(Daten!J3,Daten!J$2:J$33,0)</f>
        <v>8</v>
      </c>
      <c r="K3" s="12">
        <f>RANK(Daten!K3,Daten!K$2:K$33,0)</f>
        <v>8</v>
      </c>
      <c r="L3" s="12">
        <f>RANK(Daten!L3,Daten!L$2:L$33,1)</f>
        <v>16</v>
      </c>
      <c r="M3" s="12">
        <f>RANK(Daten!M3,Daten!M$2:M$33,0)</f>
        <v>16</v>
      </c>
      <c r="N3" s="12">
        <f>RANK(Daten!N3,Daten!N$2:N$33,0)</f>
        <v>22</v>
      </c>
      <c r="O3" s="12">
        <f>RANK(Daten!O3,Daten!O$2:O$33,0)</f>
        <v>3</v>
      </c>
      <c r="P3" s="12">
        <f>RANK(Daten!P3,Daten!P$2:P$33,0)</f>
        <v>7</v>
      </c>
      <c r="Q3" s="12">
        <f>RANK(Daten!Q3,Daten!Q$2:Q$33,0)</f>
        <v>1</v>
      </c>
      <c r="R3" s="12">
        <f>IF(Daten!R3="","",RANK(Daten!R3,Daten!R$2:R$33,0))</f>
        <v>3</v>
      </c>
      <c r="S3" s="12">
        <f>IF(Daten!S3="","",RANK(Daten!S3,Daten!S$2:S$33,0))</f>
        <v>2</v>
      </c>
      <c r="T3" s="12">
        <f>IF(Daten!T3="","",RANK(Daten!T3,Daten!T$2:T$33,0))</f>
        <v>4</v>
      </c>
      <c r="U3" s="12">
        <f>IF(Daten!U3="","",RANK(Daten!U3,Daten!U$2:U$33,0))</f>
        <v>7</v>
      </c>
      <c r="V3" s="12">
        <f>IF(Daten!V3="","",RANK(Daten!V3,Daten!V$2:V$33,0))</f>
        <v>2</v>
      </c>
      <c r="W3" s="12">
        <f>IF(Daten!W3="","",RANK(Daten!W3,Daten!W$2:W$33,1))</f>
        <v>5</v>
      </c>
      <c r="X3" s="3">
        <f t="shared" si="0"/>
        <v>7</v>
      </c>
      <c r="Y3" s="3">
        <f t="shared" si="1"/>
        <v>4</v>
      </c>
    </row>
    <row r="4" spans="1:25" ht="15" customHeight="1" x14ac:dyDescent="0.3">
      <c r="A4" s="9" t="str">
        <f>Daten!A4</f>
        <v>Notre Dame Fighting Irish</v>
      </c>
      <c r="B4" s="12">
        <f>RANK(Daten!B4,Daten!B$2:B$33,1)</f>
        <v>7</v>
      </c>
      <c r="C4" s="12">
        <f>RANK(Daten!C4,Daten!C$2:C$33,0)</f>
        <v>4</v>
      </c>
      <c r="D4" s="12">
        <f>RANK(Daten!D4,Daten!D$2:D$33,0)</f>
        <v>2</v>
      </c>
      <c r="E4" s="12">
        <f>RANK(Daten!E4,Daten!E$2:E$33,0)</f>
        <v>15</v>
      </c>
      <c r="F4" s="12">
        <f>RANK(Daten!F4,Daten!F$2:F$33,0)</f>
        <v>2</v>
      </c>
      <c r="G4" s="12">
        <f>RANK(Daten!G4,Daten!G$2:G$33,0)</f>
        <v>2</v>
      </c>
      <c r="H4" s="12">
        <f>RANK(Daten!H4,Daten!H$2:H$33,0)</f>
        <v>17</v>
      </c>
      <c r="I4" s="12">
        <f>RANK(Daten!I4,Daten!I$2:I$33,0)</f>
        <v>6</v>
      </c>
      <c r="J4" s="12">
        <f>RANK(Daten!J4,Daten!J$2:J$33,0)</f>
        <v>11</v>
      </c>
      <c r="K4" s="12">
        <f>RANK(Daten!K4,Daten!K$2:K$33,0)</f>
        <v>16</v>
      </c>
      <c r="L4" s="12">
        <f>RANK(Daten!L4,Daten!L$2:L$33,1)</f>
        <v>19</v>
      </c>
      <c r="M4" s="12">
        <f>RANK(Daten!M4,Daten!M$2:M$33,0)</f>
        <v>31</v>
      </c>
      <c r="N4" s="12">
        <f>RANK(Daten!N4,Daten!N$2:N$33,0)</f>
        <v>24</v>
      </c>
      <c r="O4" s="12">
        <f>RANK(Daten!O4,Daten!O$2:O$33,0)</f>
        <v>17</v>
      </c>
      <c r="P4" s="12">
        <f>RANK(Daten!P4,Daten!P$2:P$33,0)</f>
        <v>22</v>
      </c>
      <c r="Q4" s="12">
        <f>RANK(Daten!Q4,Daten!Q$2:Q$33,0)</f>
        <v>6</v>
      </c>
      <c r="R4" s="12">
        <f>IF(Daten!R4="","",RANK(Daten!R4,Daten!R$2:R$33,0))</f>
        <v>9</v>
      </c>
      <c r="S4" s="12">
        <f>IF(Daten!S4="","",RANK(Daten!S4,Daten!S$2:S$33,0))</f>
        <v>14</v>
      </c>
      <c r="T4" s="12">
        <f>IF(Daten!T4="","",RANK(Daten!T4,Daten!T$2:T$33,0))</f>
        <v>8</v>
      </c>
      <c r="U4" s="12">
        <f>IF(Daten!U4="","",RANK(Daten!U4,Daten!U$2:U$33,0))</f>
        <v>4</v>
      </c>
      <c r="V4" s="12">
        <f>IF(Daten!V4="","",RANK(Daten!V4,Daten!V$2:V$33,0))</f>
        <v>9</v>
      </c>
      <c r="W4" s="12">
        <f>IF(Daten!W4="","",RANK(Daten!W4,Daten!W$2:W$33,1))</f>
        <v>19</v>
      </c>
      <c r="X4" s="3">
        <f t="shared" si="0"/>
        <v>3</v>
      </c>
      <c r="Y4" s="3">
        <f t="shared" si="1"/>
        <v>0</v>
      </c>
    </row>
    <row r="5" spans="1:25" ht="15" customHeight="1" x14ac:dyDescent="0.3">
      <c r="A5" s="9" t="str">
        <f>Daten!A5</f>
        <v>Michigan Wolverines</v>
      </c>
      <c r="B5" s="12">
        <f>RANK(Daten!B5,Daten!B$2:B$33,1)</f>
        <v>3</v>
      </c>
      <c r="C5" s="12">
        <f>RANK(Daten!C5,Daten!C$2:C$33,0)</f>
        <v>1</v>
      </c>
      <c r="D5" s="12">
        <f>RANK(Daten!D5,Daten!D$2:D$33,0)</f>
        <v>4</v>
      </c>
      <c r="E5" s="12">
        <f>RANK(Daten!E5,Daten!E$2:E$33,0)</f>
        <v>30</v>
      </c>
      <c r="F5" s="12">
        <f>RANK(Daten!F5,Daten!F$2:F$33,0)</f>
        <v>8</v>
      </c>
      <c r="G5" s="12">
        <f>RANK(Daten!G5,Daten!G$2:G$33,0)</f>
        <v>6</v>
      </c>
      <c r="H5" s="12">
        <f>RANK(Daten!H5,Daten!H$2:H$33,0)</f>
        <v>15</v>
      </c>
      <c r="I5" s="12">
        <f>RANK(Daten!I5,Daten!I$2:I$33,0)</f>
        <v>6</v>
      </c>
      <c r="J5" s="12">
        <f>RANK(Daten!J5,Daten!J$2:J$33,0)</f>
        <v>14</v>
      </c>
      <c r="K5" s="12">
        <f>RANK(Daten!K5,Daten!K$2:K$33,0)</f>
        <v>1</v>
      </c>
      <c r="L5" s="12">
        <f>RANK(Daten!L5,Daten!L$2:L$33,1)</f>
        <v>14</v>
      </c>
      <c r="M5" s="12">
        <f>RANK(Daten!M5,Daten!M$2:M$33,0)</f>
        <v>6</v>
      </c>
      <c r="N5" s="12">
        <f>RANK(Daten!N5,Daten!N$2:N$33,0)</f>
        <v>21</v>
      </c>
      <c r="O5" s="12">
        <f>RANK(Daten!O5,Daten!O$2:O$33,0)</f>
        <v>17</v>
      </c>
      <c r="P5" s="12">
        <f>RANK(Daten!P5,Daten!P$2:P$33,0)</f>
        <v>29</v>
      </c>
      <c r="Q5" s="12">
        <f>RANK(Daten!Q5,Daten!Q$2:Q$33,0)</f>
        <v>7</v>
      </c>
      <c r="R5" s="12">
        <f>IF(Daten!R5="","",RANK(Daten!R5,Daten!R$2:R$33,0))</f>
        <v>10</v>
      </c>
      <c r="S5" s="12">
        <f>IF(Daten!S5="","",RANK(Daten!S5,Daten!S$2:S$33,0))</f>
        <v>10</v>
      </c>
      <c r="T5" s="12">
        <f>IF(Daten!T5="","",RANK(Daten!T5,Daten!T$2:T$33,0))</f>
        <v>11</v>
      </c>
      <c r="U5" s="12">
        <f>IF(Daten!U5="","",RANK(Daten!U5,Daten!U$2:U$33,0))</f>
        <v>4</v>
      </c>
      <c r="V5" s="12">
        <f>IF(Daten!V5="","",RANK(Daten!V5,Daten!V$2:V$33,0))</f>
        <v>10</v>
      </c>
      <c r="W5" s="12">
        <f>IF(Daten!W5="","",RANK(Daten!W5,Daten!W$2:W$33,1))</f>
        <v>4</v>
      </c>
      <c r="X5" s="3">
        <f t="shared" si="0"/>
        <v>3</v>
      </c>
      <c r="Y5" s="3">
        <f t="shared" si="1"/>
        <v>2</v>
      </c>
    </row>
    <row r="6" spans="1:25" ht="15" customHeight="1" x14ac:dyDescent="0.3">
      <c r="A6" s="9" t="str">
        <f>Daten!A6</f>
        <v>Boise State Broncos</v>
      </c>
      <c r="B6" s="12">
        <f>RANK(Daten!B6,Daten!B$2:B$33,1)</f>
        <v>32</v>
      </c>
      <c r="C6" s="12">
        <f>RANK(Daten!C6,Daten!C$2:C$33,0)</f>
        <v>32</v>
      </c>
      <c r="D6" s="12">
        <f>RANK(Daten!D6,Daten!D$2:D$33,0)</f>
        <v>5</v>
      </c>
      <c r="E6" s="12">
        <f>RANK(Daten!E6,Daten!E$2:E$33,0)</f>
        <v>13</v>
      </c>
      <c r="F6" s="12">
        <f>RANK(Daten!F6,Daten!F$2:F$33,0)</f>
        <v>23</v>
      </c>
      <c r="G6" s="12">
        <f>RANK(Daten!G6,Daten!G$2:G$33,0)</f>
        <v>23</v>
      </c>
      <c r="H6" s="12">
        <f>RANK(Daten!H6,Daten!H$2:H$33,0)</f>
        <v>30</v>
      </c>
      <c r="I6" s="12">
        <f>RANK(Daten!I6,Daten!I$2:I$33,0)</f>
        <v>12</v>
      </c>
      <c r="J6" s="12">
        <f>RANK(Daten!J6,Daten!J$2:J$33,0)</f>
        <v>14</v>
      </c>
      <c r="K6" s="12">
        <f>RANK(Daten!K6,Daten!K$2:K$33,0)</f>
        <v>32</v>
      </c>
      <c r="L6" s="12">
        <f>RANK(Daten!L6,Daten!L$2:L$33,1)</f>
        <v>30</v>
      </c>
      <c r="M6" s="12">
        <f>RANK(Daten!M6,Daten!M$2:M$33,0)</f>
        <v>26</v>
      </c>
      <c r="N6" s="12">
        <f>RANK(Daten!N6,Daten!N$2:N$33,0)</f>
        <v>9</v>
      </c>
      <c r="O6" s="12">
        <f>RANK(Daten!O6,Daten!O$2:O$33,0)</f>
        <v>27</v>
      </c>
      <c r="P6" s="12">
        <f>RANK(Daten!P6,Daten!P$2:P$33,0)</f>
        <v>32</v>
      </c>
      <c r="Q6" s="12">
        <f>RANK(Daten!Q6,Daten!Q$2:Q$33,0)</f>
        <v>29</v>
      </c>
      <c r="R6" s="12">
        <f>IF(Daten!R6="","",RANK(Daten!R6,Daten!R$2:R$33,0))</f>
        <v>32</v>
      </c>
      <c r="S6" s="12">
        <f>IF(Daten!S6="","",RANK(Daten!S6,Daten!S$2:S$33,0))</f>
        <v>31</v>
      </c>
      <c r="T6" s="12">
        <f>IF(Daten!T6="","",RANK(Daten!T6,Daten!T$2:T$33,0))</f>
        <v>30</v>
      </c>
      <c r="U6" s="12">
        <f>IF(Daten!U6="","",RANK(Daten!U6,Daten!U$2:U$33,0))</f>
        <v>24</v>
      </c>
      <c r="V6" s="12">
        <f>IF(Daten!V6="","",RANK(Daten!V6,Daten!V$2:V$33,0))</f>
        <v>31</v>
      </c>
      <c r="W6" s="12">
        <f>IF(Daten!W6="","",RANK(Daten!W6,Daten!W$2:W$33,1))</f>
        <v>19</v>
      </c>
      <c r="X6" s="3">
        <f t="shared" si="0"/>
        <v>0</v>
      </c>
      <c r="Y6" s="3">
        <f t="shared" si="1"/>
        <v>0</v>
      </c>
    </row>
    <row r="7" spans="1:25" ht="15" customHeight="1" x14ac:dyDescent="0.3">
      <c r="A7" s="9" t="str">
        <f>Daten!A7</f>
        <v>Oklahoma Sooners</v>
      </c>
      <c r="B7" s="12">
        <f>RANK(Daten!B7,Daten!B$2:B$33,1)</f>
        <v>29</v>
      </c>
      <c r="C7" s="12">
        <f>RANK(Daten!C7,Daten!C$2:C$33,0)</f>
        <v>6</v>
      </c>
      <c r="D7" s="12">
        <f>RANK(Daten!D7,Daten!D$2:D$33,0)</f>
        <v>6</v>
      </c>
      <c r="E7" s="12">
        <f>RANK(Daten!E7,Daten!E$2:E$33,0)</f>
        <v>19</v>
      </c>
      <c r="F7" s="12">
        <f>RANK(Daten!F7,Daten!F$2:F$33,0)</f>
        <v>3</v>
      </c>
      <c r="G7" s="12">
        <f>RANK(Daten!G7,Daten!G$2:G$33,0)</f>
        <v>2</v>
      </c>
      <c r="H7" s="12">
        <f>RANK(Daten!H7,Daten!H$2:H$33,0)</f>
        <v>6</v>
      </c>
      <c r="I7" s="12">
        <f>RANK(Daten!I7,Daten!I$2:I$33,0)</f>
        <v>4</v>
      </c>
      <c r="J7" s="12">
        <f>RANK(Daten!J7,Daten!J$2:J$33,0)</f>
        <v>11</v>
      </c>
      <c r="K7" s="12">
        <f>RANK(Daten!K7,Daten!K$2:K$33,0)</f>
        <v>14</v>
      </c>
      <c r="L7" s="12">
        <f>RANK(Daten!L7,Daten!L$2:L$33,1)</f>
        <v>6</v>
      </c>
      <c r="M7" s="12">
        <f>RANK(Daten!M7,Daten!M$2:M$33,0)</f>
        <v>22</v>
      </c>
      <c r="N7" s="12">
        <f>RANK(Daten!N7,Daten!N$2:N$33,0)</f>
        <v>17</v>
      </c>
      <c r="O7" s="12">
        <f>RANK(Daten!O7,Daten!O$2:O$33,0)</f>
        <v>17</v>
      </c>
      <c r="P7" s="12">
        <f>RANK(Daten!P7,Daten!P$2:P$33,0)</f>
        <v>19</v>
      </c>
      <c r="Q7" s="12">
        <f>RANK(Daten!Q7,Daten!Q$2:Q$33,0)</f>
        <v>11</v>
      </c>
      <c r="R7" s="12">
        <f>IF(Daten!R7="","",RANK(Daten!R7,Daten!R$2:R$33,0))</f>
        <v>12</v>
      </c>
      <c r="S7" s="12">
        <f>IF(Daten!S7="","",RANK(Daten!S7,Daten!S$2:S$33,0))</f>
        <v>15</v>
      </c>
      <c r="T7" s="12">
        <f>IF(Daten!T7="","",RANK(Daten!T7,Daten!T$2:T$33,0))</f>
        <v>13</v>
      </c>
      <c r="U7" s="12">
        <f>IF(Daten!U7="","",RANK(Daten!U7,Daten!U$2:U$33,0))</f>
        <v>24</v>
      </c>
      <c r="V7" s="12">
        <f>IF(Daten!V7="","",RANK(Daten!V7,Daten!V$2:V$33,0))</f>
        <v>8</v>
      </c>
      <c r="W7" s="12">
        <f>IF(Daten!W7="","",RANK(Daten!W7,Daten!W$2:W$33,1))</f>
        <v>14</v>
      </c>
      <c r="X7" s="3">
        <f t="shared" si="0"/>
        <v>2</v>
      </c>
      <c r="Y7" s="3">
        <f t="shared" si="1"/>
        <v>0</v>
      </c>
    </row>
    <row r="8" spans="1:25" ht="15" customHeight="1" x14ac:dyDescent="0.3">
      <c r="A8" s="9" t="str">
        <f>Daten!A8</f>
        <v>Texas Longhorns</v>
      </c>
      <c r="B8" s="12">
        <f>RANK(Daten!B8,Daten!B$2:B$33,1)</f>
        <v>26</v>
      </c>
      <c r="C8" s="12">
        <f>RANK(Daten!C8,Daten!C$2:C$33,0)</f>
        <v>4</v>
      </c>
      <c r="D8" s="12">
        <f>RANK(Daten!D8,Daten!D$2:D$33,0)</f>
        <v>7</v>
      </c>
      <c r="E8" s="12">
        <f>RANK(Daten!E8,Daten!E$2:E$33,0)</f>
        <v>22</v>
      </c>
      <c r="F8" s="12">
        <f>RANK(Daten!F8,Daten!F$2:F$33,0)</f>
        <v>8</v>
      </c>
      <c r="G8" s="12">
        <f>RANK(Daten!G8,Daten!G$2:G$33,0)</f>
        <v>11</v>
      </c>
      <c r="H8" s="12">
        <f>RANK(Daten!H8,Daten!H$2:H$33,0)</f>
        <v>4</v>
      </c>
      <c r="I8" s="12">
        <f>RANK(Daten!I8,Daten!I$2:I$33,0)</f>
        <v>9</v>
      </c>
      <c r="J8" s="12">
        <f>RANK(Daten!J8,Daten!J$2:J$33,0)</f>
        <v>11</v>
      </c>
      <c r="K8" s="12">
        <f>RANK(Daten!K8,Daten!K$2:K$33,0)</f>
        <v>7</v>
      </c>
      <c r="L8" s="12">
        <f>RANK(Daten!L8,Daten!L$2:L$33,1)</f>
        <v>10</v>
      </c>
      <c r="M8" s="12">
        <f>RANK(Daten!M8,Daten!M$2:M$33,0)</f>
        <v>5</v>
      </c>
      <c r="N8" s="12">
        <f>RANK(Daten!N8,Daten!N$2:N$33,0)</f>
        <v>2</v>
      </c>
      <c r="O8" s="12">
        <f>RANK(Daten!O8,Daten!O$2:O$33,0)</f>
        <v>13</v>
      </c>
      <c r="P8" s="12">
        <f>RANK(Daten!P8,Daten!P$2:P$33,0)</f>
        <v>5</v>
      </c>
      <c r="Q8" s="12">
        <f>RANK(Daten!Q8,Daten!Q$2:Q$33,0)</f>
        <v>5</v>
      </c>
      <c r="R8" s="12">
        <f>IF(Daten!R8="","",RANK(Daten!R8,Daten!R$2:R$33,0))</f>
        <v>14</v>
      </c>
      <c r="S8" s="12">
        <f>IF(Daten!S8="","",RANK(Daten!S8,Daten!S$2:S$33,0))</f>
        <v>13</v>
      </c>
      <c r="T8" s="12">
        <f>IF(Daten!T8="","",RANK(Daten!T8,Daten!T$2:T$33,0))</f>
        <v>15</v>
      </c>
      <c r="U8" s="12">
        <f>IF(Daten!U8="","",RANK(Daten!U8,Daten!U$2:U$33,0))</f>
        <v>11</v>
      </c>
      <c r="V8" s="12">
        <f>IF(Daten!V8="","",RANK(Daten!V8,Daten!V$2:V$33,0))</f>
        <v>12</v>
      </c>
      <c r="W8" s="12">
        <f>IF(Daten!W8="","",RANK(Daten!W8,Daten!W$2:W$33,1))</f>
        <v>1</v>
      </c>
      <c r="X8" s="3">
        <f t="shared" si="0"/>
        <v>1</v>
      </c>
      <c r="Y8" s="3">
        <f t="shared" si="1"/>
        <v>0</v>
      </c>
    </row>
    <row r="9" spans="1:25" ht="15" customHeight="1" x14ac:dyDescent="0.3">
      <c r="A9" s="9" t="str">
        <f>Daten!A9</f>
        <v>USC Trojans</v>
      </c>
      <c r="B9" s="12">
        <f>RANK(Daten!B9,Daten!B$2:B$33,1)</f>
        <v>25</v>
      </c>
      <c r="C9" s="12">
        <f>RANK(Daten!C9,Daten!C$2:C$33,0)</f>
        <v>10</v>
      </c>
      <c r="D9" s="12">
        <f>RANK(Daten!D9,Daten!D$2:D$33,0)</f>
        <v>8</v>
      </c>
      <c r="E9" s="12">
        <f>RANK(Daten!E9,Daten!E$2:E$33,0)</f>
        <v>21</v>
      </c>
      <c r="F9" s="12">
        <f>RANK(Daten!F9,Daten!F$2:F$33,0)</f>
        <v>5</v>
      </c>
      <c r="G9" s="12">
        <f>RANK(Daten!G9,Daten!G$2:G$33,0)</f>
        <v>1</v>
      </c>
      <c r="H9" s="12">
        <f>RANK(Daten!H9,Daten!H$2:H$33,0)</f>
        <v>3</v>
      </c>
      <c r="I9" s="12">
        <f>RANK(Daten!I9,Daten!I$2:I$33,0)</f>
        <v>24</v>
      </c>
      <c r="J9" s="12">
        <f>RANK(Daten!J9,Daten!J$2:J$33,0)</f>
        <v>14</v>
      </c>
      <c r="K9" s="12">
        <f>RANK(Daten!K9,Daten!K$2:K$33,0)</f>
        <v>17</v>
      </c>
      <c r="L9" s="12">
        <f>RANK(Daten!L9,Daten!L$2:L$33,1)</f>
        <v>6</v>
      </c>
      <c r="M9" s="12">
        <f>RANK(Daten!M9,Daten!M$2:M$33,0)</f>
        <v>10</v>
      </c>
      <c r="N9" s="12">
        <f>RANK(Daten!N9,Daten!N$2:N$33,0)</f>
        <v>1</v>
      </c>
      <c r="O9" s="12">
        <f>RANK(Daten!O9,Daten!O$2:O$33,0)</f>
        <v>23</v>
      </c>
      <c r="P9" s="12">
        <f>RANK(Daten!P9,Daten!P$2:P$33,0)</f>
        <v>3</v>
      </c>
      <c r="Q9" s="12">
        <f>RANK(Daten!Q9,Daten!Q$2:Q$33,0)</f>
        <v>15</v>
      </c>
      <c r="R9" s="12">
        <f>IF(Daten!R9="","",RANK(Daten!R9,Daten!R$2:R$33,0))</f>
        <v>4</v>
      </c>
      <c r="S9" s="12">
        <f>IF(Daten!S9="","",RANK(Daten!S9,Daten!S$2:S$33,0))</f>
        <v>4</v>
      </c>
      <c r="T9" s="12">
        <f>IF(Daten!T9="","",RANK(Daten!T9,Daten!T$2:T$33,0))</f>
        <v>2</v>
      </c>
      <c r="U9" s="12">
        <f>IF(Daten!U9="","",RANK(Daten!U9,Daten!U$2:U$33,0))</f>
        <v>2</v>
      </c>
      <c r="V9" s="12">
        <f>IF(Daten!V9="","",RANK(Daten!V9,Daten!V$2:V$33,0))</f>
        <v>6</v>
      </c>
      <c r="W9" s="12">
        <f>IF(Daten!W9="","",RANK(Daten!W9,Daten!W$2:W$33,1))</f>
        <v>15</v>
      </c>
      <c r="X9" s="3">
        <f t="shared" si="0"/>
        <v>4</v>
      </c>
      <c r="Y9" s="3">
        <f t="shared" si="1"/>
        <v>2</v>
      </c>
    </row>
    <row r="10" spans="1:25" ht="15" customHeight="1" x14ac:dyDescent="0.3">
      <c r="A10" s="9" t="str">
        <f>Daten!A10</f>
        <v>Penn State Nittany Lions</v>
      </c>
      <c r="B10" s="12">
        <f>RANK(Daten!B10,Daten!B$2:B$33,1)</f>
        <v>14</v>
      </c>
      <c r="C10" s="12">
        <f>RANK(Daten!C10,Daten!C$2:C$33,0)</f>
        <v>7</v>
      </c>
      <c r="D10" s="12">
        <f>RANK(Daten!D10,Daten!D$2:D$33,0)</f>
        <v>9</v>
      </c>
      <c r="E10" s="12">
        <f>RANK(Daten!E10,Daten!E$2:E$33,0)</f>
        <v>14</v>
      </c>
      <c r="F10" s="12">
        <f>RANK(Daten!F10,Daten!F$2:F$33,0)</f>
        <v>15</v>
      </c>
      <c r="G10" s="12">
        <f>RANK(Daten!G10,Daten!G$2:G$33,0)</f>
        <v>18</v>
      </c>
      <c r="H10" s="12">
        <f>RANK(Daten!H10,Daten!H$2:H$33,0)</f>
        <v>4</v>
      </c>
      <c r="I10" s="12">
        <f>RANK(Daten!I10,Daten!I$2:I$33,0)</f>
        <v>12</v>
      </c>
      <c r="J10" s="12">
        <f>RANK(Daten!J10,Daten!J$2:J$33,0)</f>
        <v>23</v>
      </c>
      <c r="K10" s="12">
        <f>RANK(Daten!K10,Daten!K$2:K$33,0)</f>
        <v>2</v>
      </c>
      <c r="L10" s="12">
        <f>RANK(Daten!L10,Daten!L$2:L$33,1)</f>
        <v>27</v>
      </c>
      <c r="M10" s="12">
        <f>RANK(Daten!M10,Daten!M$2:M$33,0)</f>
        <v>11</v>
      </c>
      <c r="N10" s="12">
        <f>RANK(Daten!N10,Daten!N$2:N$33,0)</f>
        <v>30</v>
      </c>
      <c r="O10" s="12">
        <f>RANK(Daten!O10,Daten!O$2:O$33,0)</f>
        <v>5</v>
      </c>
      <c r="P10" s="12">
        <f>RANK(Daten!P10,Daten!P$2:P$33,0)</f>
        <v>13</v>
      </c>
      <c r="Q10" s="12">
        <f>RANK(Daten!Q10,Daten!Q$2:Q$33,0)</f>
        <v>9</v>
      </c>
      <c r="R10" s="12">
        <f>IF(Daten!R10="","",RANK(Daten!R10,Daten!R$2:R$33,0))</f>
        <v>5</v>
      </c>
      <c r="S10" s="12">
        <f>IF(Daten!S10="","",RANK(Daten!S10,Daten!S$2:S$33,0))</f>
        <v>11</v>
      </c>
      <c r="T10" s="12">
        <f>IF(Daten!T10="","",RANK(Daten!T10,Daten!T$2:T$33,0))</f>
        <v>9</v>
      </c>
      <c r="U10" s="12">
        <f>IF(Daten!U10="","",RANK(Daten!U10,Daten!U$2:U$33,0))</f>
        <v>11</v>
      </c>
      <c r="V10" s="12">
        <f>IF(Daten!V10="","",RANK(Daten!V10,Daten!V$2:V$33,0))</f>
        <v>11</v>
      </c>
      <c r="W10" s="12">
        <f>IF(Daten!W10="","",RANK(Daten!W10,Daten!W$2:W$33,1))</f>
        <v>15</v>
      </c>
      <c r="X10" s="3">
        <f t="shared" si="0"/>
        <v>1</v>
      </c>
      <c r="Y10" s="3">
        <f t="shared" si="1"/>
        <v>0</v>
      </c>
    </row>
    <row r="11" spans="1:25" ht="15" customHeight="1" x14ac:dyDescent="0.3">
      <c r="A11" s="9" t="str">
        <f>Daten!A11</f>
        <v>Nebraska Cornhuskers</v>
      </c>
      <c r="B11" s="12">
        <f>RANK(Daten!B11,Daten!B$2:B$33,1)</f>
        <v>19</v>
      </c>
      <c r="C11" s="12">
        <f>RANK(Daten!C11,Daten!C$2:C$33,0)</f>
        <v>8</v>
      </c>
      <c r="D11" s="12">
        <f>RANK(Daten!D11,Daten!D$2:D$33,0)</f>
        <v>10</v>
      </c>
      <c r="E11" s="12">
        <f>RANK(Daten!E11,Daten!E$2:E$33,0)</f>
        <v>17</v>
      </c>
      <c r="F11" s="12">
        <f>RANK(Daten!F11,Daten!F$2:F$33,0)</f>
        <v>7</v>
      </c>
      <c r="G11" s="12">
        <f>RANK(Daten!G11,Daten!G$2:G$33,0)</f>
        <v>6</v>
      </c>
      <c r="H11" s="12">
        <f>RANK(Daten!H11,Daten!H$2:H$33,0)</f>
        <v>12</v>
      </c>
      <c r="I11" s="12">
        <f>RANK(Daten!I11,Daten!I$2:I$33,0)</f>
        <v>24</v>
      </c>
      <c r="J11" s="12">
        <f>RANK(Daten!J11,Daten!J$2:J$33,0)</f>
        <v>23</v>
      </c>
      <c r="K11" s="12">
        <f>RANK(Daten!K11,Daten!K$2:K$33,0)</f>
        <v>12</v>
      </c>
      <c r="L11" s="12">
        <f>RANK(Daten!L11,Daten!L$2:L$33,1)</f>
        <v>6</v>
      </c>
      <c r="M11" s="12">
        <f>RANK(Daten!M11,Daten!M$2:M$33,0)</f>
        <v>28</v>
      </c>
      <c r="N11" s="12">
        <f>RANK(Daten!N11,Daten!N$2:N$33,0)</f>
        <v>6</v>
      </c>
      <c r="O11" s="12">
        <f>RANK(Daten!O11,Daten!O$2:O$33,0)</f>
        <v>27</v>
      </c>
      <c r="P11" s="12">
        <f>RANK(Daten!P11,Daten!P$2:P$33,0)</f>
        <v>13</v>
      </c>
      <c r="Q11" s="12">
        <f>RANK(Daten!Q11,Daten!Q$2:Q$33,0)</f>
        <v>31</v>
      </c>
      <c r="R11" s="12">
        <f>IF(Daten!R11="","",RANK(Daten!R11,Daten!R$2:R$33,0))</f>
        <v>15</v>
      </c>
      <c r="S11" s="12">
        <f>IF(Daten!S11="","",RANK(Daten!S11,Daten!S$2:S$33,0))</f>
        <v>20</v>
      </c>
      <c r="T11" s="12">
        <f>IF(Daten!T11="","",RANK(Daten!T11,Daten!T$2:T$33,0))</f>
        <v>20</v>
      </c>
      <c r="U11" s="12">
        <f>IF(Daten!U11="","",RANK(Daten!U11,Daten!U$2:U$33,0))</f>
        <v>7</v>
      </c>
      <c r="V11" s="12">
        <f>IF(Daten!V11="","",RANK(Daten!V11,Daten!V$2:V$33,0))</f>
        <v>22</v>
      </c>
      <c r="W11" s="12">
        <f>IF(Daten!W11="","",RANK(Daten!W11,Daten!W$2:W$33,1))</f>
        <v>11</v>
      </c>
      <c r="X11" s="3">
        <f t="shared" si="0"/>
        <v>0</v>
      </c>
      <c r="Y11" s="3">
        <f t="shared" si="1"/>
        <v>0</v>
      </c>
    </row>
    <row r="12" spans="1:25" ht="15" customHeight="1" x14ac:dyDescent="0.3">
      <c r="A12" s="9" t="str">
        <f>Daten!A12</f>
        <v>Tennessee Volunteers</v>
      </c>
      <c r="B12" s="12">
        <f>RANK(Daten!B12,Daten!B$2:B$33,1)</f>
        <v>2</v>
      </c>
      <c r="C12" s="12">
        <f>RANK(Daten!C12,Daten!C$2:C$33,0)</f>
        <v>11</v>
      </c>
      <c r="D12" s="12">
        <f>RANK(Daten!D12,Daten!D$2:D$33,0)</f>
        <v>11</v>
      </c>
      <c r="E12" s="12">
        <f>RANK(Daten!E12,Daten!E$2:E$33,0)</f>
        <v>18</v>
      </c>
      <c r="F12" s="12">
        <f>RANK(Daten!F12,Daten!F$2:F$33,0)</f>
        <v>15</v>
      </c>
      <c r="G12" s="12">
        <f>RANK(Daten!G12,Daten!G$2:G$33,0)</f>
        <v>23</v>
      </c>
      <c r="H12" s="12">
        <f>RANK(Daten!H12,Daten!H$2:H$33,0)</f>
        <v>6</v>
      </c>
      <c r="I12" s="12">
        <f>RANK(Daten!I12,Daten!I$2:I$33,0)</f>
        <v>12</v>
      </c>
      <c r="J12" s="12">
        <f>RANK(Daten!J12,Daten!J$2:J$33,0)</f>
        <v>20</v>
      </c>
      <c r="K12" s="12">
        <f>RANK(Daten!K12,Daten!K$2:K$33,0)</f>
        <v>6</v>
      </c>
      <c r="L12" s="12">
        <f>RANK(Daten!L12,Daten!L$2:L$33,1)</f>
        <v>4</v>
      </c>
      <c r="M12" s="12">
        <f>RANK(Daten!M12,Daten!M$2:M$33,0)</f>
        <v>18</v>
      </c>
      <c r="N12" s="12">
        <f>RANK(Daten!N12,Daten!N$2:N$33,0)</f>
        <v>13</v>
      </c>
      <c r="O12" s="12">
        <f>RANK(Daten!O12,Daten!O$2:O$33,0)</f>
        <v>17</v>
      </c>
      <c r="P12" s="12">
        <f>RANK(Daten!P12,Daten!P$2:P$33,0)</f>
        <v>9</v>
      </c>
      <c r="Q12" s="12">
        <f>RANK(Daten!Q12,Daten!Q$2:Q$33,0)</f>
        <v>22</v>
      </c>
      <c r="R12" s="12">
        <f>IF(Daten!R12="","",RANK(Daten!R12,Daten!R$2:R$33,0))</f>
        <v>13</v>
      </c>
      <c r="S12" s="12">
        <f>IF(Daten!S12="","",RANK(Daten!S12,Daten!S$2:S$33,0))</f>
        <v>8</v>
      </c>
      <c r="T12" s="12">
        <f>IF(Daten!T12="","",RANK(Daten!T12,Daten!T$2:T$33,0))</f>
        <v>9</v>
      </c>
      <c r="U12" s="12">
        <f>IF(Daten!U12="","",RANK(Daten!U12,Daten!U$2:U$33,0))</f>
        <v>11</v>
      </c>
      <c r="V12" s="12">
        <f>IF(Daten!V12="","",RANK(Daten!V12,Daten!V$2:V$33,0))</f>
        <v>17</v>
      </c>
      <c r="W12" s="12">
        <f>IF(Daten!W12="","",RANK(Daten!W12,Daten!W$2:W$33,1))</f>
        <v>2</v>
      </c>
      <c r="X12" s="3">
        <f t="shared" si="0"/>
        <v>1</v>
      </c>
      <c r="Y12" s="3">
        <f t="shared" si="1"/>
        <v>0</v>
      </c>
    </row>
    <row r="13" spans="1:25" ht="15" customHeight="1" x14ac:dyDescent="0.3">
      <c r="A13" s="9" t="str">
        <f>Daten!A13</f>
        <v>Georgia Bulldogs</v>
      </c>
      <c r="B13" s="12">
        <f>RANK(Daten!B13,Daten!B$2:B$33,1)</f>
        <v>1</v>
      </c>
      <c r="C13" s="12">
        <f>RANK(Daten!C13,Daten!C$2:C$33,0)</f>
        <v>9</v>
      </c>
      <c r="D13" s="12">
        <f>RANK(Daten!D13,Daten!D$2:D$33,0)</f>
        <v>12</v>
      </c>
      <c r="E13" s="12">
        <f>RANK(Daten!E13,Daten!E$2:E$33,0)</f>
        <v>29</v>
      </c>
      <c r="F13" s="12">
        <f>RANK(Daten!F13,Daten!F$2:F$33,0)</f>
        <v>8</v>
      </c>
      <c r="G13" s="12">
        <f>RANK(Daten!G13,Daten!G$2:G$33,0)</f>
        <v>11</v>
      </c>
      <c r="H13" s="12">
        <f>RANK(Daten!H13,Daten!H$2:H$33,0)</f>
        <v>2</v>
      </c>
      <c r="I13" s="12">
        <f>RANK(Daten!I13,Daten!I$2:I$33,0)</f>
        <v>4</v>
      </c>
      <c r="J13" s="12">
        <f>RANK(Daten!J13,Daten!J$2:J$33,0)</f>
        <v>5</v>
      </c>
      <c r="K13" s="12">
        <f>RANK(Daten!K13,Daten!K$2:K$33,0)</f>
        <v>9</v>
      </c>
      <c r="L13" s="12">
        <f>RANK(Daten!L13,Daten!L$2:L$33,1)</f>
        <v>16</v>
      </c>
      <c r="M13" s="12">
        <f>RANK(Daten!M13,Daten!M$2:M$33,0)</f>
        <v>14</v>
      </c>
      <c r="N13" s="12">
        <f>RANK(Daten!N13,Daten!N$2:N$33,0)</f>
        <v>18</v>
      </c>
      <c r="O13" s="12">
        <f>RANK(Daten!O13,Daten!O$2:O$33,0)</f>
        <v>5</v>
      </c>
      <c r="P13" s="12">
        <f>RANK(Daten!P13,Daten!P$2:P$33,0)</f>
        <v>1</v>
      </c>
      <c r="Q13" s="12">
        <f>RANK(Daten!Q13,Daten!Q$2:Q$33,0)</f>
        <v>3</v>
      </c>
      <c r="R13" s="12">
        <f>IF(Daten!R13="","",RANK(Daten!R13,Daten!R$2:R$33,0))</f>
        <v>8</v>
      </c>
      <c r="S13" s="12">
        <f>IF(Daten!S13="","",RANK(Daten!S13,Daten!S$2:S$33,0))</f>
        <v>6</v>
      </c>
      <c r="T13" s="12">
        <f>IF(Daten!T13="","",RANK(Daten!T13,Daten!T$2:T$33,0))</f>
        <v>7</v>
      </c>
      <c r="U13" s="12">
        <f>IF(Daten!U13="","",RANK(Daten!U13,Daten!U$2:U$33,0))</f>
        <v>4</v>
      </c>
      <c r="V13" s="12">
        <f>IF(Daten!V13="","",RANK(Daten!V13,Daten!V$2:V$33,0))</f>
        <v>4</v>
      </c>
      <c r="W13" s="12">
        <f>IF(Daten!W13="","",RANK(Daten!W13,Daten!W$2:W$33,1))</f>
        <v>15</v>
      </c>
      <c r="X13" s="3">
        <f t="shared" si="0"/>
        <v>4</v>
      </c>
      <c r="Y13" s="3">
        <f t="shared" si="1"/>
        <v>2</v>
      </c>
    </row>
    <row r="14" spans="1:25" ht="15" customHeight="1" x14ac:dyDescent="0.3">
      <c r="A14" s="9" t="str">
        <f>Daten!A14</f>
        <v>Florida State Seminoles</v>
      </c>
      <c r="B14" s="12">
        <f>RANK(Daten!B14,Daten!B$2:B$33,1)</f>
        <v>12</v>
      </c>
      <c r="C14" s="12">
        <f>RANK(Daten!C14,Daten!C$2:C$33,0)</f>
        <v>30</v>
      </c>
      <c r="D14" s="12">
        <f>RANK(Daten!D14,Daten!D$2:D$33,0)</f>
        <v>13</v>
      </c>
      <c r="E14" s="12">
        <f>RANK(Daten!E14,Daten!E$2:E$33,0)</f>
        <v>25</v>
      </c>
      <c r="F14" s="12">
        <f>RANK(Daten!F14,Daten!F$2:F$33,0)</f>
        <v>8</v>
      </c>
      <c r="G14" s="12">
        <f>RANK(Daten!G14,Daten!G$2:G$33,0)</f>
        <v>6</v>
      </c>
      <c r="H14" s="12">
        <f>RANK(Daten!H14,Daten!H$2:H$33,0)</f>
        <v>10</v>
      </c>
      <c r="I14" s="12">
        <f>RANK(Daten!I14,Daten!I$2:I$33,0)</f>
        <v>12</v>
      </c>
      <c r="J14" s="12">
        <f>RANK(Daten!J14,Daten!J$2:J$33,0)</f>
        <v>27</v>
      </c>
      <c r="K14" s="12">
        <f>RANK(Daten!K14,Daten!K$2:K$33,0)</f>
        <v>15</v>
      </c>
      <c r="L14" s="12">
        <f>RANK(Daten!L14,Daten!L$2:L$33,1)</f>
        <v>25</v>
      </c>
      <c r="M14" s="12">
        <f>RANK(Daten!M14,Daten!M$2:M$33,0)</f>
        <v>13</v>
      </c>
      <c r="N14" s="12">
        <f>RANK(Daten!N14,Daten!N$2:N$33,0)</f>
        <v>12</v>
      </c>
      <c r="O14" s="12">
        <f>RANK(Daten!O14,Daten!O$2:O$33,0)</f>
        <v>27</v>
      </c>
      <c r="P14" s="12">
        <f>RANK(Daten!P14,Daten!P$2:P$33,0)</f>
        <v>30</v>
      </c>
      <c r="Q14" s="12">
        <f>RANK(Daten!Q14,Daten!Q$2:Q$33,0)</f>
        <v>24</v>
      </c>
      <c r="R14" s="12">
        <f>IF(Daten!R14="","",RANK(Daten!R14,Daten!R$2:R$33,0))</f>
        <v>11</v>
      </c>
      <c r="S14" s="12">
        <f>IF(Daten!S14="","",RANK(Daten!S14,Daten!S$2:S$33,0))</f>
        <v>7</v>
      </c>
      <c r="T14" s="12">
        <f>IF(Daten!T14="","",RANK(Daten!T14,Daten!T$2:T$33,0))</f>
        <v>6</v>
      </c>
      <c r="U14" s="12">
        <f>IF(Daten!U14="","",RANK(Daten!U14,Daten!U$2:U$33,0))</f>
        <v>3</v>
      </c>
      <c r="V14" s="12">
        <f>IF(Daten!V14="","",RANK(Daten!V14,Daten!V$2:V$33,0))</f>
        <v>7</v>
      </c>
      <c r="W14" s="12">
        <f>IF(Daten!W14="","",RANK(Daten!W14,Daten!W$2:W$33,1))</f>
        <v>27</v>
      </c>
      <c r="X14" s="3">
        <f t="shared" si="0"/>
        <v>0</v>
      </c>
      <c r="Y14" s="3">
        <f t="shared" si="1"/>
        <v>0</v>
      </c>
    </row>
    <row r="15" spans="1:25" ht="15" customHeight="1" x14ac:dyDescent="0.3">
      <c r="A15" s="9" t="str">
        <f>Daten!A15</f>
        <v>LSU Tigers</v>
      </c>
      <c r="B15" s="12">
        <f>RANK(Daten!B15,Daten!B$2:B$33,1)</f>
        <v>17</v>
      </c>
      <c r="C15" s="12">
        <f>RANK(Daten!C15,Daten!C$2:C$33,0)</f>
        <v>12</v>
      </c>
      <c r="D15" s="12">
        <f>RANK(Daten!D15,Daten!D$2:D$33,0)</f>
        <v>14</v>
      </c>
      <c r="E15" s="12">
        <f>RANK(Daten!E15,Daten!E$2:E$33,0)</f>
        <v>27</v>
      </c>
      <c r="F15" s="12">
        <f>RANK(Daten!F15,Daten!F$2:F$33,0)</f>
        <v>8</v>
      </c>
      <c r="G15" s="12">
        <f>RANK(Daten!G15,Daten!G$2:G$33,0)</f>
        <v>11</v>
      </c>
      <c r="H15" s="12">
        <f>RANK(Daten!H15,Daten!H$2:H$33,0)</f>
        <v>6</v>
      </c>
      <c r="I15" s="12">
        <f>RANK(Daten!I15,Daten!I$2:I$33,0)</f>
        <v>12</v>
      </c>
      <c r="J15" s="12">
        <f>RANK(Daten!J15,Daten!J$2:J$33,0)</f>
        <v>23</v>
      </c>
      <c r="K15" s="12">
        <f>RANK(Daten!K15,Daten!K$2:K$33,0)</f>
        <v>5</v>
      </c>
      <c r="L15" s="12">
        <f>RANK(Daten!L15,Daten!L$2:L$33,1)</f>
        <v>10</v>
      </c>
      <c r="M15" s="12">
        <f>RANK(Daten!M15,Daten!M$2:M$33,0)</f>
        <v>17</v>
      </c>
      <c r="N15" s="12">
        <f>RANK(Daten!N15,Daten!N$2:N$33,0)</f>
        <v>10</v>
      </c>
      <c r="O15" s="12">
        <f>RANK(Daten!O15,Daten!O$2:O$33,0)</f>
        <v>10</v>
      </c>
      <c r="P15" s="12">
        <f>RANK(Daten!P15,Daten!P$2:P$33,0)</f>
        <v>8</v>
      </c>
      <c r="Q15" s="12">
        <f>RANK(Daten!Q15,Daten!Q$2:Q$33,0)</f>
        <v>4</v>
      </c>
      <c r="R15" s="12">
        <f>IF(Daten!R15="","",RANK(Daten!R15,Daten!R$2:R$33,0))</f>
        <v>7</v>
      </c>
      <c r="S15" s="12">
        <f>IF(Daten!S15="","",RANK(Daten!S15,Daten!S$2:S$33,0))</f>
        <v>8</v>
      </c>
      <c r="T15" s="12">
        <f>IF(Daten!T15="","",RANK(Daten!T15,Daten!T$2:T$33,0))</f>
        <v>5</v>
      </c>
      <c r="U15" s="12">
        <f>IF(Daten!U15="","",RANK(Daten!U15,Daten!U$2:U$33,0))</f>
        <v>7</v>
      </c>
      <c r="V15" s="12">
        <f>IF(Daten!V15="","",RANK(Daten!V15,Daten!V$2:V$33,0))</f>
        <v>3</v>
      </c>
      <c r="W15" s="12">
        <f>IF(Daten!W15="","",RANK(Daten!W15,Daten!W$2:W$33,1))</f>
        <v>8</v>
      </c>
      <c r="X15" s="3">
        <f t="shared" si="0"/>
        <v>0</v>
      </c>
      <c r="Y15" s="3">
        <f t="shared" si="1"/>
        <v>0</v>
      </c>
    </row>
    <row r="16" spans="1:25" ht="15" customHeight="1" x14ac:dyDescent="0.3">
      <c r="A16" s="9" t="str">
        <f>Daten!A16</f>
        <v>Miami Hurricanes</v>
      </c>
      <c r="B16" s="12">
        <f>RANK(Daten!B16,Daten!B$2:B$33,1)</f>
        <v>31</v>
      </c>
      <c r="C16" s="12">
        <f>RANK(Daten!C16,Daten!C$2:C$33,0)</f>
        <v>27</v>
      </c>
      <c r="D16" s="12">
        <f>RANK(Daten!D16,Daten!D$2:D$33,0)</f>
        <v>15</v>
      </c>
      <c r="E16" s="12">
        <f>RANK(Daten!E16,Daten!E$2:E$33,0)</f>
        <v>20</v>
      </c>
      <c r="F16" s="12">
        <f>RANK(Daten!F16,Daten!F$2:F$33,0)</f>
        <v>5</v>
      </c>
      <c r="G16" s="12">
        <f>RANK(Daten!G16,Daten!G$2:G$33,0)</f>
        <v>11</v>
      </c>
      <c r="H16" s="12">
        <f>RANK(Daten!H16,Daten!H$2:H$33,0)</f>
        <v>18</v>
      </c>
      <c r="I16" s="12">
        <f>RANK(Daten!I16,Daten!I$2:I$33,0)</f>
        <v>12</v>
      </c>
      <c r="J16" s="12">
        <f>RANK(Daten!J16,Daten!J$2:J$33,0)</f>
        <v>2</v>
      </c>
      <c r="K16" s="12">
        <f>RANK(Daten!K16,Daten!K$2:K$33,0)</f>
        <v>22</v>
      </c>
      <c r="L16" s="12">
        <f>RANK(Daten!L16,Daten!L$2:L$33,1)</f>
        <v>31</v>
      </c>
      <c r="M16" s="12">
        <f>RANK(Daten!M16,Daten!M$2:M$33,0)</f>
        <v>30</v>
      </c>
      <c r="N16" s="12">
        <f>RANK(Daten!N16,Daten!N$2:N$33,0)</f>
        <v>28</v>
      </c>
      <c r="O16" s="12">
        <f>RANK(Daten!O16,Daten!O$2:O$33,0)</f>
        <v>4</v>
      </c>
      <c r="P16" s="12">
        <f>RANK(Daten!P16,Daten!P$2:P$33,0)</f>
        <v>15</v>
      </c>
      <c r="Q16" s="12">
        <f>RANK(Daten!Q16,Daten!Q$2:Q$33,0)</f>
        <v>14</v>
      </c>
      <c r="R16" s="12">
        <f>IF(Daten!R16="","",RANK(Daten!R16,Daten!R$2:R$33,0))</f>
        <v>2</v>
      </c>
      <c r="S16" s="12">
        <f>IF(Daten!S16="","",RANK(Daten!S16,Daten!S$2:S$33,0))</f>
        <v>3</v>
      </c>
      <c r="T16" s="12">
        <f>IF(Daten!T16="","",RANK(Daten!T16,Daten!T$2:T$33,0))</f>
        <v>1</v>
      </c>
      <c r="U16" s="12">
        <f>IF(Daten!U16="","",RANK(Daten!U16,Daten!U$2:U$33,0))</f>
        <v>1</v>
      </c>
      <c r="V16" s="12">
        <f>IF(Daten!V16="","",RANK(Daten!V16,Daten!V$2:V$33,0))</f>
        <v>15</v>
      </c>
      <c r="W16" s="12">
        <f>IF(Daten!W16="","",RANK(Daten!W16,Daten!W$2:W$33,1))</f>
        <v>8</v>
      </c>
      <c r="X16" s="3">
        <f t="shared" si="0"/>
        <v>1</v>
      </c>
      <c r="Y16" s="3">
        <f t="shared" si="1"/>
        <v>0</v>
      </c>
    </row>
    <row r="17" spans="1:25" ht="15" customHeight="1" x14ac:dyDescent="0.3">
      <c r="A17" s="9" t="str">
        <f>Daten!A17</f>
        <v>Florida Gators</v>
      </c>
      <c r="B17" s="12">
        <f>RANK(Daten!B17,Daten!B$2:B$33,1)</f>
        <v>13</v>
      </c>
      <c r="C17" s="12">
        <f>RANK(Daten!C17,Daten!C$2:C$33,0)</f>
        <v>17</v>
      </c>
      <c r="D17" s="12">
        <f>RANK(Daten!D17,Daten!D$2:D$33,0)</f>
        <v>16</v>
      </c>
      <c r="E17" s="12">
        <f>RANK(Daten!E17,Daten!E$2:E$33,0)</f>
        <v>23</v>
      </c>
      <c r="F17" s="12">
        <f>RANK(Daten!F17,Daten!F$2:F$33,0)</f>
        <v>8</v>
      </c>
      <c r="G17" s="12">
        <f>RANK(Daten!G17,Daten!G$2:G$33,0)</f>
        <v>6</v>
      </c>
      <c r="H17" s="12">
        <f>RANK(Daten!H17,Daten!H$2:H$33,0)</f>
        <v>14</v>
      </c>
      <c r="I17" s="12">
        <f>RANK(Daten!I17,Daten!I$2:I$33,0)</f>
        <v>24</v>
      </c>
      <c r="J17" s="12">
        <f>RANK(Daten!J17,Daten!J$2:J$33,0)</f>
        <v>29</v>
      </c>
      <c r="K17" s="12">
        <f>RANK(Daten!K17,Daten!K$2:K$33,0)</f>
        <v>10</v>
      </c>
      <c r="L17" s="12">
        <f>RANK(Daten!L17,Daten!L$2:L$33,1)</f>
        <v>19</v>
      </c>
      <c r="M17" s="12">
        <f>RANK(Daten!M17,Daten!M$2:M$33,0)</f>
        <v>4</v>
      </c>
      <c r="N17" s="12">
        <f>RANK(Daten!N17,Daten!N$2:N$33,0)</f>
        <v>16</v>
      </c>
      <c r="O17" s="12">
        <f>RANK(Daten!O17,Daten!O$2:O$33,0)</f>
        <v>13</v>
      </c>
      <c r="P17" s="12">
        <f>RANK(Daten!P17,Daten!P$2:P$33,0)</f>
        <v>20</v>
      </c>
      <c r="Q17" s="12">
        <f>RANK(Daten!Q17,Daten!Q$2:Q$33,0)</f>
        <v>8</v>
      </c>
      <c r="R17" s="12">
        <f>IF(Daten!R17="","",RANK(Daten!R17,Daten!R$2:R$33,0))</f>
        <v>6</v>
      </c>
      <c r="S17" s="12">
        <f>IF(Daten!S17="","",RANK(Daten!S17,Daten!S$2:S$33,0))</f>
        <v>5</v>
      </c>
      <c r="T17" s="12">
        <f>IF(Daten!T17="","",RANK(Daten!T17,Daten!T$2:T$33,0))</f>
        <v>12</v>
      </c>
      <c r="U17" s="12">
        <f>IF(Daten!U17="","",RANK(Daten!U17,Daten!U$2:U$33,0))</f>
        <v>11</v>
      </c>
      <c r="V17" s="12">
        <f>IF(Daten!V17="","",RANK(Daten!V17,Daten!V$2:V$33,0))</f>
        <v>5</v>
      </c>
      <c r="W17" s="12">
        <f>IF(Daten!W17="","",RANK(Daten!W17,Daten!W$2:W$33,1))</f>
        <v>19</v>
      </c>
      <c r="X17" s="3">
        <f t="shared" si="0"/>
        <v>0</v>
      </c>
      <c r="Y17" s="3">
        <f t="shared" si="1"/>
        <v>0</v>
      </c>
    </row>
    <row r="18" spans="1:25" ht="15" customHeight="1" x14ac:dyDescent="0.3">
      <c r="A18" s="9" t="str">
        <f>Daten!A18</f>
        <v>Clemson Tigers</v>
      </c>
      <c r="B18" s="12">
        <f>RANK(Daten!B18,Daten!B$2:B$33,1)</f>
        <v>28</v>
      </c>
      <c r="C18" s="12">
        <f>RANK(Daten!C18,Daten!C$2:C$33,0)</f>
        <v>13</v>
      </c>
      <c r="D18" s="12">
        <f>RANK(Daten!D18,Daten!D$2:D$33,0)</f>
        <v>17</v>
      </c>
      <c r="E18" s="12">
        <f>RANK(Daten!E18,Daten!E$2:E$33,0)</f>
        <v>26</v>
      </c>
      <c r="F18" s="12">
        <f>RANK(Daten!F18,Daten!F$2:F$33,0)</f>
        <v>8</v>
      </c>
      <c r="G18" s="12">
        <f>RANK(Daten!G18,Daten!G$2:G$33,0)</f>
        <v>23</v>
      </c>
      <c r="H18" s="12">
        <f>RANK(Daten!H18,Daten!H$2:H$33,0)</f>
        <v>12</v>
      </c>
      <c r="I18" s="12">
        <f>RANK(Daten!I18,Daten!I$2:I$33,0)</f>
        <v>2</v>
      </c>
      <c r="J18" s="12">
        <f>RANK(Daten!J18,Daten!J$2:J$33,0)</f>
        <v>23</v>
      </c>
      <c r="K18" s="12">
        <f>RANK(Daten!K18,Daten!K$2:K$33,0)</f>
        <v>13</v>
      </c>
      <c r="L18" s="12">
        <f>RANK(Daten!L18,Daten!L$2:L$33,1)</f>
        <v>23</v>
      </c>
      <c r="M18" s="12">
        <f>RANK(Daten!M18,Daten!M$2:M$33,0)</f>
        <v>25</v>
      </c>
      <c r="N18" s="12">
        <f>RANK(Daten!N18,Daten!N$2:N$33,0)</f>
        <v>32</v>
      </c>
      <c r="O18" s="12">
        <f>RANK(Daten!O18,Daten!O$2:O$33,0)</f>
        <v>5</v>
      </c>
      <c r="P18" s="12">
        <f>RANK(Daten!P18,Daten!P$2:P$33,0)</f>
        <v>4</v>
      </c>
      <c r="Q18" s="12">
        <f>RANK(Daten!Q18,Daten!Q$2:Q$33,0)</f>
        <v>13</v>
      </c>
      <c r="R18" s="12">
        <f>IF(Daten!R18="","",RANK(Daten!R18,Daten!R$2:R$33,0))</f>
        <v>16</v>
      </c>
      <c r="S18" s="12">
        <f>IF(Daten!S18="","",RANK(Daten!S18,Daten!S$2:S$33,0))</f>
        <v>12</v>
      </c>
      <c r="T18" s="12">
        <f>IF(Daten!T18="","",RANK(Daten!T18,Daten!T$2:T$33,0))</f>
        <v>15</v>
      </c>
      <c r="U18" s="12">
        <f>IF(Daten!U18="","",RANK(Daten!U18,Daten!U$2:U$33,0))</f>
        <v>11</v>
      </c>
      <c r="V18" s="12">
        <f>IF(Daten!V18="","",RANK(Daten!V18,Daten!V$2:V$33,0))</f>
        <v>12</v>
      </c>
      <c r="W18" s="12">
        <f>IF(Daten!W18="","",RANK(Daten!W18,Daten!W$2:W$33,1))</f>
        <v>8</v>
      </c>
      <c r="X18" s="3">
        <f t="shared" si="0"/>
        <v>1</v>
      </c>
      <c r="Y18" s="3">
        <f t="shared" si="1"/>
        <v>0</v>
      </c>
    </row>
    <row r="19" spans="1:25" ht="15" customHeight="1" x14ac:dyDescent="0.3">
      <c r="A19" s="9" t="str">
        <f>Daten!A19</f>
        <v>Auburn Tigers</v>
      </c>
      <c r="B19" s="12">
        <f>RANK(Daten!B19,Daten!B$2:B$33,1)</f>
        <v>16</v>
      </c>
      <c r="C19" s="12">
        <f>RANK(Daten!C19,Daten!C$2:C$33,0)</f>
        <v>14</v>
      </c>
      <c r="D19" s="12">
        <f>RANK(Daten!D19,Daten!D$2:D$33,0)</f>
        <v>18</v>
      </c>
      <c r="E19" s="12">
        <f>RANK(Daten!E19,Daten!E$2:E$33,0)</f>
        <v>24</v>
      </c>
      <c r="F19" s="12">
        <f>RANK(Daten!F19,Daten!F$2:F$33,0)</f>
        <v>15</v>
      </c>
      <c r="G19" s="12">
        <f>RANK(Daten!G19,Daten!G$2:G$33,0)</f>
        <v>6</v>
      </c>
      <c r="H19" s="12">
        <f>RANK(Daten!H19,Daten!H$2:H$33,0)</f>
        <v>15</v>
      </c>
      <c r="I19" s="12">
        <f>RANK(Daten!I19,Daten!I$2:I$33,0)</f>
        <v>24</v>
      </c>
      <c r="J19" s="12">
        <f>RANK(Daten!J19,Daten!J$2:J$33,0)</f>
        <v>27</v>
      </c>
      <c r="K19" s="12">
        <f>RANK(Daten!K19,Daten!K$2:K$33,0)</f>
        <v>11</v>
      </c>
      <c r="L19" s="12">
        <f>RANK(Daten!L19,Daten!L$2:L$33,1)</f>
        <v>22</v>
      </c>
      <c r="M19" s="12">
        <f>RANK(Daten!M19,Daten!M$2:M$33,0)</f>
        <v>21</v>
      </c>
      <c r="N19" s="12">
        <f>RANK(Daten!N19,Daten!N$2:N$33,0)</f>
        <v>25</v>
      </c>
      <c r="O19" s="12">
        <f>RANK(Daten!O19,Daten!O$2:O$33,0)</f>
        <v>21</v>
      </c>
      <c r="P19" s="12">
        <f>RANK(Daten!P19,Daten!P$2:P$33,0)</f>
        <v>28</v>
      </c>
      <c r="Q19" s="12">
        <f>RANK(Daten!Q19,Daten!Q$2:Q$33,0)</f>
        <v>18</v>
      </c>
      <c r="R19" s="12">
        <f>IF(Daten!R19="","",RANK(Daten!R19,Daten!R$2:R$33,0))</f>
        <v>19</v>
      </c>
      <c r="S19" s="12">
        <f>IF(Daten!S19="","",RANK(Daten!S19,Daten!S$2:S$33,0))</f>
        <v>18</v>
      </c>
      <c r="T19" s="12">
        <f>IF(Daten!T19="","",RANK(Daten!T19,Daten!T$2:T$33,0))</f>
        <v>15</v>
      </c>
      <c r="U19" s="12">
        <f>IF(Daten!U19="","",RANK(Daten!U19,Daten!U$2:U$33,0))</f>
        <v>11</v>
      </c>
      <c r="V19" s="12">
        <f>IF(Daten!V19="","",RANK(Daten!V19,Daten!V$2:V$33,0))</f>
        <v>18</v>
      </c>
      <c r="W19" s="12">
        <f>IF(Daten!W19="","",RANK(Daten!W19,Daten!W$2:W$33,1))</f>
        <v>5</v>
      </c>
      <c r="X19" s="3">
        <f t="shared" si="0"/>
        <v>0</v>
      </c>
      <c r="Y19" s="3">
        <f t="shared" si="1"/>
        <v>0</v>
      </c>
    </row>
    <row r="20" spans="1:25" ht="15" customHeight="1" x14ac:dyDescent="0.3">
      <c r="A20" s="9" t="str">
        <f>Daten!A20</f>
        <v>Washington Huskies</v>
      </c>
      <c r="B20" s="12">
        <f>RANK(Daten!B20,Daten!B$2:B$33,1)</f>
        <v>18</v>
      </c>
      <c r="C20" s="12">
        <f>RANK(Daten!C20,Daten!C$2:C$33,0)</f>
        <v>16</v>
      </c>
      <c r="D20" s="12">
        <f>RANK(Daten!D20,Daten!D$2:D$33,0)</f>
        <v>19</v>
      </c>
      <c r="E20" s="12">
        <f>RANK(Daten!E20,Daten!E$2:E$33,0)</f>
        <v>1</v>
      </c>
      <c r="F20" s="12">
        <f>RANK(Daten!F20,Daten!F$2:F$33,0)</f>
        <v>23</v>
      </c>
      <c r="G20" s="12">
        <f>RANK(Daten!G20,Daten!G$2:G$33,0)</f>
        <v>23</v>
      </c>
      <c r="H20" s="12">
        <f>RANK(Daten!H20,Daten!H$2:H$33,0)</f>
        <v>19</v>
      </c>
      <c r="I20" s="12">
        <f>RANK(Daten!I20,Daten!I$2:I$33,0)</f>
        <v>9</v>
      </c>
      <c r="J20" s="12">
        <f>RANK(Daten!J20,Daten!J$2:J$33,0)</f>
        <v>14</v>
      </c>
      <c r="K20" s="12">
        <f>RANK(Daten!K20,Daten!K$2:K$33,0)</f>
        <v>20</v>
      </c>
      <c r="L20" s="12">
        <f>RANK(Daten!L20,Daten!L$2:L$33,1)</f>
        <v>3</v>
      </c>
      <c r="M20" s="12">
        <f>RANK(Daten!M20,Daten!M$2:M$33,0)</f>
        <v>7</v>
      </c>
      <c r="N20" s="12">
        <f>RANK(Daten!N20,Daten!N$2:N$33,0)</f>
        <v>5</v>
      </c>
      <c r="O20" s="12">
        <f>RANK(Daten!O20,Daten!O$2:O$33,0)</f>
        <v>10</v>
      </c>
      <c r="P20" s="12">
        <f>RANK(Daten!P20,Daten!P$2:P$33,0)</f>
        <v>18</v>
      </c>
      <c r="Q20" s="12">
        <f>RANK(Daten!Q20,Daten!Q$2:Q$33,0)</f>
        <v>18</v>
      </c>
      <c r="R20" s="12">
        <f>IF(Daten!R20="","",RANK(Daten!R20,Daten!R$2:R$33,0))</f>
        <v>18</v>
      </c>
      <c r="S20" s="12">
        <f>IF(Daten!S20="","",RANK(Daten!S20,Daten!S$2:S$33,0))</f>
        <v>17</v>
      </c>
      <c r="T20" s="12">
        <f>IF(Daten!T20="","",RANK(Daten!T20,Daten!T$2:T$33,0))</f>
        <v>22</v>
      </c>
      <c r="U20" s="12">
        <f>IF(Daten!U20="","",RANK(Daten!U20,Daten!U$2:U$33,0))</f>
        <v>24</v>
      </c>
      <c r="V20" s="12">
        <f>IF(Daten!V20="","",RANK(Daten!V20,Daten!V$2:V$33,0))</f>
        <v>23</v>
      </c>
      <c r="W20" s="12">
        <f>IF(Daten!W20="","",RANK(Daten!W20,Daten!W$2:W$33,1))</f>
        <v>2</v>
      </c>
      <c r="X20" s="3">
        <f t="shared" si="0"/>
        <v>2</v>
      </c>
      <c r="Y20" s="3">
        <f t="shared" si="1"/>
        <v>1</v>
      </c>
    </row>
    <row r="21" spans="1:25" ht="15" customHeight="1" x14ac:dyDescent="0.3">
      <c r="A21" s="9" t="str">
        <f>Daten!A21</f>
        <v>Texas A&amp;M Aggies</v>
      </c>
      <c r="B21" s="12">
        <f>RANK(Daten!B21,Daten!B$2:B$33,1)</f>
        <v>22</v>
      </c>
      <c r="C21" s="12">
        <f>RANK(Daten!C21,Daten!C$2:C$33,0)</f>
        <v>15</v>
      </c>
      <c r="D21" s="12">
        <f>RANK(Daten!D21,Daten!D$2:D$33,0)</f>
        <v>20</v>
      </c>
      <c r="E21" s="12">
        <f>RANK(Daten!E21,Daten!E$2:E$33,0)</f>
        <v>11</v>
      </c>
      <c r="F21" s="12">
        <f>RANK(Daten!F21,Daten!F$2:F$33,0)</f>
        <v>19</v>
      </c>
      <c r="G21" s="12">
        <f>RANK(Daten!G21,Daten!G$2:G$33,0)</f>
        <v>11</v>
      </c>
      <c r="H21" s="12">
        <f>RANK(Daten!H21,Daten!H$2:H$33,0)</f>
        <v>20</v>
      </c>
      <c r="I21" s="12">
        <f>RANK(Daten!I21,Daten!I$2:I$33,0)</f>
        <v>12</v>
      </c>
      <c r="J21" s="12">
        <f>RANK(Daten!J21,Daten!J$2:J$33,0)</f>
        <v>8</v>
      </c>
      <c r="K21" s="12">
        <f>RANK(Daten!K21,Daten!K$2:K$33,0)</f>
        <v>4</v>
      </c>
      <c r="L21" s="12">
        <f>RANK(Daten!L21,Daten!L$2:L$33,1)</f>
        <v>14</v>
      </c>
      <c r="M21" s="12">
        <f>RANK(Daten!M21,Daten!M$2:M$33,0)</f>
        <v>2</v>
      </c>
      <c r="N21" s="12">
        <f>RANK(Daten!N21,Daten!N$2:N$33,0)</f>
        <v>20</v>
      </c>
      <c r="O21" s="12">
        <f>RANK(Daten!O21,Daten!O$2:O$33,0)</f>
        <v>1</v>
      </c>
      <c r="P21" s="12">
        <f>RANK(Daten!P21,Daten!P$2:P$33,0)</f>
        <v>26</v>
      </c>
      <c r="Q21" s="12">
        <f>RANK(Daten!Q21,Daten!Q$2:Q$33,0)</f>
        <v>16</v>
      </c>
      <c r="R21" s="12">
        <f>IF(Daten!R21="","",RANK(Daten!R21,Daten!R$2:R$33,0))</f>
        <v>17</v>
      </c>
      <c r="S21" s="12">
        <f>IF(Daten!S21="","",RANK(Daten!S21,Daten!S$2:S$33,0))</f>
        <v>16</v>
      </c>
      <c r="T21" s="12">
        <f>IF(Daten!T21="","",RANK(Daten!T21,Daten!T$2:T$33,0))</f>
        <v>19</v>
      </c>
      <c r="U21" s="12">
        <f>IF(Daten!U21="","",RANK(Daten!U21,Daten!U$2:U$33,0))</f>
        <v>24</v>
      </c>
      <c r="V21" s="12">
        <f>IF(Daten!V21="","",RANK(Daten!V21,Daten!V$2:V$33,0))</f>
        <v>19</v>
      </c>
      <c r="W21" s="12">
        <f>IF(Daten!W21="","",RANK(Daten!W21,Daten!W$2:W$33,1))</f>
        <v>19</v>
      </c>
      <c r="X21" s="3">
        <f t="shared" si="0"/>
        <v>2</v>
      </c>
      <c r="Y21" s="3">
        <f t="shared" si="1"/>
        <v>1</v>
      </c>
    </row>
    <row r="22" spans="1:25" ht="15" customHeight="1" x14ac:dyDescent="0.3">
      <c r="A22" s="9" t="str">
        <f>Daten!A22</f>
        <v>Arizona State Sun Devils</v>
      </c>
      <c r="B22" s="12">
        <f>RANK(Daten!B22,Daten!B$2:B$33,1)</f>
        <v>27</v>
      </c>
      <c r="C22" s="12">
        <f>RANK(Daten!C22,Daten!C$2:C$33,0)</f>
        <v>28</v>
      </c>
      <c r="D22" s="12">
        <f>RANK(Daten!D22,Daten!D$2:D$33,0)</f>
        <v>21</v>
      </c>
      <c r="E22" s="12">
        <f>RANK(Daten!E22,Daten!E$2:E$33,0)</f>
        <v>8</v>
      </c>
      <c r="F22" s="12">
        <f>RANK(Daten!F22,Daten!F$2:F$33,0)</f>
        <v>23</v>
      </c>
      <c r="G22" s="12">
        <f>RANK(Daten!G22,Daten!G$2:G$33,0)</f>
        <v>23</v>
      </c>
      <c r="H22" s="12">
        <f>RANK(Daten!H22,Daten!H$2:H$33,0)</f>
        <v>28</v>
      </c>
      <c r="I22" s="12">
        <f>RANK(Daten!I22,Daten!I$2:I$33,0)</f>
        <v>12</v>
      </c>
      <c r="J22" s="12">
        <f>RANK(Daten!J22,Daten!J$2:J$33,0)</f>
        <v>20</v>
      </c>
      <c r="K22" s="12">
        <f>RANK(Daten!K22,Daten!K$2:K$33,0)</f>
        <v>27</v>
      </c>
      <c r="L22" s="12">
        <f>RANK(Daten!L22,Daten!L$2:L$33,1)</f>
        <v>26</v>
      </c>
      <c r="M22" s="12">
        <f>RANK(Daten!M22,Daten!M$2:M$33,0)</f>
        <v>1</v>
      </c>
      <c r="N22" s="12">
        <f>RANK(Daten!N22,Daten!N$2:N$33,0)</f>
        <v>14</v>
      </c>
      <c r="O22" s="12">
        <f>RANK(Daten!O22,Daten!O$2:O$33,0)</f>
        <v>21</v>
      </c>
      <c r="P22" s="12">
        <f>RANK(Daten!P22,Daten!P$2:P$33,0)</f>
        <v>21</v>
      </c>
      <c r="Q22" s="12">
        <f>RANK(Daten!Q22,Daten!Q$2:Q$33,0)</f>
        <v>32</v>
      </c>
      <c r="R22" s="12">
        <f>IF(Daten!R22="","",RANK(Daten!R22,Daten!R$2:R$33,0))</f>
        <v>23</v>
      </c>
      <c r="S22" s="12">
        <f>IF(Daten!S22="","",RANK(Daten!S22,Daten!S$2:S$33,0))</f>
        <v>23</v>
      </c>
      <c r="T22" s="12">
        <f>IF(Daten!T22="","",RANK(Daten!T22,Daten!T$2:T$33,0))</f>
        <v>24</v>
      </c>
      <c r="U22" s="12">
        <f>IF(Daten!U22="","",RANK(Daten!U22,Daten!U$2:U$33,0))</f>
        <v>7</v>
      </c>
      <c r="V22" s="12">
        <f>IF(Daten!V22="","",RANK(Daten!V22,Daten!V$2:V$33,0))</f>
        <v>27</v>
      </c>
      <c r="W22" s="12">
        <f>IF(Daten!W22="","",RANK(Daten!W22,Daten!W$2:W$33,1))</f>
        <v>19</v>
      </c>
      <c r="X22" s="3">
        <f t="shared" si="0"/>
        <v>1</v>
      </c>
      <c r="Y22" s="3">
        <f t="shared" si="1"/>
        <v>1</v>
      </c>
    </row>
    <row r="23" spans="1:25" ht="15" customHeight="1" x14ac:dyDescent="0.3">
      <c r="A23" s="9" t="str">
        <f>Daten!A23</f>
        <v>Michigan State Spartans</v>
      </c>
      <c r="B23" s="12">
        <f>RANK(Daten!B23,Daten!B$2:B$33,1)</f>
        <v>14</v>
      </c>
      <c r="C23" s="12">
        <f>RANK(Daten!C23,Daten!C$2:C$33,0)</f>
        <v>19</v>
      </c>
      <c r="D23" s="12">
        <f>RANK(Daten!D23,Daten!D$2:D$33,0)</f>
        <v>22</v>
      </c>
      <c r="E23" s="12">
        <f>RANK(Daten!E23,Daten!E$2:E$33,0)</f>
        <v>12</v>
      </c>
      <c r="F23" s="12">
        <f>RANK(Daten!F23,Daten!F$2:F$33,0)</f>
        <v>19</v>
      </c>
      <c r="G23" s="12">
        <f>RANK(Daten!G23,Daten!G$2:G$33,0)</f>
        <v>23</v>
      </c>
      <c r="H23" s="12">
        <f>RANK(Daten!H23,Daten!H$2:H$33,0)</f>
        <v>29</v>
      </c>
      <c r="I23" s="12">
        <f>RANK(Daten!I23,Daten!I$2:I$33,0)</f>
        <v>12</v>
      </c>
      <c r="J23" s="12">
        <f>RANK(Daten!J23,Daten!J$2:J$33,0)</f>
        <v>29</v>
      </c>
      <c r="K23" s="12">
        <f>RANK(Daten!K23,Daten!K$2:K$33,0)</f>
        <v>19</v>
      </c>
      <c r="L23" s="12">
        <f>RANK(Daten!L23,Daten!L$2:L$33,1)</f>
        <v>6</v>
      </c>
      <c r="M23" s="12">
        <f>RANK(Daten!M23,Daten!M$2:M$33,0)</f>
        <v>9</v>
      </c>
      <c r="N23" s="12">
        <f>RANK(Daten!N23,Daten!N$2:N$33,0)</f>
        <v>29</v>
      </c>
      <c r="O23" s="12">
        <f>RANK(Daten!O23,Daten!O$2:O$33,0)</f>
        <v>25</v>
      </c>
      <c r="P23" s="12">
        <f>RANK(Daten!P23,Daten!P$2:P$33,0)</f>
        <v>23</v>
      </c>
      <c r="Q23" s="12">
        <f>RANK(Daten!Q23,Daten!Q$2:Q$33,0)</f>
        <v>28</v>
      </c>
      <c r="R23" s="12">
        <f>IF(Daten!R23="","",RANK(Daten!R23,Daten!R$2:R$33,0))</f>
        <v>24</v>
      </c>
      <c r="S23" s="12">
        <f>IF(Daten!S23="","",RANK(Daten!S23,Daten!S$2:S$33,0))</f>
        <v>24</v>
      </c>
      <c r="T23" s="12">
        <f>IF(Daten!T23="","",RANK(Daten!T23,Daten!T$2:T$33,0))</f>
        <v>22</v>
      </c>
      <c r="U23" s="12">
        <f>IF(Daten!U23="","",RANK(Daten!U23,Daten!U$2:U$33,0))</f>
        <v>11</v>
      </c>
      <c r="V23" s="12">
        <f>IF(Daten!V23="","",RANK(Daten!V23,Daten!V$2:V$33,0))</f>
        <v>21</v>
      </c>
      <c r="W23" s="12">
        <f>IF(Daten!W23="","",RANK(Daten!W23,Daten!W$2:W$33,1))</f>
        <v>15</v>
      </c>
      <c r="X23" s="3">
        <f t="shared" si="0"/>
        <v>0</v>
      </c>
      <c r="Y23" s="3">
        <f t="shared" si="1"/>
        <v>0</v>
      </c>
    </row>
    <row r="24" spans="1:25" ht="15" customHeight="1" x14ac:dyDescent="0.3">
      <c r="A24" s="9" t="str">
        <f>Daten!A24</f>
        <v>Utah Utes</v>
      </c>
      <c r="B24" s="12">
        <f>RANK(Daten!B24,Daten!B$2:B$33,1)</f>
        <v>11</v>
      </c>
      <c r="C24" s="12">
        <f>RANK(Daten!C24,Daten!C$2:C$33,0)</f>
        <v>21</v>
      </c>
      <c r="D24" s="12">
        <f>RANK(Daten!D24,Daten!D$2:D$33,0)</f>
        <v>23</v>
      </c>
      <c r="E24" s="12">
        <f>RANK(Daten!E24,Daten!E$2:E$33,0)</f>
        <v>5</v>
      </c>
      <c r="F24" s="12">
        <f>RANK(Daten!F24,Daten!F$2:F$33,0)</f>
        <v>23</v>
      </c>
      <c r="G24" s="12">
        <f>RANK(Daten!G24,Daten!G$2:G$33,0)</f>
        <v>23</v>
      </c>
      <c r="H24" s="12">
        <f>RANK(Daten!H24,Daten!H$2:H$33,0)</f>
        <v>25</v>
      </c>
      <c r="I24" s="12">
        <f>RANK(Daten!I24,Daten!I$2:I$33,0)</f>
        <v>24</v>
      </c>
      <c r="J24" s="12">
        <f>RANK(Daten!J24,Daten!J$2:J$33,0)</f>
        <v>8</v>
      </c>
      <c r="K24" s="12">
        <f>RANK(Daten!K24,Daten!K$2:K$33,0)</f>
        <v>29</v>
      </c>
      <c r="L24" s="12">
        <f>RANK(Daten!L24,Daten!L$2:L$33,1)</f>
        <v>32</v>
      </c>
      <c r="M24" s="12">
        <f>RANK(Daten!M24,Daten!M$2:M$33,0)</f>
        <v>20</v>
      </c>
      <c r="N24" s="12">
        <f>RANK(Daten!N24,Daten!N$2:N$33,0)</f>
        <v>11</v>
      </c>
      <c r="O24" s="12">
        <f>RANK(Daten!O24,Daten!O$2:O$33,0)</f>
        <v>23</v>
      </c>
      <c r="P24" s="12">
        <f>RANK(Daten!P24,Daten!P$2:P$33,0)</f>
        <v>27</v>
      </c>
      <c r="Q24" s="12">
        <f>RANK(Daten!Q24,Daten!Q$2:Q$33,0)</f>
        <v>20</v>
      </c>
      <c r="R24" s="12">
        <f>IF(Daten!R24="","",RANK(Daten!R24,Daten!R$2:R$33,0))</f>
        <v>29</v>
      </c>
      <c r="S24" s="12">
        <f>IF(Daten!S24="","",RANK(Daten!S24,Daten!S$2:S$33,0))</f>
        <v>28</v>
      </c>
      <c r="T24" s="12">
        <f>IF(Daten!T24="","",RANK(Daten!T24,Daten!T$2:T$33,0))</f>
        <v>24</v>
      </c>
      <c r="U24" s="12">
        <f>IF(Daten!U24="","",RANK(Daten!U24,Daten!U$2:U$33,0))</f>
        <v>24</v>
      </c>
      <c r="V24" s="12">
        <f>IF(Daten!V24="","",RANK(Daten!V24,Daten!V$2:V$33,0))</f>
        <v>25</v>
      </c>
      <c r="W24" s="12">
        <f>IF(Daten!W24="","",RANK(Daten!W24,Daten!W$2:W$33,1))</f>
        <v>11</v>
      </c>
      <c r="X24" s="3">
        <f t="shared" si="0"/>
        <v>0</v>
      </c>
      <c r="Y24" s="3">
        <f t="shared" si="1"/>
        <v>0</v>
      </c>
    </row>
    <row r="25" spans="1:25" ht="15" customHeight="1" x14ac:dyDescent="0.3">
      <c r="A25" s="9" t="str">
        <f>Daten!A25</f>
        <v>Wisconsin Badgers</v>
      </c>
      <c r="B25" s="12">
        <f>RANK(Daten!B25,Daten!B$2:B$33,1)</f>
        <v>9</v>
      </c>
      <c r="C25" s="12">
        <f>RANK(Daten!C25,Daten!C$2:C$33,0)</f>
        <v>18</v>
      </c>
      <c r="D25" s="12">
        <f>RANK(Daten!D25,Daten!D$2:D$33,0)</f>
        <v>24</v>
      </c>
      <c r="E25" s="12">
        <f>RANK(Daten!E25,Daten!E$2:E$33,0)</f>
        <v>1</v>
      </c>
      <c r="F25" s="12">
        <f>RANK(Daten!F25,Daten!F$2:F$33,0)</f>
        <v>23</v>
      </c>
      <c r="G25" s="12">
        <f>RANK(Daten!G25,Daten!G$2:G$33,0)</f>
        <v>11</v>
      </c>
      <c r="H25" s="12">
        <f>RANK(Daten!H25,Daten!H$2:H$33,0)</f>
        <v>22</v>
      </c>
      <c r="I25" s="12">
        <f>RANK(Daten!I25,Daten!I$2:I$33,0)</f>
        <v>24</v>
      </c>
      <c r="J25" s="12">
        <f>RANK(Daten!J25,Daten!J$2:J$33,0)</f>
        <v>29</v>
      </c>
      <c r="K25" s="12">
        <f>RANK(Daten!K25,Daten!K$2:K$33,0)</f>
        <v>18</v>
      </c>
      <c r="L25" s="12">
        <f>RANK(Daten!L25,Daten!L$2:L$33,1)</f>
        <v>2</v>
      </c>
      <c r="M25" s="12">
        <f>RANK(Daten!M25,Daten!M$2:M$33,0)</f>
        <v>8</v>
      </c>
      <c r="N25" s="12">
        <f>RANK(Daten!N25,Daten!N$2:N$33,0)</f>
        <v>7</v>
      </c>
      <c r="O25" s="12">
        <f>RANK(Daten!O25,Daten!O$2:O$33,0)</f>
        <v>31</v>
      </c>
      <c r="P25" s="12">
        <f>RANK(Daten!P25,Daten!P$2:P$33,0)</f>
        <v>17</v>
      </c>
      <c r="Q25" s="12">
        <f>RANK(Daten!Q25,Daten!Q$2:Q$33,0)</f>
        <v>25</v>
      </c>
      <c r="R25" s="12">
        <f>IF(Daten!R25="","",RANK(Daten!R25,Daten!R$2:R$33,0))</f>
        <v>20</v>
      </c>
      <c r="S25" s="12">
        <f>IF(Daten!S25="","",RANK(Daten!S25,Daten!S$2:S$33,0))</f>
        <v>18</v>
      </c>
      <c r="T25" s="12">
        <f>IF(Daten!T25="","",RANK(Daten!T25,Daten!T$2:T$33,0))</f>
        <v>18</v>
      </c>
      <c r="U25" s="12">
        <f>IF(Daten!U25="","",RANK(Daten!U25,Daten!U$2:U$33,0))</f>
        <v>11</v>
      </c>
      <c r="V25" s="12">
        <f>IF(Daten!V25="","",RANK(Daten!V25,Daten!V$2:V$33,0))</f>
        <v>20</v>
      </c>
      <c r="W25" s="12">
        <f>IF(Daten!W25="","",RANK(Daten!W25,Daten!W$2:W$33,1))</f>
        <v>25</v>
      </c>
      <c r="X25" s="3">
        <f t="shared" si="0"/>
        <v>2</v>
      </c>
      <c r="Y25" s="3">
        <f t="shared" si="1"/>
        <v>1</v>
      </c>
    </row>
    <row r="26" spans="1:25" ht="15" customHeight="1" x14ac:dyDescent="0.3">
      <c r="A26" s="9" t="str">
        <f>Daten!A26</f>
        <v>Oregon Ducks</v>
      </c>
      <c r="B26" s="12">
        <f>RANK(Daten!B26,Daten!B$2:B$33,1)</f>
        <v>22</v>
      </c>
      <c r="C26" s="12">
        <f>RANK(Daten!C26,Daten!C$2:C$33,0)</f>
        <v>23</v>
      </c>
      <c r="D26" s="12">
        <f>RANK(Daten!D26,Daten!D$2:D$33,0)</f>
        <v>25</v>
      </c>
      <c r="E26" s="12">
        <f>RANK(Daten!E26,Daten!E$2:E$33,0)</f>
        <v>7</v>
      </c>
      <c r="F26" s="12">
        <f>RANK(Daten!F26,Daten!F$2:F$33,0)</f>
        <v>23</v>
      </c>
      <c r="G26" s="12">
        <f>RANK(Daten!G26,Daten!G$2:G$33,0)</f>
        <v>18</v>
      </c>
      <c r="H26" s="12">
        <f>RANK(Daten!H26,Daten!H$2:H$33,0)</f>
        <v>22</v>
      </c>
      <c r="I26" s="12">
        <f>RANK(Daten!I26,Daten!I$2:I$33,0)</f>
        <v>6</v>
      </c>
      <c r="J26" s="12">
        <f>RANK(Daten!J26,Daten!J$2:J$33,0)</f>
        <v>2</v>
      </c>
      <c r="K26" s="12">
        <f>RANK(Daten!K26,Daten!K$2:K$33,0)</f>
        <v>26</v>
      </c>
      <c r="L26" s="12">
        <f>RANK(Daten!L26,Daten!L$2:L$33,1)</f>
        <v>29</v>
      </c>
      <c r="M26" s="12">
        <f>RANK(Daten!M26,Daten!M$2:M$33,0)</f>
        <v>28</v>
      </c>
      <c r="N26" s="12">
        <f>RANK(Daten!N26,Daten!N$2:N$33,0)</f>
        <v>15</v>
      </c>
      <c r="O26" s="12">
        <f>RANK(Daten!O26,Daten!O$2:O$33,0)</f>
        <v>10</v>
      </c>
      <c r="P26" s="12">
        <f>RANK(Daten!P26,Daten!P$2:P$33,0)</f>
        <v>6</v>
      </c>
      <c r="Q26" s="12">
        <f>RANK(Daten!Q26,Daten!Q$2:Q$33,0)</f>
        <v>9</v>
      </c>
      <c r="R26" s="12">
        <f>IF(Daten!R26="","",RANK(Daten!R26,Daten!R$2:R$33,0))</f>
        <v>22</v>
      </c>
      <c r="S26" s="12">
        <f>IF(Daten!S26="","",RANK(Daten!S26,Daten!S$2:S$33,0))</f>
        <v>20</v>
      </c>
      <c r="T26" s="12">
        <f>IF(Daten!T26="","",RANK(Daten!T26,Daten!T$2:T$33,0))</f>
        <v>24</v>
      </c>
      <c r="U26" s="12">
        <f>IF(Daten!U26="","",RANK(Daten!U26,Daten!U$2:U$33,0))</f>
        <v>24</v>
      </c>
      <c r="V26" s="12">
        <f>IF(Daten!V26="","",RANK(Daten!V26,Daten!V$2:V$33,0))</f>
        <v>16</v>
      </c>
      <c r="W26" s="12">
        <f>IF(Daten!W26="","",RANK(Daten!W26,Daten!W$2:W$33,1))</f>
        <v>28</v>
      </c>
      <c r="X26" s="3">
        <f t="shared" si="0"/>
        <v>1</v>
      </c>
      <c r="Y26" s="3">
        <f t="shared" si="1"/>
        <v>0</v>
      </c>
    </row>
    <row r="27" spans="1:25" ht="15" customHeight="1" x14ac:dyDescent="0.3">
      <c r="A27" s="9" t="str">
        <f>Daten!A27</f>
        <v>Colorado Buffaloes</v>
      </c>
      <c r="B27" s="12">
        <f>RANK(Daten!B27,Daten!B$2:B$33,1)</f>
        <v>22</v>
      </c>
      <c r="C27" s="12">
        <f>RANK(Daten!C27,Daten!C$2:C$33,0)</f>
        <v>20</v>
      </c>
      <c r="D27" s="12">
        <f>RANK(Daten!D27,Daten!D$2:D$33,0)</f>
        <v>26</v>
      </c>
      <c r="E27" s="12">
        <f>RANK(Daten!E27,Daten!E$2:E$33,0)</f>
        <v>16</v>
      </c>
      <c r="F27" s="12">
        <f>RANK(Daten!F27,Daten!F$2:F$33,0)</f>
        <v>19</v>
      </c>
      <c r="G27" s="12">
        <f>RANK(Daten!G27,Daten!G$2:G$33,0)</f>
        <v>11</v>
      </c>
      <c r="H27" s="12">
        <f>RANK(Daten!H27,Daten!H$2:H$33,0)</f>
        <v>31</v>
      </c>
      <c r="I27" s="12">
        <f>RANK(Daten!I27,Daten!I$2:I$33,0)</f>
        <v>24</v>
      </c>
      <c r="J27" s="12">
        <f>RANK(Daten!J27,Daten!J$2:J$33,0)</f>
        <v>32</v>
      </c>
      <c r="K27" s="12">
        <f>RANK(Daten!K27,Daten!K$2:K$33,0)</f>
        <v>30</v>
      </c>
      <c r="L27" s="12">
        <f>RANK(Daten!L27,Daten!L$2:L$33,1)</f>
        <v>10</v>
      </c>
      <c r="M27" s="12">
        <f>RANK(Daten!M27,Daten!M$2:M$33,0)</f>
        <v>19</v>
      </c>
      <c r="N27" s="12">
        <f>RANK(Daten!N27,Daten!N$2:N$33,0)</f>
        <v>23</v>
      </c>
      <c r="O27" s="12">
        <f>RANK(Daten!O27,Daten!O$2:O$33,0)</f>
        <v>31</v>
      </c>
      <c r="P27" s="12">
        <f>RANK(Daten!P27,Daten!P$2:P$33,0)</f>
        <v>12</v>
      </c>
      <c r="Q27" s="12">
        <f>RANK(Daten!Q27,Daten!Q$2:Q$33,0)</f>
        <v>29</v>
      </c>
      <c r="R27" s="12">
        <f>IF(Daten!R27="","",RANK(Daten!R27,Daten!R$2:R$33,0))</f>
        <v>25</v>
      </c>
      <c r="S27" s="12">
        <f>IF(Daten!S27="","",RANK(Daten!S27,Daten!S$2:S$33,0))</f>
        <v>26</v>
      </c>
      <c r="T27" s="12">
        <f>IF(Daten!T27="","",RANK(Daten!T27,Daten!T$2:T$33,0))</f>
        <v>28</v>
      </c>
      <c r="U27" s="12">
        <f>IF(Daten!U27="","",RANK(Daten!U27,Daten!U$2:U$33,0))</f>
        <v>24</v>
      </c>
      <c r="V27" s="12">
        <f>IF(Daten!V27="","",RANK(Daten!V27,Daten!V$2:V$33,0))</f>
        <v>29</v>
      </c>
      <c r="W27" s="12">
        <f>IF(Daten!W27="","",RANK(Daten!W27,Daten!W$2:W$33,1))</f>
        <v>32</v>
      </c>
      <c r="X27" s="3">
        <f t="shared" si="0"/>
        <v>0</v>
      </c>
      <c r="Y27" s="3">
        <f t="shared" si="1"/>
        <v>0</v>
      </c>
    </row>
    <row r="28" spans="1:25" ht="15" customHeight="1" x14ac:dyDescent="0.3">
      <c r="A28" s="9" t="str">
        <f>Daten!A28</f>
        <v>Ole Miss Rebels</v>
      </c>
      <c r="B28" s="12">
        <f>RANK(Daten!B28,Daten!B$2:B$33,1)</f>
        <v>9</v>
      </c>
      <c r="C28" s="12">
        <f>RANK(Daten!C28,Daten!C$2:C$33,0)</f>
        <v>26</v>
      </c>
      <c r="D28" s="12">
        <f>RANK(Daten!D28,Daten!D$2:D$33,0)</f>
        <v>27</v>
      </c>
      <c r="E28" s="12">
        <f>RANK(Daten!E28,Daten!E$2:E$33,0)</f>
        <v>6</v>
      </c>
      <c r="F28" s="12">
        <f>RANK(Daten!F28,Daten!F$2:F$33,0)</f>
        <v>23</v>
      </c>
      <c r="G28" s="12">
        <f>RANK(Daten!G28,Daten!G$2:G$33,0)</f>
        <v>23</v>
      </c>
      <c r="H28" s="12">
        <f>RANK(Daten!H28,Daten!H$2:H$33,0)</f>
        <v>11</v>
      </c>
      <c r="I28" s="12">
        <f>RANK(Daten!I28,Daten!I$2:I$33,0)</f>
        <v>12</v>
      </c>
      <c r="J28" s="12">
        <f>RANK(Daten!J28,Daten!J$2:J$33,0)</f>
        <v>2</v>
      </c>
      <c r="K28" s="12">
        <f>RANK(Daten!K28,Daten!K$2:K$33,0)</f>
        <v>23</v>
      </c>
      <c r="L28" s="12">
        <f>RANK(Daten!L28,Daten!L$2:L$33,1)</f>
        <v>1</v>
      </c>
      <c r="M28" s="12">
        <f>RANK(Daten!M28,Daten!M$2:M$33,0)</f>
        <v>27</v>
      </c>
      <c r="N28" s="12">
        <f>RANK(Daten!N28,Daten!N$2:N$33,0)</f>
        <v>31</v>
      </c>
      <c r="O28" s="12">
        <f>RANK(Daten!O28,Daten!O$2:O$33,0)</f>
        <v>25</v>
      </c>
      <c r="P28" s="12">
        <f>RANK(Daten!P28,Daten!P$2:P$33,0)</f>
        <v>9</v>
      </c>
      <c r="Q28" s="12">
        <f>RANK(Daten!Q28,Daten!Q$2:Q$33,0)</f>
        <v>16</v>
      </c>
      <c r="R28" s="12">
        <f>IF(Daten!R28="","",RANK(Daten!R28,Daten!R$2:R$33,0))</f>
        <v>26</v>
      </c>
      <c r="S28" s="12">
        <f>IF(Daten!S28="","",RANK(Daten!S28,Daten!S$2:S$33,0))</f>
        <v>24</v>
      </c>
      <c r="T28" s="12">
        <f>IF(Daten!T28="","",RANK(Daten!T28,Daten!T$2:T$33,0))</f>
        <v>21</v>
      </c>
      <c r="U28" s="12">
        <f>IF(Daten!U28="","",RANK(Daten!U28,Daten!U$2:U$33,0))</f>
        <v>11</v>
      </c>
      <c r="V28" s="12">
        <f>IF(Daten!V28="","",RANK(Daten!V28,Daten!V$2:V$33,0))</f>
        <v>24</v>
      </c>
      <c r="W28" s="12">
        <f>IF(Daten!W28="","",RANK(Daten!W28,Daten!W$2:W$33,1))</f>
        <v>11</v>
      </c>
      <c r="X28" s="3">
        <f t="shared" si="0"/>
        <v>2</v>
      </c>
      <c r="Y28" s="3">
        <f t="shared" si="1"/>
        <v>1</v>
      </c>
    </row>
    <row r="29" spans="1:25" ht="15" customHeight="1" x14ac:dyDescent="0.3">
      <c r="A29" s="9" t="str">
        <f>Daten!A29</f>
        <v>Texas Tech Red Raiders</v>
      </c>
      <c r="B29" s="12">
        <f>RANK(Daten!B29,Daten!B$2:B$33,1)</f>
        <v>30</v>
      </c>
      <c r="C29" s="12">
        <f>RANK(Daten!C29,Daten!C$2:C$33,0)</f>
        <v>29</v>
      </c>
      <c r="D29" s="12">
        <f>RANK(Daten!D29,Daten!D$2:D$33,0)</f>
        <v>27</v>
      </c>
      <c r="E29" s="12">
        <f>RANK(Daten!E29,Daten!E$2:E$33,0)</f>
        <v>9</v>
      </c>
      <c r="F29" s="12">
        <f>RANK(Daten!F29,Daten!F$2:F$33,0)</f>
        <v>23</v>
      </c>
      <c r="G29" s="12">
        <f>RANK(Daten!G29,Daten!G$2:G$33,0)</f>
        <v>23</v>
      </c>
      <c r="H29" s="12">
        <f>RANK(Daten!H29,Daten!H$2:H$33,0)</f>
        <v>26</v>
      </c>
      <c r="I29" s="12">
        <f>RANK(Daten!I29,Daten!I$2:I$33,0)</f>
        <v>12</v>
      </c>
      <c r="J29" s="12">
        <f>RANK(Daten!J29,Daten!J$2:J$33,0)</f>
        <v>5</v>
      </c>
      <c r="K29" s="12">
        <f>RANK(Daten!K29,Daten!K$2:K$33,0)</f>
        <v>25</v>
      </c>
      <c r="L29" s="12">
        <f>RANK(Daten!L29,Daten!L$2:L$33,1)</f>
        <v>24</v>
      </c>
      <c r="M29" s="12">
        <f>RANK(Daten!M29,Daten!M$2:M$33,0)</f>
        <v>15</v>
      </c>
      <c r="N29" s="12">
        <f>RANK(Daten!N29,Daten!N$2:N$33,0)</f>
        <v>8</v>
      </c>
      <c r="O29" s="12">
        <f>RANK(Daten!O29,Daten!O$2:O$33,0)</f>
        <v>5</v>
      </c>
      <c r="P29" s="12">
        <f>RANK(Daten!P29,Daten!P$2:P$33,0)</f>
        <v>31</v>
      </c>
      <c r="Q29" s="12">
        <f>RANK(Daten!Q29,Daten!Q$2:Q$33,0)</f>
        <v>25</v>
      </c>
      <c r="R29" s="12">
        <f>IF(Daten!R29="","",RANK(Daten!R29,Daten!R$2:R$33,0))</f>
        <v>30</v>
      </c>
      <c r="S29" s="12">
        <f>IF(Daten!S29="","",RANK(Daten!S29,Daten!S$2:S$33,0))</f>
        <v>30</v>
      </c>
      <c r="T29" s="12">
        <f>IF(Daten!T29="","",RANK(Daten!T29,Daten!T$2:T$33,0))</f>
        <v>31</v>
      </c>
      <c r="U29" s="12">
        <f>IF(Daten!U29="","",RANK(Daten!U29,Daten!U$2:U$33,0))</f>
        <v>11</v>
      </c>
      <c r="V29" s="12">
        <f>IF(Daten!V29="","",RANK(Daten!V29,Daten!V$2:V$33,0))</f>
        <v>30</v>
      </c>
      <c r="W29" s="12">
        <f>IF(Daten!W29="","",RANK(Daten!W29,Daten!W$2:W$33,1))</f>
        <v>25</v>
      </c>
      <c r="X29" s="3">
        <f t="shared" si="0"/>
        <v>0</v>
      </c>
      <c r="Y29" s="3">
        <f t="shared" si="1"/>
        <v>0</v>
      </c>
    </row>
    <row r="30" spans="1:25" ht="15" customHeight="1" x14ac:dyDescent="0.3">
      <c r="A30" s="9" t="str">
        <f>Daten!A30</f>
        <v>Missouri Tigers</v>
      </c>
      <c r="B30" s="12">
        <f>RANK(Daten!B30,Daten!B$2:B$33,1)</f>
        <v>6</v>
      </c>
      <c r="C30" s="12">
        <f>RANK(Daten!C30,Daten!C$2:C$33,0)</f>
        <v>22</v>
      </c>
      <c r="D30" s="12">
        <f>RANK(Daten!D30,Daten!D$2:D$33,0)</f>
        <v>29</v>
      </c>
      <c r="E30" s="12">
        <f>RANK(Daten!E30,Daten!E$2:E$33,0)</f>
        <v>4</v>
      </c>
      <c r="F30" s="12">
        <f>RANK(Daten!F30,Daten!F$2:F$33,0)</f>
        <v>23</v>
      </c>
      <c r="G30" s="12">
        <f>RANK(Daten!G30,Daten!G$2:G$33,0)</f>
        <v>23</v>
      </c>
      <c r="H30" s="12">
        <f>RANK(Daten!H30,Daten!H$2:H$33,0)</f>
        <v>26</v>
      </c>
      <c r="I30" s="12">
        <f>RANK(Daten!I30,Daten!I$2:I$33,0)</f>
        <v>24</v>
      </c>
      <c r="J30" s="12">
        <f>RANK(Daten!J30,Daten!J$2:J$33,0)</f>
        <v>20</v>
      </c>
      <c r="K30" s="12">
        <f>RANK(Daten!K30,Daten!K$2:K$33,0)</f>
        <v>24</v>
      </c>
      <c r="L30" s="12">
        <f>RANK(Daten!L30,Daten!L$2:L$33,1)</f>
        <v>13</v>
      </c>
      <c r="M30" s="12">
        <f>RANK(Daten!M30,Daten!M$2:M$33,0)</f>
        <v>22</v>
      </c>
      <c r="N30" s="12">
        <f>RANK(Daten!N30,Daten!N$2:N$33,0)</f>
        <v>19</v>
      </c>
      <c r="O30" s="12">
        <f>RANK(Daten!O30,Daten!O$2:O$33,0)</f>
        <v>13</v>
      </c>
      <c r="P30" s="12">
        <f>RANK(Daten!P30,Daten!P$2:P$33,0)</f>
        <v>9</v>
      </c>
      <c r="Q30" s="12">
        <f>RANK(Daten!Q30,Daten!Q$2:Q$33,0)</f>
        <v>20</v>
      </c>
      <c r="R30" s="12">
        <f>IF(Daten!R30="","",RANK(Daten!R30,Daten!R$2:R$33,0))</f>
        <v>27</v>
      </c>
      <c r="S30" s="12">
        <f>IF(Daten!S30="","",RANK(Daten!S30,Daten!S$2:S$33,0))</f>
        <v>27</v>
      </c>
      <c r="T30" s="12">
        <f>IF(Daten!T30="","",RANK(Daten!T30,Daten!T$2:T$33,0))</f>
        <v>27</v>
      </c>
      <c r="U30" s="12">
        <f>IF(Daten!U30="","",RANK(Daten!U30,Daten!U$2:U$33,0))</f>
        <v>24</v>
      </c>
      <c r="V30" s="12">
        <f>IF(Daten!V30="","",RANK(Daten!V30,Daten!V$2:V$33,0))</f>
        <v>28</v>
      </c>
      <c r="W30" s="12">
        <f>IF(Daten!W30="","",RANK(Daten!W30,Daten!W$2:W$33,1))</f>
        <v>19</v>
      </c>
      <c r="X30" s="3">
        <f t="shared" si="0"/>
        <v>0</v>
      </c>
      <c r="Y30" s="3">
        <f t="shared" si="1"/>
        <v>0</v>
      </c>
    </row>
    <row r="31" spans="1:25" ht="15" customHeight="1" x14ac:dyDescent="0.3">
      <c r="A31" s="9" t="str">
        <f>Daten!A31</f>
        <v>Iowa Hawkeyes</v>
      </c>
      <c r="B31" s="12">
        <f>RANK(Daten!B31,Daten!B$2:B$33,1)</f>
        <v>8</v>
      </c>
      <c r="C31" s="12">
        <f>RANK(Daten!C31,Daten!C$2:C$33,0)</f>
        <v>24</v>
      </c>
      <c r="D31" s="12">
        <f>RANK(Daten!D31,Daten!D$2:D$33,0)</f>
        <v>30</v>
      </c>
      <c r="E31" s="12">
        <f>RANK(Daten!E31,Daten!E$2:E$33,0)</f>
        <v>1</v>
      </c>
      <c r="F31" s="12">
        <f>RANK(Daten!F31,Daten!F$2:F$33,0)</f>
        <v>23</v>
      </c>
      <c r="G31" s="12">
        <f>RANK(Daten!G31,Daten!G$2:G$33,0)</f>
        <v>18</v>
      </c>
      <c r="H31" s="12">
        <f>RANK(Daten!H31,Daten!H$2:H$33,0)</f>
        <v>22</v>
      </c>
      <c r="I31" s="12">
        <f>RANK(Daten!I31,Daten!I$2:I$33,0)</f>
        <v>24</v>
      </c>
      <c r="J31" s="12">
        <f>RANK(Daten!J31,Daten!J$2:J$33,0)</f>
        <v>14</v>
      </c>
      <c r="K31" s="12">
        <f>RANK(Daten!K31,Daten!K$2:K$33,0)</f>
        <v>21</v>
      </c>
      <c r="L31" s="12">
        <f>RANK(Daten!L31,Daten!L$2:L$33,1)</f>
        <v>16</v>
      </c>
      <c r="M31" s="12">
        <f>RANK(Daten!M31,Daten!M$2:M$33,0)</f>
        <v>24</v>
      </c>
      <c r="N31" s="12">
        <f>RANK(Daten!N31,Daten!N$2:N$33,0)</f>
        <v>27</v>
      </c>
      <c r="O31" s="12">
        <f>RANK(Daten!O31,Daten!O$2:O$33,0)</f>
        <v>13</v>
      </c>
      <c r="P31" s="12">
        <f>RANK(Daten!P31,Daten!P$2:P$33,0)</f>
        <v>24</v>
      </c>
      <c r="Q31" s="12">
        <f>RANK(Daten!Q31,Daten!Q$2:Q$33,0)</f>
        <v>12</v>
      </c>
      <c r="R31" s="12">
        <f>IF(Daten!R31="","",RANK(Daten!R31,Daten!R$2:R$33,0))</f>
        <v>20</v>
      </c>
      <c r="S31" s="12">
        <f>IF(Daten!S31="","",RANK(Daten!S31,Daten!S$2:S$33,0))</f>
        <v>20</v>
      </c>
      <c r="T31" s="12">
        <f>IF(Daten!T31="","",RANK(Daten!T31,Daten!T$2:T$33,0))</f>
        <v>13</v>
      </c>
      <c r="U31" s="12">
        <f>IF(Daten!U31="","",RANK(Daten!U31,Daten!U$2:U$33,0))</f>
        <v>11</v>
      </c>
      <c r="V31" s="12">
        <f>IF(Daten!V31="","",RANK(Daten!V31,Daten!V$2:V$33,0))</f>
        <v>14</v>
      </c>
      <c r="W31" s="12">
        <f>IF(Daten!W31="","",RANK(Daten!W31,Daten!W$2:W$33,1))</f>
        <v>28</v>
      </c>
      <c r="X31" s="3">
        <f t="shared" si="0"/>
        <v>1</v>
      </c>
      <c r="Y31" s="3">
        <f t="shared" si="1"/>
        <v>1</v>
      </c>
    </row>
    <row r="32" spans="1:25" ht="15" customHeight="1" x14ac:dyDescent="0.3">
      <c r="A32" s="9" t="str">
        <f>Daten!A32</f>
        <v>TCU Horned Frogs</v>
      </c>
      <c r="B32" s="12">
        <f>RANK(Daten!B32,Daten!B$2:B$33,1)</f>
        <v>21</v>
      </c>
      <c r="C32" s="12">
        <f>RANK(Daten!C32,Daten!C$2:C$33,0)</f>
        <v>25</v>
      </c>
      <c r="D32" s="12">
        <f>RANK(Daten!D32,Daten!D$2:D$33,0)</f>
        <v>31</v>
      </c>
      <c r="E32" s="12">
        <f>RANK(Daten!E32,Daten!E$2:E$33,0)</f>
        <v>10</v>
      </c>
      <c r="F32" s="12">
        <f>RANK(Daten!F32,Daten!F$2:F$33,0)</f>
        <v>15</v>
      </c>
      <c r="G32" s="12">
        <f>RANK(Daten!G32,Daten!G$2:G$33,0)</f>
        <v>18</v>
      </c>
      <c r="H32" s="12">
        <f>RANK(Daten!H32,Daten!H$2:H$33,0)</f>
        <v>20</v>
      </c>
      <c r="I32" s="12">
        <f>RANK(Daten!I32,Daten!I$2:I$33,0)</f>
        <v>12</v>
      </c>
      <c r="J32" s="12">
        <f>RANK(Daten!J32,Daten!J$2:J$33,0)</f>
        <v>14</v>
      </c>
      <c r="K32" s="12">
        <f>RANK(Daten!K32,Daten!K$2:K$33,0)</f>
        <v>31</v>
      </c>
      <c r="L32" s="12">
        <f>RANK(Daten!L32,Daten!L$2:L$33,1)</f>
        <v>19</v>
      </c>
      <c r="M32" s="12">
        <f>RANK(Daten!M32,Daten!M$2:M$33,0)</f>
        <v>32</v>
      </c>
      <c r="N32" s="12">
        <f>RANK(Daten!N32,Daten!N$2:N$33,0)</f>
        <v>3</v>
      </c>
      <c r="O32" s="12">
        <f>RANK(Daten!O32,Daten!O$2:O$33,0)</f>
        <v>27</v>
      </c>
      <c r="P32" s="12">
        <f>RANK(Daten!P32,Daten!P$2:P$33,0)</f>
        <v>25</v>
      </c>
      <c r="Q32" s="12">
        <f>RANK(Daten!Q32,Daten!Q$2:Q$33,0)</f>
        <v>22</v>
      </c>
      <c r="R32" s="12">
        <f>IF(Daten!R32="","",RANK(Daten!R32,Daten!R$2:R$33,0))</f>
        <v>28</v>
      </c>
      <c r="S32" s="12">
        <f>IF(Daten!S32="","",RANK(Daten!S32,Daten!S$2:S$33,0))</f>
        <v>29</v>
      </c>
      <c r="T32" s="12">
        <f>IF(Daten!T32="","",RANK(Daten!T32,Daten!T$2:T$33,0))</f>
        <v>29</v>
      </c>
      <c r="U32" s="12">
        <f>IF(Daten!U32="","",RANK(Daten!U32,Daten!U$2:U$33,0))</f>
        <v>11</v>
      </c>
      <c r="V32" s="12">
        <f>IF(Daten!V32="","",RANK(Daten!V32,Daten!V$2:V$33,0))</f>
        <v>26</v>
      </c>
      <c r="W32" s="12">
        <f>IF(Daten!W32="","",RANK(Daten!W32,Daten!W$2:W$33,1))</f>
        <v>30</v>
      </c>
      <c r="X32" s="3">
        <f t="shared" si="0"/>
        <v>1</v>
      </c>
      <c r="Y32" s="3">
        <f t="shared" si="1"/>
        <v>0</v>
      </c>
    </row>
    <row r="33" spans="1:25" ht="15" customHeight="1" x14ac:dyDescent="0.3">
      <c r="A33" s="9" t="str">
        <f>Daten!A33</f>
        <v>Indiana Hoosiers</v>
      </c>
      <c r="B33" s="12">
        <f>RANK(Daten!B33,Daten!B$2:B$33,1)</f>
        <v>4</v>
      </c>
      <c r="C33" s="12">
        <f>RANK(Daten!C33,Daten!C$2:C$33,0)</f>
        <v>31</v>
      </c>
      <c r="D33" s="12">
        <f>RANK(Daten!D33,Daten!D$2:D$33,0)</f>
        <v>32</v>
      </c>
      <c r="E33" s="12">
        <f>RANK(Daten!E33,Daten!E$2:E$33,0)</f>
        <v>32</v>
      </c>
      <c r="F33" s="12">
        <f>RANK(Daten!F33,Daten!F$2:F$33,0)</f>
        <v>19</v>
      </c>
      <c r="G33" s="12">
        <f>RANK(Daten!G33,Daten!G$2:G$33,0)</f>
        <v>18</v>
      </c>
      <c r="H33" s="12">
        <f>RANK(Daten!H33,Daten!H$2:H$33,0)</f>
        <v>32</v>
      </c>
      <c r="I33" s="12">
        <f>RANK(Daten!I33,Daten!I$2:I$33,0)</f>
        <v>9</v>
      </c>
      <c r="J33" s="12">
        <f>RANK(Daten!J33,Daten!J$2:J$33,0)</f>
        <v>1</v>
      </c>
      <c r="K33" s="12">
        <f>RANK(Daten!K33,Daten!K$2:K$33,0)</f>
        <v>28</v>
      </c>
      <c r="L33" s="12">
        <f>RANK(Daten!L33,Daten!L$2:L$33,1)</f>
        <v>27</v>
      </c>
      <c r="M33" s="12">
        <f>RANK(Daten!M33,Daten!M$2:M$33,0)</f>
        <v>12</v>
      </c>
      <c r="N33" s="12">
        <f>RANK(Daten!N33,Daten!N$2:N$33,0)</f>
        <v>26</v>
      </c>
      <c r="O33" s="12">
        <f>RANK(Daten!O33,Daten!O$2:O$33,0)</f>
        <v>5</v>
      </c>
      <c r="P33" s="12">
        <f>RANK(Daten!P33,Daten!P$2:P$33,0)</f>
        <v>16</v>
      </c>
      <c r="Q33" s="12">
        <f>RANK(Daten!Q33,Daten!Q$2:Q$33,0)</f>
        <v>25</v>
      </c>
      <c r="R33" s="12">
        <f>IF(Daten!R33="","",RANK(Daten!R33,Daten!R$2:R$33,0))</f>
        <v>31</v>
      </c>
      <c r="S33" s="12">
        <f>IF(Daten!S33="","",RANK(Daten!S33,Daten!S$2:S$33,0))</f>
        <v>31</v>
      </c>
      <c r="T33" s="12">
        <f>IF(Daten!T33="","",RANK(Daten!T33,Daten!T$2:T$33,0))</f>
        <v>32</v>
      </c>
      <c r="U33" s="12">
        <f>IF(Daten!U33="","",RANK(Daten!U33,Daten!U$2:U$33,0))</f>
        <v>24</v>
      </c>
      <c r="V33" s="12">
        <f>IF(Daten!V33="","",RANK(Daten!V33,Daten!V$2:V$33,0))</f>
        <v>32</v>
      </c>
      <c r="W33" s="12">
        <f>IF(Daten!W33="","",RANK(Daten!W33,Daten!W$2:W$33,1))</f>
        <v>30</v>
      </c>
      <c r="X33" s="3">
        <f t="shared" si="0"/>
        <v>1</v>
      </c>
      <c r="Y33" s="3">
        <f t="shared" si="1"/>
        <v>1</v>
      </c>
    </row>
    <row r="35" spans="1:25" ht="15" customHeight="1" x14ac:dyDescent="0.3">
      <c r="A35" s="9" t="s">
        <v>218</v>
      </c>
      <c r="B35" s="9">
        <f>COUNTIF(X2:X33,"&gt;0")</f>
        <v>21</v>
      </c>
    </row>
    <row r="36" spans="1:25" ht="15" customHeight="1" x14ac:dyDescent="0.3">
      <c r="A36" s="9" t="s">
        <v>219</v>
      </c>
      <c r="B36" s="9">
        <f>COUNTIF(X2:X33,0)</f>
        <v>11</v>
      </c>
    </row>
    <row r="37" spans="1:25" ht="15" customHeight="1" x14ac:dyDescent="0.3">
      <c r="A37" s="9" t="s">
        <v>220</v>
      </c>
      <c r="B37" s="9">
        <f>COUNTIF(Y2:Y33,"&gt;0")</f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4" customWidth="1"/>
    <col min="2" max="2" width="30" customWidth="1"/>
    <col min="3" max="3" width="10" customWidth="1"/>
    <col min="4" max="4" width="14" customWidth="1"/>
    <col min="5" max="5" width="26" customWidth="1"/>
    <col min="6" max="6" width="12" customWidth="1"/>
    <col min="7" max="7" width="16" customWidth="1"/>
    <col min="8" max="8" width="10" customWidth="1"/>
    <col min="9" max="9" width="55" customWidth="1"/>
    <col min="10" max="10" width="40" customWidth="1"/>
    <col min="11" max="11" width="45" customWidth="1"/>
    <col min="12" max="12" width="32" customWidth="1"/>
  </cols>
  <sheetData>
    <row r="1" spans="1:12" ht="42" customHeight="1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</row>
    <row r="2" spans="1:12" ht="35.1" customHeight="1" x14ac:dyDescent="0.3">
      <c r="A2" s="13">
        <v>1</v>
      </c>
      <c r="B2" s="13" t="s">
        <v>194</v>
      </c>
      <c r="C2" s="13" t="s">
        <v>233</v>
      </c>
      <c r="D2" s="13" t="s">
        <v>234</v>
      </c>
      <c r="E2" s="13" t="s">
        <v>86</v>
      </c>
      <c r="F2" s="13" t="s">
        <v>235</v>
      </c>
      <c r="G2" s="13" t="s">
        <v>236</v>
      </c>
      <c r="H2" s="13">
        <v>20</v>
      </c>
      <c r="I2" s="13" t="s">
        <v>237</v>
      </c>
      <c r="J2" s="13" t="s">
        <v>238</v>
      </c>
      <c r="K2" s="13" t="s">
        <v>239</v>
      </c>
      <c r="L2" s="13" t="s">
        <v>240</v>
      </c>
    </row>
    <row r="3" spans="1:12" ht="35.1" customHeight="1" x14ac:dyDescent="0.3">
      <c r="A3" s="13">
        <v>2</v>
      </c>
      <c r="B3" s="13" t="s">
        <v>195</v>
      </c>
      <c r="C3" s="13" t="s">
        <v>241</v>
      </c>
      <c r="D3" s="13" t="s">
        <v>242</v>
      </c>
      <c r="E3" s="13" t="s">
        <v>46</v>
      </c>
      <c r="F3" s="13" t="s">
        <v>235</v>
      </c>
      <c r="G3" s="13" t="s">
        <v>243</v>
      </c>
      <c r="H3" s="13">
        <v>38</v>
      </c>
      <c r="I3" s="13" t="s">
        <v>244</v>
      </c>
      <c r="J3" s="13" t="s">
        <v>245</v>
      </c>
      <c r="K3" s="13" t="s">
        <v>246</v>
      </c>
      <c r="L3" s="13" t="s">
        <v>247</v>
      </c>
    </row>
    <row r="4" spans="1:12" ht="23.85" customHeight="1" x14ac:dyDescent="0.3">
      <c r="A4" s="13">
        <v>3</v>
      </c>
      <c r="B4" s="13" t="s">
        <v>196</v>
      </c>
      <c r="C4" s="13" t="s">
        <v>248</v>
      </c>
      <c r="D4" s="13" t="s">
        <v>249</v>
      </c>
      <c r="E4" s="13" t="s">
        <v>31</v>
      </c>
      <c r="F4" s="13" t="s">
        <v>235</v>
      </c>
      <c r="G4" s="13" t="s">
        <v>250</v>
      </c>
      <c r="H4" s="13">
        <v>40</v>
      </c>
      <c r="I4" s="13" t="s">
        <v>251</v>
      </c>
      <c r="J4" s="13" t="s">
        <v>252</v>
      </c>
      <c r="K4" s="13" t="s">
        <v>253</v>
      </c>
      <c r="L4" s="13" t="s">
        <v>254</v>
      </c>
    </row>
    <row r="5" spans="1:12" ht="35.1" customHeight="1" x14ac:dyDescent="0.3">
      <c r="A5" s="13">
        <v>4</v>
      </c>
      <c r="B5" s="13" t="s">
        <v>197</v>
      </c>
      <c r="C5" s="13" t="s">
        <v>255</v>
      </c>
      <c r="D5" s="13" t="s">
        <v>256</v>
      </c>
      <c r="E5" s="13" t="s">
        <v>257</v>
      </c>
      <c r="F5" s="13" t="s">
        <v>235</v>
      </c>
      <c r="G5" s="13" t="s">
        <v>236</v>
      </c>
      <c r="H5" s="13">
        <v>26</v>
      </c>
      <c r="I5" s="13" t="s">
        <v>258</v>
      </c>
      <c r="J5" s="13" t="s">
        <v>259</v>
      </c>
      <c r="K5" s="13" t="s">
        <v>260</v>
      </c>
      <c r="L5" s="13" t="s">
        <v>261</v>
      </c>
    </row>
    <row r="6" spans="1:12" ht="46.2" customHeight="1" x14ac:dyDescent="0.3">
      <c r="A6" s="13">
        <v>5</v>
      </c>
      <c r="B6" s="13" t="s">
        <v>198</v>
      </c>
      <c r="C6" s="13" t="s">
        <v>262</v>
      </c>
      <c r="D6" s="13" t="s">
        <v>242</v>
      </c>
      <c r="E6" s="13" t="s">
        <v>36</v>
      </c>
      <c r="F6" s="13" t="s">
        <v>235</v>
      </c>
      <c r="G6" s="13" t="s">
        <v>263</v>
      </c>
      <c r="H6" s="13">
        <v>79</v>
      </c>
      <c r="I6" s="13" t="s">
        <v>264</v>
      </c>
      <c r="J6" s="13" t="s">
        <v>265</v>
      </c>
      <c r="K6" s="13" t="s">
        <v>266</v>
      </c>
      <c r="L6" s="13" t="s">
        <v>247</v>
      </c>
    </row>
    <row r="7" spans="1:12" ht="35.1" customHeight="1" x14ac:dyDescent="0.3">
      <c r="A7" s="13">
        <v>6</v>
      </c>
      <c r="B7" s="13" t="s">
        <v>199</v>
      </c>
      <c r="C7" s="13" t="s">
        <v>267</v>
      </c>
      <c r="D7" s="13" t="s">
        <v>242</v>
      </c>
      <c r="E7" s="13" t="s">
        <v>66</v>
      </c>
      <c r="F7" s="13" t="s">
        <v>235</v>
      </c>
      <c r="G7" s="13" t="s">
        <v>268</v>
      </c>
      <c r="H7" s="13">
        <v>89</v>
      </c>
      <c r="I7" s="13" t="s">
        <v>269</v>
      </c>
      <c r="J7" s="13" t="s">
        <v>270</v>
      </c>
      <c r="K7" s="13" t="s">
        <v>271</v>
      </c>
      <c r="L7" s="13" t="s">
        <v>272</v>
      </c>
    </row>
    <row r="8" spans="1:12" ht="23.85" customHeight="1" x14ac:dyDescent="0.3">
      <c r="A8" s="13">
        <v>7</v>
      </c>
      <c r="B8" s="13" t="s">
        <v>200</v>
      </c>
      <c r="C8" s="13" t="s">
        <v>241</v>
      </c>
      <c r="D8" s="13" t="s">
        <v>242</v>
      </c>
      <c r="E8" s="13" t="s">
        <v>36</v>
      </c>
      <c r="F8" s="13" t="s">
        <v>235</v>
      </c>
      <c r="G8" s="13" t="s">
        <v>273</v>
      </c>
      <c r="H8" s="13">
        <v>40</v>
      </c>
      <c r="I8" s="13" t="s">
        <v>274</v>
      </c>
      <c r="J8" s="13" t="s">
        <v>275</v>
      </c>
      <c r="K8" s="13" t="s">
        <v>276</v>
      </c>
      <c r="L8" s="13" t="s">
        <v>247</v>
      </c>
    </row>
    <row r="9" spans="1:12" ht="23.85" customHeight="1" x14ac:dyDescent="0.3">
      <c r="A9" s="13">
        <v>8</v>
      </c>
      <c r="B9" s="13" t="s">
        <v>201</v>
      </c>
      <c r="C9" s="13" t="s">
        <v>267</v>
      </c>
      <c r="D9" s="13" t="s">
        <v>242</v>
      </c>
      <c r="E9" s="13" t="s">
        <v>36</v>
      </c>
      <c r="F9" s="13" t="s">
        <v>235</v>
      </c>
      <c r="G9" s="13" t="s">
        <v>277</v>
      </c>
      <c r="H9" s="13">
        <v>110</v>
      </c>
      <c r="I9" s="13" t="s">
        <v>278</v>
      </c>
      <c r="J9" s="13" t="s">
        <v>279</v>
      </c>
      <c r="K9" s="13" t="s">
        <v>280</v>
      </c>
      <c r="L9" s="13" t="s">
        <v>272</v>
      </c>
    </row>
    <row r="10" spans="1:12" ht="35.1" customHeight="1" x14ac:dyDescent="0.3">
      <c r="A10" s="13">
        <v>9</v>
      </c>
      <c r="B10" s="13" t="s">
        <v>202</v>
      </c>
      <c r="C10" s="13" t="s">
        <v>241</v>
      </c>
      <c r="D10" s="13" t="s">
        <v>242</v>
      </c>
      <c r="E10" s="13" t="s">
        <v>186</v>
      </c>
      <c r="F10" s="13" t="s">
        <v>235</v>
      </c>
      <c r="G10" s="13" t="s">
        <v>281</v>
      </c>
      <c r="H10" s="13">
        <v>40</v>
      </c>
      <c r="I10" s="13" t="s">
        <v>282</v>
      </c>
      <c r="J10" s="13" t="s">
        <v>283</v>
      </c>
      <c r="K10" s="13" t="s">
        <v>284</v>
      </c>
      <c r="L10" s="13" t="s">
        <v>247</v>
      </c>
    </row>
    <row r="11" spans="1:12" ht="35.1" customHeight="1" x14ac:dyDescent="0.3">
      <c r="A11" s="13">
        <v>10</v>
      </c>
      <c r="B11" s="13" t="s">
        <v>203</v>
      </c>
      <c r="C11" s="13" t="s">
        <v>285</v>
      </c>
      <c r="D11" s="13" t="s">
        <v>286</v>
      </c>
      <c r="E11" s="13" t="s">
        <v>46</v>
      </c>
      <c r="F11" s="13" t="s">
        <v>287</v>
      </c>
      <c r="G11" s="13" t="s">
        <v>288</v>
      </c>
      <c r="H11" s="13">
        <v>22</v>
      </c>
      <c r="I11" s="13" t="s">
        <v>289</v>
      </c>
      <c r="J11" s="13" t="s">
        <v>290</v>
      </c>
      <c r="K11" s="13" t="s">
        <v>291</v>
      </c>
      <c r="L11" s="13" t="s">
        <v>292</v>
      </c>
    </row>
    <row r="12" spans="1:12" ht="35.1" customHeight="1" x14ac:dyDescent="0.3">
      <c r="A12" s="13">
        <v>11</v>
      </c>
      <c r="B12" s="13" t="s">
        <v>204</v>
      </c>
      <c r="C12" s="13" t="s">
        <v>233</v>
      </c>
      <c r="D12" s="13" t="s">
        <v>293</v>
      </c>
      <c r="E12" s="13" t="s">
        <v>161</v>
      </c>
      <c r="F12" s="13" t="s">
        <v>235</v>
      </c>
      <c r="G12" s="13" t="s">
        <v>294</v>
      </c>
      <c r="H12" s="13">
        <v>46</v>
      </c>
      <c r="I12" s="13" t="s">
        <v>295</v>
      </c>
      <c r="J12" s="13" t="s">
        <v>296</v>
      </c>
      <c r="K12" s="13" t="s">
        <v>297</v>
      </c>
      <c r="L12" s="13" t="s">
        <v>298</v>
      </c>
    </row>
    <row r="13" spans="1:12" ht="35.1" customHeight="1" x14ac:dyDescent="0.3">
      <c r="A13" s="13">
        <v>12</v>
      </c>
      <c r="B13" s="13" t="s">
        <v>205</v>
      </c>
      <c r="C13" s="13" t="s">
        <v>299</v>
      </c>
      <c r="D13" s="13" t="s">
        <v>300</v>
      </c>
      <c r="E13" s="13" t="s">
        <v>131</v>
      </c>
      <c r="F13" s="13" t="s">
        <v>287</v>
      </c>
      <c r="G13" s="13" t="s">
        <v>301</v>
      </c>
      <c r="H13" s="13">
        <v>77</v>
      </c>
      <c r="I13" s="13" t="s">
        <v>302</v>
      </c>
      <c r="J13" s="13" t="s">
        <v>303</v>
      </c>
      <c r="K13" s="13" t="s">
        <v>304</v>
      </c>
      <c r="L13" s="13" t="s">
        <v>305</v>
      </c>
    </row>
    <row r="14" spans="1:12" ht="35.1" customHeight="1" x14ac:dyDescent="0.3">
      <c r="A14" s="13">
        <v>13</v>
      </c>
      <c r="B14" s="13" t="s">
        <v>206</v>
      </c>
      <c r="C14" s="13" t="s">
        <v>299</v>
      </c>
      <c r="D14" s="13" t="s">
        <v>306</v>
      </c>
      <c r="E14" s="13" t="s">
        <v>66</v>
      </c>
      <c r="F14" s="13" t="s">
        <v>287</v>
      </c>
      <c r="G14" s="13" t="s">
        <v>301</v>
      </c>
      <c r="H14" s="13">
        <v>34</v>
      </c>
      <c r="I14" s="13" t="s">
        <v>307</v>
      </c>
      <c r="J14" s="13" t="s">
        <v>308</v>
      </c>
      <c r="K14" s="13" t="s">
        <v>309</v>
      </c>
      <c r="L14" s="13" t="s">
        <v>310</v>
      </c>
    </row>
    <row r="15" spans="1:12" ht="35.1" customHeight="1" x14ac:dyDescent="0.3">
      <c r="A15" s="13">
        <v>14</v>
      </c>
      <c r="B15" s="13" t="s">
        <v>207</v>
      </c>
      <c r="C15" s="13" t="s">
        <v>311</v>
      </c>
      <c r="D15" s="13" t="s">
        <v>242</v>
      </c>
      <c r="E15" s="13" t="s">
        <v>312</v>
      </c>
      <c r="F15" s="13" t="s">
        <v>287</v>
      </c>
      <c r="G15" s="13" t="s">
        <v>313</v>
      </c>
      <c r="H15" s="13">
        <v>36</v>
      </c>
      <c r="I15" s="13" t="s">
        <v>314</v>
      </c>
      <c r="J15" s="13" t="s">
        <v>315</v>
      </c>
      <c r="K15" s="13" t="s">
        <v>316</v>
      </c>
      <c r="L15" s="13" t="s">
        <v>317</v>
      </c>
    </row>
    <row r="16" spans="1:12" ht="79.8" customHeight="1" x14ac:dyDescent="0.3">
      <c r="A16" s="13">
        <v>15</v>
      </c>
      <c r="B16" s="13" t="s">
        <v>208</v>
      </c>
      <c r="C16" s="13" t="s">
        <v>318</v>
      </c>
      <c r="D16" s="13" t="s">
        <v>319</v>
      </c>
      <c r="E16" s="13" t="s">
        <v>86</v>
      </c>
      <c r="F16" s="13" t="s">
        <v>287</v>
      </c>
      <c r="G16" s="13" t="s">
        <v>320</v>
      </c>
      <c r="H16" s="13">
        <v>26</v>
      </c>
      <c r="I16" s="13" t="s">
        <v>321</v>
      </c>
      <c r="J16" s="13" t="s">
        <v>322</v>
      </c>
      <c r="K16" s="13" t="s">
        <v>323</v>
      </c>
      <c r="L16" s="13" t="s">
        <v>324</v>
      </c>
    </row>
    <row r="17" spans="1:12" ht="57.45" customHeight="1" x14ac:dyDescent="0.3">
      <c r="A17" s="13">
        <v>16</v>
      </c>
      <c r="B17" s="13" t="s">
        <v>209</v>
      </c>
      <c r="C17" s="13" t="s">
        <v>311</v>
      </c>
      <c r="D17" s="13" t="s">
        <v>325</v>
      </c>
      <c r="E17" s="13" t="s">
        <v>36</v>
      </c>
      <c r="F17" s="13" t="s">
        <v>287</v>
      </c>
      <c r="G17" s="13" t="s">
        <v>326</v>
      </c>
      <c r="H17" s="13">
        <v>31</v>
      </c>
      <c r="I17" s="13" t="s">
        <v>327</v>
      </c>
      <c r="J17" s="13" t="s">
        <v>328</v>
      </c>
      <c r="K17" s="13" t="s">
        <v>329</v>
      </c>
      <c r="L17" s="13" t="s">
        <v>330</v>
      </c>
    </row>
    <row r="18" spans="1:12" ht="26.4" x14ac:dyDescent="0.3">
      <c r="A18" s="13">
        <v>17</v>
      </c>
      <c r="B18" s="13" t="s">
        <v>210</v>
      </c>
      <c r="C18" s="13" t="s">
        <v>311</v>
      </c>
      <c r="D18" s="13" t="s">
        <v>242</v>
      </c>
      <c r="E18" s="13" t="s">
        <v>31</v>
      </c>
      <c r="F18" s="13" t="s">
        <v>235</v>
      </c>
      <c r="G18" s="13" t="s">
        <v>331</v>
      </c>
      <c r="H18" s="13">
        <v>17</v>
      </c>
      <c r="I18" s="13" t="s">
        <v>332</v>
      </c>
      <c r="J18" s="13" t="s">
        <v>333</v>
      </c>
      <c r="K18" s="13" t="s">
        <v>334</v>
      </c>
      <c r="L18" s="13" t="s">
        <v>335</v>
      </c>
    </row>
    <row r="19" spans="1:12" ht="26.4" x14ac:dyDescent="0.3">
      <c r="A19" s="13">
        <v>18</v>
      </c>
      <c r="B19" s="13" t="s">
        <v>211</v>
      </c>
      <c r="C19" s="13" t="s">
        <v>311</v>
      </c>
      <c r="D19" s="13" t="s">
        <v>242</v>
      </c>
      <c r="E19" s="13" t="s">
        <v>31</v>
      </c>
      <c r="F19" s="13" t="s">
        <v>235</v>
      </c>
      <c r="G19" s="13" t="s">
        <v>336</v>
      </c>
      <c r="H19" s="13">
        <v>21</v>
      </c>
      <c r="I19" s="13" t="s">
        <v>337</v>
      </c>
      <c r="J19" s="13" t="s">
        <v>333</v>
      </c>
      <c r="K19" s="13" t="s">
        <v>338</v>
      </c>
      <c r="L19" s="13" t="s">
        <v>335</v>
      </c>
    </row>
    <row r="20" spans="1:12" ht="15" customHeight="1" x14ac:dyDescent="0.3">
      <c r="A20" s="13">
        <v>19</v>
      </c>
      <c r="B20" s="13" t="s">
        <v>212</v>
      </c>
      <c r="C20" s="13" t="s">
        <v>311</v>
      </c>
      <c r="D20" s="13" t="s">
        <v>242</v>
      </c>
      <c r="E20" s="13" t="s">
        <v>101</v>
      </c>
      <c r="F20" s="13" t="s">
        <v>235</v>
      </c>
      <c r="G20" s="13" t="s">
        <v>336</v>
      </c>
      <c r="H20" s="13">
        <v>31</v>
      </c>
      <c r="I20" s="13" t="s">
        <v>339</v>
      </c>
      <c r="J20" s="13" t="s">
        <v>333</v>
      </c>
      <c r="K20" s="13" t="s">
        <v>340</v>
      </c>
      <c r="L20" s="13" t="s">
        <v>254</v>
      </c>
    </row>
    <row r="21" spans="1:12" ht="15" customHeight="1" x14ac:dyDescent="0.3">
      <c r="A21" s="13">
        <v>20</v>
      </c>
      <c r="B21" s="13" t="s">
        <v>213</v>
      </c>
      <c r="C21" s="13" t="s">
        <v>311</v>
      </c>
      <c r="D21" s="13" t="s">
        <v>242</v>
      </c>
      <c r="E21" s="13" t="s">
        <v>101</v>
      </c>
      <c r="F21" s="13" t="s">
        <v>287</v>
      </c>
      <c r="G21" s="13" t="s">
        <v>341</v>
      </c>
      <c r="H21" s="13">
        <v>123</v>
      </c>
      <c r="I21" s="13" t="s">
        <v>342</v>
      </c>
      <c r="J21" s="13" t="s">
        <v>333</v>
      </c>
      <c r="K21" s="13" t="s">
        <v>343</v>
      </c>
      <c r="L21" s="13" t="s">
        <v>344</v>
      </c>
    </row>
    <row r="22" spans="1:12" ht="15" customHeight="1" x14ac:dyDescent="0.3">
      <c r="A22" s="13">
        <v>21</v>
      </c>
      <c r="B22" s="13" t="s">
        <v>214</v>
      </c>
      <c r="C22" s="13" t="s">
        <v>311</v>
      </c>
      <c r="D22" s="13" t="s">
        <v>242</v>
      </c>
      <c r="E22" s="13" t="s">
        <v>31</v>
      </c>
      <c r="F22" s="13" t="s">
        <v>235</v>
      </c>
      <c r="G22" s="13" t="s">
        <v>331</v>
      </c>
      <c r="H22" s="13">
        <v>31</v>
      </c>
      <c r="I22" s="13" t="s">
        <v>345</v>
      </c>
      <c r="J22" s="13" t="s">
        <v>333</v>
      </c>
      <c r="K22" s="13" t="s">
        <v>346</v>
      </c>
      <c r="L22" s="13" t="s">
        <v>347</v>
      </c>
    </row>
    <row r="23" spans="1:12" ht="15" customHeight="1" x14ac:dyDescent="0.3">
      <c r="A23" s="13">
        <v>22</v>
      </c>
      <c r="B23" s="13" t="s">
        <v>215</v>
      </c>
      <c r="C23" s="13" t="s">
        <v>348</v>
      </c>
      <c r="D23" s="13" t="s">
        <v>349</v>
      </c>
      <c r="E23" s="13" t="s">
        <v>61</v>
      </c>
      <c r="F23" s="13" t="s">
        <v>287</v>
      </c>
      <c r="G23" s="13" t="s">
        <v>350</v>
      </c>
      <c r="H23" s="13">
        <v>135</v>
      </c>
      <c r="I23" s="13" t="s">
        <v>351</v>
      </c>
      <c r="J23" s="13" t="s">
        <v>333</v>
      </c>
      <c r="K23" s="13" t="s">
        <v>352</v>
      </c>
      <c r="L23" s="13" t="s">
        <v>347</v>
      </c>
    </row>
    <row r="24" spans="1:12" ht="15" customHeight="1" x14ac:dyDescent="0.3"/>
    <row r="25" spans="1:12" ht="15" customHeight="1" x14ac:dyDescent="0.3"/>
    <row r="26" spans="1:12" ht="15" customHeight="1" x14ac:dyDescent="0.3">
      <c r="A26" s="9" t="s">
        <v>231</v>
      </c>
    </row>
    <row r="27" spans="1:12" ht="15" customHeight="1" x14ac:dyDescent="0.3">
      <c r="A27" s="14" t="s">
        <v>353</v>
      </c>
    </row>
    <row r="28" spans="1:12" x14ac:dyDescent="0.3">
      <c r="A28" s="14" t="s">
        <v>354</v>
      </c>
    </row>
    <row r="29" spans="1:12" x14ac:dyDescent="0.3">
      <c r="A29" s="14" t="s">
        <v>355</v>
      </c>
    </row>
    <row r="30" spans="1:12" x14ac:dyDescent="0.3">
      <c r="A30" s="14" t="s">
        <v>356</v>
      </c>
    </row>
    <row r="31" spans="1:12" x14ac:dyDescent="0.3">
      <c r="A31" s="14" t="s">
        <v>357</v>
      </c>
    </row>
    <row r="32" spans="1:12" x14ac:dyDescent="0.3">
      <c r="A32" s="14" t="s">
        <v>358</v>
      </c>
    </row>
    <row r="33" spans="1:1" x14ac:dyDescent="0.3">
      <c r="A33" s="14" t="s">
        <v>359</v>
      </c>
    </row>
    <row r="34" spans="1:1" x14ac:dyDescent="0.3">
      <c r="A34" s="14" t="s">
        <v>360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7" width="12" customWidth="1"/>
  </cols>
  <sheetData>
    <row r="1" spans="1:7" ht="42" customHeight="1" x14ac:dyDescent="0.3">
      <c r="A1" s="1" t="s">
        <v>222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</row>
    <row r="2" spans="1:7" ht="15" customHeight="1" x14ac:dyDescent="0.3">
      <c r="A2" s="12" t="s">
        <v>194</v>
      </c>
      <c r="B2" s="12" t="s">
        <v>31</v>
      </c>
      <c r="C2" s="12">
        <v>1870</v>
      </c>
      <c r="D2" s="12" t="s">
        <v>76</v>
      </c>
      <c r="E2" s="12">
        <v>1869</v>
      </c>
      <c r="F2" s="12">
        <v>1</v>
      </c>
      <c r="G2" s="12"/>
    </row>
    <row r="3" spans="1:7" ht="15" customHeight="1" x14ac:dyDescent="0.3">
      <c r="A3" s="12" t="s">
        <v>194</v>
      </c>
      <c r="B3" s="12" t="s">
        <v>56</v>
      </c>
      <c r="C3" s="12">
        <v>1890</v>
      </c>
      <c r="D3" s="12" t="s">
        <v>111</v>
      </c>
      <c r="E3" s="12">
        <v>1889</v>
      </c>
      <c r="F3" s="12">
        <v>1</v>
      </c>
      <c r="G3" s="12"/>
    </row>
    <row r="4" spans="1:7" ht="15" customHeight="1" x14ac:dyDescent="0.3">
      <c r="A4" s="12" t="s">
        <v>194</v>
      </c>
      <c r="B4" s="12" t="s">
        <v>61</v>
      </c>
      <c r="C4" s="12">
        <v>1883</v>
      </c>
      <c r="D4" s="12" t="s">
        <v>131</v>
      </c>
      <c r="E4" s="12">
        <v>1885</v>
      </c>
      <c r="F4" s="12">
        <v>2</v>
      </c>
      <c r="G4" s="12"/>
    </row>
    <row r="5" spans="1:7" ht="15" customHeight="1" x14ac:dyDescent="0.3">
      <c r="A5" s="12" t="s">
        <v>194</v>
      </c>
      <c r="B5" s="12" t="s">
        <v>71</v>
      </c>
      <c r="C5" s="12">
        <v>1855</v>
      </c>
      <c r="D5" s="12" t="s">
        <v>106</v>
      </c>
      <c r="E5" s="12">
        <v>1853</v>
      </c>
      <c r="F5" s="12">
        <v>2</v>
      </c>
      <c r="G5" s="12"/>
    </row>
    <row r="6" spans="1:7" ht="15" customHeight="1" x14ac:dyDescent="0.3">
      <c r="A6" s="12" t="s">
        <v>194</v>
      </c>
      <c r="B6" s="12" t="s">
        <v>71</v>
      </c>
      <c r="C6" s="12">
        <v>1855</v>
      </c>
      <c r="D6" s="12" t="s">
        <v>116</v>
      </c>
      <c r="E6" s="12">
        <v>1856</v>
      </c>
      <c r="F6" s="12">
        <v>1</v>
      </c>
      <c r="G6" s="12"/>
    </row>
    <row r="7" spans="1:7" ht="15" customHeight="1" x14ac:dyDescent="0.3">
      <c r="A7" s="12" t="s">
        <v>194</v>
      </c>
      <c r="B7" s="12" t="s">
        <v>71</v>
      </c>
      <c r="C7" s="12">
        <v>1855</v>
      </c>
      <c r="D7" s="12" t="s">
        <v>136</v>
      </c>
      <c r="E7" s="12">
        <v>1855</v>
      </c>
      <c r="F7" s="12">
        <v>0</v>
      </c>
      <c r="G7" s="12" t="s">
        <v>367</v>
      </c>
    </row>
    <row r="8" spans="1:7" ht="15" customHeight="1" x14ac:dyDescent="0.3">
      <c r="A8" s="12" t="s">
        <v>194</v>
      </c>
      <c r="B8" s="12" t="s">
        <v>91</v>
      </c>
      <c r="C8" s="12">
        <v>1851</v>
      </c>
      <c r="D8" s="12" t="s">
        <v>106</v>
      </c>
      <c r="E8" s="12">
        <v>1853</v>
      </c>
      <c r="F8" s="12">
        <v>2</v>
      </c>
      <c r="G8" s="12"/>
    </row>
    <row r="9" spans="1:7" ht="15" customHeight="1" x14ac:dyDescent="0.3">
      <c r="A9" s="12" t="s">
        <v>194</v>
      </c>
      <c r="B9" s="12" t="s">
        <v>91</v>
      </c>
      <c r="C9" s="12">
        <v>1851</v>
      </c>
      <c r="D9" s="12" t="s">
        <v>141</v>
      </c>
      <c r="E9" s="12">
        <v>1850</v>
      </c>
      <c r="F9" s="12">
        <v>1</v>
      </c>
      <c r="G9" s="12"/>
    </row>
    <row r="10" spans="1:7" ht="15" customHeight="1" x14ac:dyDescent="0.3">
      <c r="A10" s="12" t="s">
        <v>194</v>
      </c>
      <c r="B10" s="12" t="s">
        <v>96</v>
      </c>
      <c r="C10" s="12">
        <v>1860</v>
      </c>
      <c r="D10" s="12" t="s">
        <v>121</v>
      </c>
      <c r="E10" s="12">
        <v>1861</v>
      </c>
      <c r="F10" s="12">
        <v>1</v>
      </c>
      <c r="G10" s="12"/>
    </row>
    <row r="11" spans="1:7" ht="15" customHeight="1" x14ac:dyDescent="0.3">
      <c r="A11" s="12" t="s">
        <v>194</v>
      </c>
      <c r="B11" s="12" t="s">
        <v>101</v>
      </c>
      <c r="C11" s="12">
        <v>1925</v>
      </c>
      <c r="D11" s="12" t="s">
        <v>166</v>
      </c>
      <c r="E11" s="12">
        <v>1923</v>
      </c>
      <c r="F11" s="12">
        <v>2</v>
      </c>
      <c r="G11" s="12"/>
    </row>
    <row r="12" spans="1:7" ht="15" customHeight="1" x14ac:dyDescent="0.3">
      <c r="A12" s="12" t="s">
        <v>194</v>
      </c>
      <c r="B12" s="12" t="s">
        <v>106</v>
      </c>
      <c r="C12" s="12">
        <v>1853</v>
      </c>
      <c r="D12" s="12" t="s">
        <v>136</v>
      </c>
      <c r="E12" s="12">
        <v>1855</v>
      </c>
      <c r="F12" s="12">
        <v>2</v>
      </c>
      <c r="G12" s="12"/>
    </row>
    <row r="13" spans="1:7" ht="15" customHeight="1" x14ac:dyDescent="0.3">
      <c r="A13" s="12" t="s">
        <v>194</v>
      </c>
      <c r="B13" s="12" t="s">
        <v>116</v>
      </c>
      <c r="C13" s="12">
        <v>1856</v>
      </c>
      <c r="D13" s="12" t="s">
        <v>136</v>
      </c>
      <c r="E13" s="12">
        <v>1855</v>
      </c>
      <c r="F13" s="12">
        <v>1</v>
      </c>
      <c r="G13" s="12"/>
    </row>
    <row r="14" spans="1:7" ht="15" customHeight="1" x14ac:dyDescent="0.3">
      <c r="A14" s="12" t="s">
        <v>194</v>
      </c>
      <c r="B14" s="12" t="s">
        <v>126</v>
      </c>
      <c r="C14" s="12">
        <v>1876</v>
      </c>
      <c r="D14" s="12" t="s">
        <v>151</v>
      </c>
      <c r="E14" s="12">
        <v>1876</v>
      </c>
      <c r="F14" s="12">
        <v>0</v>
      </c>
      <c r="G14" s="12" t="s">
        <v>367</v>
      </c>
    </row>
    <row r="15" spans="1:7" ht="15" customHeight="1" x14ac:dyDescent="0.3">
      <c r="A15" s="12" t="s">
        <v>194</v>
      </c>
      <c r="B15" s="12" t="s">
        <v>126</v>
      </c>
      <c r="C15" s="12">
        <v>1876</v>
      </c>
      <c r="D15" s="12" t="s">
        <v>156</v>
      </c>
      <c r="E15" s="12">
        <v>1876</v>
      </c>
      <c r="F15" s="12">
        <v>0</v>
      </c>
      <c r="G15" s="12" t="s">
        <v>367</v>
      </c>
    </row>
    <row r="16" spans="1:7" ht="15" customHeight="1" x14ac:dyDescent="0.3">
      <c r="A16" s="12" t="s">
        <v>194</v>
      </c>
      <c r="B16" s="12" t="s">
        <v>141</v>
      </c>
      <c r="C16" s="12">
        <v>1850</v>
      </c>
      <c r="D16" s="12" t="s">
        <v>146</v>
      </c>
      <c r="E16" s="12">
        <v>1848</v>
      </c>
      <c r="F16" s="12">
        <v>2</v>
      </c>
      <c r="G16" s="12"/>
    </row>
    <row r="17" spans="1:7" ht="15" customHeight="1" x14ac:dyDescent="0.3">
      <c r="A17" s="12" t="s">
        <v>194</v>
      </c>
      <c r="B17" s="12" t="s">
        <v>141</v>
      </c>
      <c r="C17" s="12">
        <v>1850</v>
      </c>
      <c r="D17" s="12" t="s">
        <v>161</v>
      </c>
      <c r="E17" s="12">
        <v>1848</v>
      </c>
      <c r="F17" s="12">
        <v>2</v>
      </c>
      <c r="G17" s="12"/>
    </row>
    <row r="18" spans="1:7" ht="15" customHeight="1" x14ac:dyDescent="0.3">
      <c r="A18" s="12" t="s">
        <v>194</v>
      </c>
      <c r="B18" s="12" t="s">
        <v>146</v>
      </c>
      <c r="C18" s="12">
        <v>1848</v>
      </c>
      <c r="D18" s="12" t="s">
        <v>161</v>
      </c>
      <c r="E18" s="12">
        <v>1848</v>
      </c>
      <c r="F18" s="12">
        <v>0</v>
      </c>
      <c r="G18" s="12" t="s">
        <v>367</v>
      </c>
    </row>
    <row r="19" spans="1:7" ht="15" customHeight="1" x14ac:dyDescent="0.3">
      <c r="A19" s="12" t="s">
        <v>194</v>
      </c>
      <c r="B19" s="12" t="s">
        <v>146</v>
      </c>
      <c r="C19" s="12">
        <v>1848</v>
      </c>
      <c r="D19" s="12" t="s">
        <v>176</v>
      </c>
      <c r="E19" s="12">
        <v>1847</v>
      </c>
      <c r="F19" s="12">
        <v>1</v>
      </c>
      <c r="G19" s="12"/>
    </row>
    <row r="20" spans="1:7" ht="15" customHeight="1" x14ac:dyDescent="0.3">
      <c r="A20" s="12" t="s">
        <v>194</v>
      </c>
      <c r="B20" s="12" t="s">
        <v>151</v>
      </c>
      <c r="C20" s="12">
        <v>1876</v>
      </c>
      <c r="D20" s="12" t="s">
        <v>156</v>
      </c>
      <c r="E20" s="12">
        <v>1876</v>
      </c>
      <c r="F20" s="12">
        <v>0</v>
      </c>
      <c r="G20" s="12" t="s">
        <v>367</v>
      </c>
    </row>
    <row r="21" spans="1:7" ht="15" customHeight="1" x14ac:dyDescent="0.3">
      <c r="A21" s="12" t="s">
        <v>194</v>
      </c>
      <c r="B21" s="12" t="s">
        <v>161</v>
      </c>
      <c r="C21" s="12">
        <v>1848</v>
      </c>
      <c r="D21" s="12" t="s">
        <v>176</v>
      </c>
      <c r="E21" s="12">
        <v>1847</v>
      </c>
      <c r="F21" s="12">
        <v>1</v>
      </c>
      <c r="G21" s="12"/>
    </row>
    <row r="22" spans="1:7" ht="15" customHeight="1" x14ac:dyDescent="0.3">
      <c r="A22" s="12" t="s">
        <v>195</v>
      </c>
      <c r="B22" s="12" t="s">
        <v>31</v>
      </c>
      <c r="C22" s="12">
        <v>990</v>
      </c>
      <c r="D22" s="12" t="s">
        <v>36</v>
      </c>
      <c r="E22" s="12">
        <v>985</v>
      </c>
      <c r="F22" s="12">
        <v>5</v>
      </c>
      <c r="G22" s="12"/>
    </row>
    <row r="23" spans="1:7" ht="15" customHeight="1" x14ac:dyDescent="0.3">
      <c r="A23" s="12" t="s">
        <v>195</v>
      </c>
      <c r="B23" s="12" t="s">
        <v>31</v>
      </c>
      <c r="C23" s="12">
        <v>990</v>
      </c>
      <c r="D23" s="12" t="s">
        <v>41</v>
      </c>
      <c r="E23" s="12">
        <v>972</v>
      </c>
      <c r="F23" s="12">
        <v>18</v>
      </c>
      <c r="G23" s="12"/>
    </row>
    <row r="24" spans="1:7" ht="15" customHeight="1" x14ac:dyDescent="0.3">
      <c r="A24" s="12" t="s">
        <v>195</v>
      </c>
      <c r="B24" s="12" t="s">
        <v>31</v>
      </c>
      <c r="C24" s="12">
        <v>990</v>
      </c>
      <c r="D24" s="12" t="s">
        <v>61</v>
      </c>
      <c r="E24" s="12">
        <v>972</v>
      </c>
      <c r="F24" s="12">
        <v>18</v>
      </c>
      <c r="G24" s="12"/>
    </row>
    <row r="25" spans="1:7" ht="15" customHeight="1" x14ac:dyDescent="0.3">
      <c r="A25" s="12" t="s">
        <v>195</v>
      </c>
      <c r="B25" s="12" t="s">
        <v>36</v>
      </c>
      <c r="C25" s="12">
        <v>985</v>
      </c>
      <c r="D25" s="12" t="s">
        <v>41</v>
      </c>
      <c r="E25" s="12">
        <v>972</v>
      </c>
      <c r="F25" s="12">
        <v>13</v>
      </c>
      <c r="G25" s="12"/>
    </row>
    <row r="26" spans="1:7" ht="15" customHeight="1" x14ac:dyDescent="0.3">
      <c r="A26" s="12" t="s">
        <v>195</v>
      </c>
      <c r="B26" s="12" t="s">
        <v>36</v>
      </c>
      <c r="C26" s="12">
        <v>985</v>
      </c>
      <c r="D26" s="12" t="s">
        <v>61</v>
      </c>
      <c r="E26" s="12">
        <v>972</v>
      </c>
      <c r="F26" s="12">
        <v>13</v>
      </c>
      <c r="G26" s="12"/>
    </row>
    <row r="27" spans="1:7" ht="15" customHeight="1" x14ac:dyDescent="0.3">
      <c r="A27" s="12" t="s">
        <v>195</v>
      </c>
      <c r="B27" s="12" t="s">
        <v>41</v>
      </c>
      <c r="C27" s="12">
        <v>972</v>
      </c>
      <c r="D27" s="12" t="s">
        <v>56</v>
      </c>
      <c r="E27" s="12">
        <v>960</v>
      </c>
      <c r="F27" s="12">
        <v>12</v>
      </c>
      <c r="G27" s="12"/>
    </row>
    <row r="28" spans="1:7" ht="15" customHeight="1" x14ac:dyDescent="0.3">
      <c r="A28" s="12" t="s">
        <v>195</v>
      </c>
      <c r="B28" s="12" t="s">
        <v>41</v>
      </c>
      <c r="C28" s="12">
        <v>972</v>
      </c>
      <c r="D28" s="12" t="s">
        <v>61</v>
      </c>
      <c r="E28" s="12">
        <v>972</v>
      </c>
      <c r="F28" s="12">
        <v>0</v>
      </c>
      <c r="G28" s="12" t="s">
        <v>367</v>
      </c>
    </row>
    <row r="29" spans="1:7" ht="15" customHeight="1" x14ac:dyDescent="0.3">
      <c r="A29" s="12" t="s">
        <v>195</v>
      </c>
      <c r="B29" s="12" t="s">
        <v>51</v>
      </c>
      <c r="C29" s="12">
        <v>511</v>
      </c>
      <c r="D29" s="12" t="s">
        <v>186</v>
      </c>
      <c r="E29" s="12">
        <v>521</v>
      </c>
      <c r="F29" s="12">
        <v>10</v>
      </c>
      <c r="G29" s="12"/>
    </row>
    <row r="30" spans="1:7" ht="15" customHeight="1" x14ac:dyDescent="0.3">
      <c r="A30" s="12" t="s">
        <v>195</v>
      </c>
      <c r="B30" s="12" t="s">
        <v>56</v>
      </c>
      <c r="C30" s="12">
        <v>960</v>
      </c>
      <c r="D30" s="12" t="s">
        <v>61</v>
      </c>
      <c r="E30" s="12">
        <v>972</v>
      </c>
      <c r="F30" s="12">
        <v>12</v>
      </c>
      <c r="G30" s="12"/>
    </row>
    <row r="31" spans="1:7" ht="15" customHeight="1" x14ac:dyDescent="0.3">
      <c r="A31" s="12" t="s">
        <v>195</v>
      </c>
      <c r="B31" s="12" t="s">
        <v>56</v>
      </c>
      <c r="C31" s="12">
        <v>960</v>
      </c>
      <c r="D31" s="12" t="s">
        <v>71</v>
      </c>
      <c r="E31" s="12">
        <v>946</v>
      </c>
      <c r="F31" s="12">
        <v>14</v>
      </c>
      <c r="G31" s="12"/>
    </row>
    <row r="32" spans="1:7" ht="15" customHeight="1" x14ac:dyDescent="0.3">
      <c r="A32" s="12" t="s">
        <v>195</v>
      </c>
      <c r="B32" s="12" t="s">
        <v>66</v>
      </c>
      <c r="C32" s="12">
        <v>886</v>
      </c>
      <c r="D32" s="12" t="s">
        <v>81</v>
      </c>
      <c r="E32" s="12">
        <v>877</v>
      </c>
      <c r="F32" s="12">
        <v>9</v>
      </c>
      <c r="G32" s="12"/>
    </row>
    <row r="33" spans="1:7" ht="15" customHeight="1" x14ac:dyDescent="0.3">
      <c r="A33" s="12" t="s">
        <v>195</v>
      </c>
      <c r="B33" s="12" t="s">
        <v>66</v>
      </c>
      <c r="C33" s="12">
        <v>886</v>
      </c>
      <c r="D33" s="12" t="s">
        <v>86</v>
      </c>
      <c r="E33" s="12">
        <v>895</v>
      </c>
      <c r="F33" s="12">
        <v>9</v>
      </c>
      <c r="G33" s="12"/>
    </row>
    <row r="34" spans="1:7" ht="15" customHeight="1" x14ac:dyDescent="0.3">
      <c r="A34" s="12" t="s">
        <v>195</v>
      </c>
      <c r="B34" s="12" t="s">
        <v>71</v>
      </c>
      <c r="C34" s="12">
        <v>946</v>
      </c>
      <c r="D34" s="12" t="s">
        <v>76</v>
      </c>
      <c r="E34" s="12">
        <v>927</v>
      </c>
      <c r="F34" s="12">
        <v>19</v>
      </c>
      <c r="G34" s="12"/>
    </row>
    <row r="35" spans="1:7" ht="15" customHeight="1" x14ac:dyDescent="0.3">
      <c r="A35" s="12" t="s">
        <v>195</v>
      </c>
      <c r="B35" s="12" t="s">
        <v>81</v>
      </c>
      <c r="C35" s="12">
        <v>877</v>
      </c>
      <c r="D35" s="12" t="s">
        <v>86</v>
      </c>
      <c r="E35" s="12">
        <v>895</v>
      </c>
      <c r="F35" s="12">
        <v>18</v>
      </c>
      <c r="G35" s="12"/>
    </row>
    <row r="36" spans="1:7" ht="15" customHeight="1" x14ac:dyDescent="0.3">
      <c r="A36" s="12" t="s">
        <v>195</v>
      </c>
      <c r="B36" s="12" t="s">
        <v>96</v>
      </c>
      <c r="C36" s="12">
        <v>818</v>
      </c>
      <c r="D36" s="12" t="s">
        <v>111</v>
      </c>
      <c r="E36" s="12">
        <v>809</v>
      </c>
      <c r="F36" s="12">
        <v>9</v>
      </c>
      <c r="G36" s="12"/>
    </row>
    <row r="37" spans="1:7" ht="15" customHeight="1" x14ac:dyDescent="0.3">
      <c r="A37" s="12" t="s">
        <v>195</v>
      </c>
      <c r="B37" s="12" t="s">
        <v>96</v>
      </c>
      <c r="C37" s="12">
        <v>818</v>
      </c>
      <c r="D37" s="12" t="s">
        <v>116</v>
      </c>
      <c r="E37" s="12">
        <v>807</v>
      </c>
      <c r="F37" s="12">
        <v>11</v>
      </c>
      <c r="G37" s="12"/>
    </row>
    <row r="38" spans="1:7" ht="15" customHeight="1" x14ac:dyDescent="0.3">
      <c r="A38" s="12" t="s">
        <v>195</v>
      </c>
      <c r="B38" s="12" t="s">
        <v>101</v>
      </c>
      <c r="C38" s="12">
        <v>676</v>
      </c>
      <c r="D38" s="12" t="s">
        <v>161</v>
      </c>
      <c r="E38" s="12">
        <v>688</v>
      </c>
      <c r="F38" s="12">
        <v>12</v>
      </c>
      <c r="G38" s="12"/>
    </row>
    <row r="39" spans="1:7" ht="15" customHeight="1" x14ac:dyDescent="0.3">
      <c r="A39" s="12" t="s">
        <v>195</v>
      </c>
      <c r="B39" s="12" t="s">
        <v>106</v>
      </c>
      <c r="C39" s="12">
        <v>767</v>
      </c>
      <c r="D39" s="12" t="s">
        <v>121</v>
      </c>
      <c r="E39" s="12">
        <v>783</v>
      </c>
      <c r="F39" s="12">
        <v>16</v>
      </c>
      <c r="G39" s="12"/>
    </row>
    <row r="40" spans="1:7" ht="15" customHeight="1" x14ac:dyDescent="0.3">
      <c r="A40" s="12" t="s">
        <v>195</v>
      </c>
      <c r="B40" s="12" t="s">
        <v>106</v>
      </c>
      <c r="C40" s="12">
        <v>767</v>
      </c>
      <c r="D40" s="12" t="s">
        <v>146</v>
      </c>
      <c r="E40" s="12">
        <v>749</v>
      </c>
      <c r="F40" s="12">
        <v>18</v>
      </c>
      <c r="G40" s="12"/>
    </row>
    <row r="41" spans="1:7" ht="15" customHeight="1" x14ac:dyDescent="0.3">
      <c r="A41" s="12" t="s">
        <v>195</v>
      </c>
      <c r="B41" s="12" t="s">
        <v>111</v>
      </c>
      <c r="C41" s="12">
        <v>809</v>
      </c>
      <c r="D41" s="12" t="s">
        <v>116</v>
      </c>
      <c r="E41" s="12">
        <v>807</v>
      </c>
      <c r="F41" s="12">
        <v>2</v>
      </c>
      <c r="G41" s="12"/>
    </row>
    <row r="42" spans="1:7" ht="15" customHeight="1" x14ac:dyDescent="0.3">
      <c r="A42" s="12" t="s">
        <v>195</v>
      </c>
      <c r="B42" s="12" t="s">
        <v>116</v>
      </c>
      <c r="C42" s="12">
        <v>807</v>
      </c>
      <c r="D42" s="12" t="s">
        <v>126</v>
      </c>
      <c r="E42" s="12">
        <v>789</v>
      </c>
      <c r="F42" s="12">
        <v>18</v>
      </c>
      <c r="G42" s="12"/>
    </row>
    <row r="43" spans="1:7" ht="15" customHeight="1" x14ac:dyDescent="0.3">
      <c r="A43" s="12" t="s">
        <v>195</v>
      </c>
      <c r="B43" s="12" t="s">
        <v>121</v>
      </c>
      <c r="C43" s="12">
        <v>783</v>
      </c>
      <c r="D43" s="12" t="s">
        <v>126</v>
      </c>
      <c r="E43" s="12">
        <v>789</v>
      </c>
      <c r="F43" s="12">
        <v>6</v>
      </c>
      <c r="G43" s="12"/>
    </row>
    <row r="44" spans="1:7" ht="15" customHeight="1" x14ac:dyDescent="0.3">
      <c r="A44" s="12" t="s">
        <v>195</v>
      </c>
      <c r="B44" s="12" t="s">
        <v>136</v>
      </c>
      <c r="C44" s="12">
        <v>738</v>
      </c>
      <c r="D44" s="12" t="s">
        <v>141</v>
      </c>
      <c r="E44" s="12">
        <v>727</v>
      </c>
      <c r="F44" s="12">
        <v>11</v>
      </c>
      <c r="G44" s="12"/>
    </row>
    <row r="45" spans="1:7" ht="15" customHeight="1" x14ac:dyDescent="0.3">
      <c r="A45" s="12" t="s">
        <v>195</v>
      </c>
      <c r="B45" s="12" t="s">
        <v>136</v>
      </c>
      <c r="C45" s="12">
        <v>738</v>
      </c>
      <c r="D45" s="12" t="s">
        <v>146</v>
      </c>
      <c r="E45" s="12">
        <v>749</v>
      </c>
      <c r="F45" s="12">
        <v>11</v>
      </c>
      <c r="G45" s="12"/>
    </row>
    <row r="46" spans="1:7" ht="15" customHeight="1" x14ac:dyDescent="0.3">
      <c r="A46" s="12" t="s">
        <v>195</v>
      </c>
      <c r="B46" s="12" t="s">
        <v>136</v>
      </c>
      <c r="C46" s="12">
        <v>738</v>
      </c>
      <c r="D46" s="12" t="s">
        <v>151</v>
      </c>
      <c r="E46" s="12">
        <v>721</v>
      </c>
      <c r="F46" s="12">
        <v>17</v>
      </c>
      <c r="G46" s="12"/>
    </row>
    <row r="47" spans="1:7" ht="15" customHeight="1" x14ac:dyDescent="0.3">
      <c r="A47" s="12" t="s">
        <v>195</v>
      </c>
      <c r="B47" s="12" t="s">
        <v>136</v>
      </c>
      <c r="C47" s="12">
        <v>738</v>
      </c>
      <c r="D47" s="12" t="s">
        <v>156</v>
      </c>
      <c r="E47" s="12">
        <v>733</v>
      </c>
      <c r="F47" s="12">
        <v>5</v>
      </c>
      <c r="G47" s="12"/>
    </row>
    <row r="48" spans="1:7" ht="15" customHeight="1" x14ac:dyDescent="0.3">
      <c r="A48" s="12" t="s">
        <v>195</v>
      </c>
      <c r="B48" s="12" t="s">
        <v>136</v>
      </c>
      <c r="C48" s="12">
        <v>738</v>
      </c>
      <c r="D48" s="12" t="s">
        <v>171</v>
      </c>
      <c r="E48" s="12">
        <v>724</v>
      </c>
      <c r="F48" s="12">
        <v>14</v>
      </c>
      <c r="G48" s="12"/>
    </row>
    <row r="49" spans="1:7" ht="15" customHeight="1" x14ac:dyDescent="0.3">
      <c r="A49" s="12" t="s">
        <v>195</v>
      </c>
      <c r="B49" s="12" t="s">
        <v>141</v>
      </c>
      <c r="C49" s="12">
        <v>727</v>
      </c>
      <c r="D49" s="12" t="s">
        <v>151</v>
      </c>
      <c r="E49" s="12">
        <v>721</v>
      </c>
      <c r="F49" s="12">
        <v>6</v>
      </c>
      <c r="G49" s="12"/>
    </row>
    <row r="50" spans="1:7" ht="15" customHeight="1" x14ac:dyDescent="0.3">
      <c r="A50" s="12" t="s">
        <v>195</v>
      </c>
      <c r="B50" s="12" t="s">
        <v>141</v>
      </c>
      <c r="C50" s="12">
        <v>727</v>
      </c>
      <c r="D50" s="12" t="s">
        <v>156</v>
      </c>
      <c r="E50" s="12">
        <v>733</v>
      </c>
      <c r="F50" s="12">
        <v>6</v>
      </c>
      <c r="G50" s="12"/>
    </row>
    <row r="51" spans="1:7" ht="15" customHeight="1" x14ac:dyDescent="0.3">
      <c r="A51" s="12" t="s">
        <v>195</v>
      </c>
      <c r="B51" s="12" t="s">
        <v>141</v>
      </c>
      <c r="C51" s="12">
        <v>727</v>
      </c>
      <c r="D51" s="12" t="s">
        <v>171</v>
      </c>
      <c r="E51" s="12">
        <v>724</v>
      </c>
      <c r="F51" s="12">
        <v>3</v>
      </c>
      <c r="G51" s="12"/>
    </row>
    <row r="52" spans="1:7" ht="15" customHeight="1" x14ac:dyDescent="0.3">
      <c r="A52" s="12" t="s">
        <v>195</v>
      </c>
      <c r="B52" s="12" t="s">
        <v>146</v>
      </c>
      <c r="C52" s="12">
        <v>749</v>
      </c>
      <c r="D52" s="12" t="s">
        <v>156</v>
      </c>
      <c r="E52" s="12">
        <v>733</v>
      </c>
      <c r="F52" s="12">
        <v>16</v>
      </c>
      <c r="G52" s="12"/>
    </row>
    <row r="53" spans="1:7" ht="15" customHeight="1" x14ac:dyDescent="0.3">
      <c r="A53" s="12" t="s">
        <v>195</v>
      </c>
      <c r="B53" s="12" t="s">
        <v>151</v>
      </c>
      <c r="C53" s="12">
        <v>721</v>
      </c>
      <c r="D53" s="12" t="s">
        <v>156</v>
      </c>
      <c r="E53" s="12">
        <v>733</v>
      </c>
      <c r="F53" s="12">
        <v>12</v>
      </c>
      <c r="G53" s="12"/>
    </row>
    <row r="54" spans="1:7" ht="15" customHeight="1" x14ac:dyDescent="0.3">
      <c r="A54" s="12" t="s">
        <v>195</v>
      </c>
      <c r="B54" s="12" t="s">
        <v>151</v>
      </c>
      <c r="C54" s="12">
        <v>721</v>
      </c>
      <c r="D54" s="12" t="s">
        <v>171</v>
      </c>
      <c r="E54" s="12">
        <v>724</v>
      </c>
      <c r="F54" s="12">
        <v>3</v>
      </c>
      <c r="G54" s="12"/>
    </row>
    <row r="55" spans="1:7" ht="15" customHeight="1" x14ac:dyDescent="0.3">
      <c r="A55" s="12" t="s">
        <v>195</v>
      </c>
      <c r="B55" s="12" t="s">
        <v>151</v>
      </c>
      <c r="C55" s="12">
        <v>721</v>
      </c>
      <c r="D55" s="12" t="s">
        <v>176</v>
      </c>
      <c r="E55" s="12">
        <v>703</v>
      </c>
      <c r="F55" s="12">
        <v>18</v>
      </c>
      <c r="G55" s="12"/>
    </row>
    <row r="56" spans="1:7" ht="15" customHeight="1" x14ac:dyDescent="0.3">
      <c r="A56" s="12" t="s">
        <v>195</v>
      </c>
      <c r="B56" s="12" t="s">
        <v>156</v>
      </c>
      <c r="C56" s="12">
        <v>733</v>
      </c>
      <c r="D56" s="12" t="s">
        <v>171</v>
      </c>
      <c r="E56" s="12">
        <v>724</v>
      </c>
      <c r="F56" s="12">
        <v>9</v>
      </c>
      <c r="G56" s="12"/>
    </row>
    <row r="57" spans="1:7" ht="15" customHeight="1" x14ac:dyDescent="0.3">
      <c r="A57" s="12" t="s">
        <v>195</v>
      </c>
      <c r="B57" s="12" t="s">
        <v>161</v>
      </c>
      <c r="C57" s="12">
        <v>688</v>
      </c>
      <c r="D57" s="12" t="s">
        <v>176</v>
      </c>
      <c r="E57" s="12">
        <v>703</v>
      </c>
      <c r="F57" s="12">
        <v>15</v>
      </c>
      <c r="G57" s="12"/>
    </row>
    <row r="58" spans="1:7" ht="15" customHeight="1" x14ac:dyDescent="0.3">
      <c r="A58" s="12" t="s">
        <v>195</v>
      </c>
      <c r="B58" s="12" t="s">
        <v>161</v>
      </c>
      <c r="C58" s="12">
        <v>688</v>
      </c>
      <c r="D58" s="12" t="s">
        <v>181</v>
      </c>
      <c r="E58" s="12">
        <v>696</v>
      </c>
      <c r="F58" s="12">
        <v>8</v>
      </c>
      <c r="G58" s="12"/>
    </row>
    <row r="59" spans="1:7" ht="15" customHeight="1" x14ac:dyDescent="0.3">
      <c r="A59" s="12" t="s">
        <v>195</v>
      </c>
      <c r="B59" s="12" t="s">
        <v>176</v>
      </c>
      <c r="C59" s="12">
        <v>703</v>
      </c>
      <c r="D59" s="12" t="s">
        <v>181</v>
      </c>
      <c r="E59" s="12">
        <v>696</v>
      </c>
      <c r="F59" s="12">
        <v>7</v>
      </c>
      <c r="G59" s="12"/>
    </row>
    <row r="60" spans="1:7" ht="15" customHeight="1" x14ac:dyDescent="0.3">
      <c r="A60" s="12" t="s">
        <v>196</v>
      </c>
      <c r="B60" s="12" t="s">
        <v>31</v>
      </c>
      <c r="C60" s="12">
        <v>0.73699999999999999</v>
      </c>
      <c r="D60" s="12" t="s">
        <v>36</v>
      </c>
      <c r="E60" s="12">
        <v>0.73299999999999998</v>
      </c>
      <c r="F60" s="12">
        <v>4.0000000000000001E-3</v>
      </c>
      <c r="G60" s="12"/>
    </row>
    <row r="61" spans="1:7" ht="15" customHeight="1" x14ac:dyDescent="0.3">
      <c r="A61" s="12" t="s">
        <v>196</v>
      </c>
      <c r="B61" s="12" t="s">
        <v>31</v>
      </c>
      <c r="C61" s="12">
        <v>0.73699999999999999</v>
      </c>
      <c r="D61" s="12" t="s">
        <v>41</v>
      </c>
      <c r="E61" s="12">
        <v>0.73299999999999998</v>
      </c>
      <c r="F61" s="12">
        <v>4.0000000000000001E-3</v>
      </c>
      <c r="G61" s="12"/>
    </row>
    <row r="62" spans="1:7" ht="15" customHeight="1" x14ac:dyDescent="0.3">
      <c r="A62" s="12" t="s">
        <v>196</v>
      </c>
      <c r="B62" s="12" t="s">
        <v>31</v>
      </c>
      <c r="C62" s="12">
        <v>0.73699999999999999</v>
      </c>
      <c r="D62" s="12" t="s">
        <v>46</v>
      </c>
      <c r="E62" s="12">
        <v>0.73199999999999998</v>
      </c>
      <c r="F62" s="12">
        <v>5.0000000000000001E-3</v>
      </c>
      <c r="G62" s="12"/>
    </row>
    <row r="63" spans="1:7" ht="15" customHeight="1" x14ac:dyDescent="0.3">
      <c r="A63" s="12" t="s">
        <v>196</v>
      </c>
      <c r="B63" s="12" t="s">
        <v>36</v>
      </c>
      <c r="C63" s="12">
        <v>0.73299999999999998</v>
      </c>
      <c r="D63" s="12" t="s">
        <v>41</v>
      </c>
      <c r="E63" s="12">
        <v>0.73299999999999998</v>
      </c>
      <c r="F63" s="12">
        <v>0</v>
      </c>
      <c r="G63" s="12" t="s">
        <v>367</v>
      </c>
    </row>
    <row r="64" spans="1:7" ht="15" customHeight="1" x14ac:dyDescent="0.3">
      <c r="A64" s="12" t="s">
        <v>196</v>
      </c>
      <c r="B64" s="12" t="s">
        <v>36</v>
      </c>
      <c r="C64" s="12">
        <v>0.73299999999999998</v>
      </c>
      <c r="D64" s="12" t="s">
        <v>46</v>
      </c>
      <c r="E64" s="12">
        <v>0.73199999999999998</v>
      </c>
      <c r="F64" s="12">
        <v>1E-3</v>
      </c>
      <c r="G64" s="12"/>
    </row>
    <row r="65" spans="1:7" ht="15" customHeight="1" x14ac:dyDescent="0.3">
      <c r="A65" s="12" t="s">
        <v>196</v>
      </c>
      <c r="B65" s="12" t="s">
        <v>36</v>
      </c>
      <c r="C65" s="12">
        <v>0.73299999999999998</v>
      </c>
      <c r="D65" s="12" t="s">
        <v>51</v>
      </c>
      <c r="E65" s="12">
        <v>0.72399999999999998</v>
      </c>
      <c r="F65" s="12">
        <v>8.9999999999999993E-3</v>
      </c>
      <c r="G65" s="12"/>
    </row>
    <row r="66" spans="1:7" ht="15" customHeight="1" x14ac:dyDescent="0.3">
      <c r="A66" s="12" t="s">
        <v>196</v>
      </c>
      <c r="B66" s="12" t="s">
        <v>41</v>
      </c>
      <c r="C66" s="12">
        <v>0.73299999999999998</v>
      </c>
      <c r="D66" s="12" t="s">
        <v>46</v>
      </c>
      <c r="E66" s="12">
        <v>0.73199999999999998</v>
      </c>
      <c r="F66" s="12">
        <v>1E-3</v>
      </c>
      <c r="G66" s="12"/>
    </row>
    <row r="67" spans="1:7" ht="15" customHeight="1" x14ac:dyDescent="0.3">
      <c r="A67" s="12" t="s">
        <v>196</v>
      </c>
      <c r="B67" s="12" t="s">
        <v>41</v>
      </c>
      <c r="C67" s="12">
        <v>0.73299999999999998</v>
      </c>
      <c r="D67" s="12" t="s">
        <v>51</v>
      </c>
      <c r="E67" s="12">
        <v>0.72399999999999998</v>
      </c>
      <c r="F67" s="12">
        <v>8.9999999999999993E-3</v>
      </c>
      <c r="G67" s="12"/>
    </row>
    <row r="68" spans="1:7" ht="15" customHeight="1" x14ac:dyDescent="0.3">
      <c r="A68" s="12" t="s">
        <v>196</v>
      </c>
      <c r="B68" s="12" t="s">
        <v>46</v>
      </c>
      <c r="C68" s="12">
        <v>0.73199999999999998</v>
      </c>
      <c r="D68" s="12" t="s">
        <v>51</v>
      </c>
      <c r="E68" s="12">
        <v>0.72399999999999998</v>
      </c>
      <c r="F68" s="12">
        <v>8.0000000000000002E-3</v>
      </c>
      <c r="G68" s="12"/>
    </row>
    <row r="69" spans="1:7" ht="15" customHeight="1" x14ac:dyDescent="0.3">
      <c r="A69" s="12" t="s">
        <v>196</v>
      </c>
      <c r="B69" s="12" t="s">
        <v>46</v>
      </c>
      <c r="C69" s="12">
        <v>0.73199999999999998</v>
      </c>
      <c r="D69" s="12" t="s">
        <v>56</v>
      </c>
      <c r="E69" s="12">
        <v>0.72299999999999998</v>
      </c>
      <c r="F69" s="12">
        <v>8.9999999999999993E-3</v>
      </c>
      <c r="G69" s="12"/>
    </row>
    <row r="70" spans="1:7" ht="15" customHeight="1" x14ac:dyDescent="0.3">
      <c r="A70" s="12" t="s">
        <v>196</v>
      </c>
      <c r="B70" s="12" t="s">
        <v>51</v>
      </c>
      <c r="C70" s="12">
        <v>0.72399999999999998</v>
      </c>
      <c r="D70" s="12" t="s">
        <v>56</v>
      </c>
      <c r="E70" s="12">
        <v>0.72299999999999998</v>
      </c>
      <c r="F70" s="12">
        <v>1E-3</v>
      </c>
      <c r="G70" s="12"/>
    </row>
    <row r="71" spans="1:7" ht="15" customHeight="1" x14ac:dyDescent="0.3">
      <c r="A71" s="12" t="s">
        <v>196</v>
      </c>
      <c r="B71" s="12" t="s">
        <v>66</v>
      </c>
      <c r="C71" s="12">
        <v>0.69399999999999995</v>
      </c>
      <c r="D71" s="12" t="s">
        <v>71</v>
      </c>
      <c r="E71" s="12">
        <v>0.69099999999999995</v>
      </c>
      <c r="F71" s="12">
        <v>3.0000000000000001E-3</v>
      </c>
      <c r="G71" s="12"/>
    </row>
    <row r="72" spans="1:7" ht="15" customHeight="1" x14ac:dyDescent="0.3">
      <c r="A72" s="12" t="s">
        <v>196</v>
      </c>
      <c r="B72" s="12" t="s">
        <v>76</v>
      </c>
      <c r="C72" s="12">
        <v>0.67800000000000005</v>
      </c>
      <c r="D72" s="12" t="s">
        <v>81</v>
      </c>
      <c r="E72" s="12">
        <v>0.67</v>
      </c>
      <c r="F72" s="12">
        <v>8.0000000000000002E-3</v>
      </c>
      <c r="G72" s="12"/>
    </row>
    <row r="73" spans="1:7" ht="15" customHeight="1" x14ac:dyDescent="0.3">
      <c r="A73" s="12" t="s">
        <v>196</v>
      </c>
      <c r="B73" s="12" t="s">
        <v>81</v>
      </c>
      <c r="C73" s="12">
        <v>0.67</v>
      </c>
      <c r="D73" s="12" t="s">
        <v>86</v>
      </c>
      <c r="E73" s="12">
        <v>0.66800000000000004</v>
      </c>
      <c r="F73" s="12">
        <v>2E-3</v>
      </c>
      <c r="G73" s="12"/>
    </row>
    <row r="74" spans="1:7" ht="15" customHeight="1" x14ac:dyDescent="0.3">
      <c r="A74" s="12" t="s">
        <v>196</v>
      </c>
      <c r="B74" s="12" t="s">
        <v>81</v>
      </c>
      <c r="C74" s="12">
        <v>0.67</v>
      </c>
      <c r="D74" s="12" t="s">
        <v>91</v>
      </c>
      <c r="E74" s="12">
        <v>0.66500000000000004</v>
      </c>
      <c r="F74" s="12">
        <v>5.0000000000000001E-3</v>
      </c>
      <c r="G74" s="12"/>
    </row>
    <row r="75" spans="1:7" ht="15" customHeight="1" x14ac:dyDescent="0.3">
      <c r="A75" s="12" t="s">
        <v>196</v>
      </c>
      <c r="B75" s="12" t="s">
        <v>86</v>
      </c>
      <c r="C75" s="12">
        <v>0.66800000000000004</v>
      </c>
      <c r="D75" s="12" t="s">
        <v>91</v>
      </c>
      <c r="E75" s="12">
        <v>0.66500000000000004</v>
      </c>
      <c r="F75" s="12">
        <v>3.0000000000000001E-3</v>
      </c>
      <c r="G75" s="12"/>
    </row>
    <row r="76" spans="1:7" ht="15" customHeight="1" x14ac:dyDescent="0.3">
      <c r="A76" s="12" t="s">
        <v>196</v>
      </c>
      <c r="B76" s="12" t="s">
        <v>101</v>
      </c>
      <c r="C76" s="12">
        <v>0.63100000000000001</v>
      </c>
      <c r="D76" s="12" t="s">
        <v>106</v>
      </c>
      <c r="E76" s="12">
        <v>0.625</v>
      </c>
      <c r="F76" s="12">
        <v>6.0000000000000001E-3</v>
      </c>
      <c r="G76" s="12"/>
    </row>
    <row r="77" spans="1:7" ht="15" customHeight="1" x14ac:dyDescent="0.3">
      <c r="A77" s="12" t="s">
        <v>196</v>
      </c>
      <c r="B77" s="12" t="s">
        <v>101</v>
      </c>
      <c r="C77" s="12">
        <v>0.63100000000000001</v>
      </c>
      <c r="D77" s="12" t="s">
        <v>111</v>
      </c>
      <c r="E77" s="12">
        <v>0.624</v>
      </c>
      <c r="F77" s="12">
        <v>7.0000000000000001E-3</v>
      </c>
      <c r="G77" s="12"/>
    </row>
    <row r="78" spans="1:7" ht="15" customHeight="1" x14ac:dyDescent="0.3">
      <c r="A78" s="12" t="s">
        <v>196</v>
      </c>
      <c r="B78" s="12" t="s">
        <v>101</v>
      </c>
      <c r="C78" s="12">
        <v>0.63100000000000001</v>
      </c>
      <c r="D78" s="12" t="s">
        <v>116</v>
      </c>
      <c r="E78" s="12">
        <v>0.623</v>
      </c>
      <c r="F78" s="12">
        <v>8.0000000000000002E-3</v>
      </c>
      <c r="G78" s="12"/>
    </row>
    <row r="79" spans="1:7" ht="15" customHeight="1" x14ac:dyDescent="0.3">
      <c r="A79" s="12" t="s">
        <v>196</v>
      </c>
      <c r="B79" s="12" t="s">
        <v>106</v>
      </c>
      <c r="C79" s="12">
        <v>0.625</v>
      </c>
      <c r="D79" s="12" t="s">
        <v>111</v>
      </c>
      <c r="E79" s="12">
        <v>0.624</v>
      </c>
      <c r="F79" s="12">
        <v>1E-3</v>
      </c>
      <c r="G79" s="12"/>
    </row>
    <row r="80" spans="1:7" ht="15" customHeight="1" x14ac:dyDescent="0.3">
      <c r="A80" s="12" t="s">
        <v>196</v>
      </c>
      <c r="B80" s="12" t="s">
        <v>106</v>
      </c>
      <c r="C80" s="12">
        <v>0.625</v>
      </c>
      <c r="D80" s="12" t="s">
        <v>116</v>
      </c>
      <c r="E80" s="12">
        <v>0.623</v>
      </c>
      <c r="F80" s="12">
        <v>2E-3</v>
      </c>
      <c r="G80" s="12"/>
    </row>
    <row r="81" spans="1:7" ht="15" customHeight="1" x14ac:dyDescent="0.3">
      <c r="A81" s="12" t="s">
        <v>196</v>
      </c>
      <c r="B81" s="12" t="s">
        <v>106</v>
      </c>
      <c r="C81" s="12">
        <v>0.625</v>
      </c>
      <c r="D81" s="12" t="s">
        <v>121</v>
      </c>
      <c r="E81" s="12">
        <v>0.61799999999999999</v>
      </c>
      <c r="F81" s="12">
        <v>7.0000000000000001E-3</v>
      </c>
      <c r="G81" s="12"/>
    </row>
    <row r="82" spans="1:7" ht="15" customHeight="1" x14ac:dyDescent="0.3">
      <c r="A82" s="12" t="s">
        <v>196</v>
      </c>
      <c r="B82" s="12" t="s">
        <v>111</v>
      </c>
      <c r="C82" s="12">
        <v>0.624</v>
      </c>
      <c r="D82" s="12" t="s">
        <v>116</v>
      </c>
      <c r="E82" s="12">
        <v>0.623</v>
      </c>
      <c r="F82" s="12">
        <v>1E-3</v>
      </c>
      <c r="G82" s="12"/>
    </row>
    <row r="83" spans="1:7" ht="15" customHeight="1" x14ac:dyDescent="0.3">
      <c r="A83" s="12" t="s">
        <v>196</v>
      </c>
      <c r="B83" s="12" t="s">
        <v>111</v>
      </c>
      <c r="C83" s="12">
        <v>0.624</v>
      </c>
      <c r="D83" s="12" t="s">
        <v>121</v>
      </c>
      <c r="E83" s="12">
        <v>0.61799999999999999</v>
      </c>
      <c r="F83" s="12">
        <v>6.0000000000000001E-3</v>
      </c>
      <c r="G83" s="12"/>
    </row>
    <row r="84" spans="1:7" ht="15" customHeight="1" x14ac:dyDescent="0.3">
      <c r="A84" s="12" t="s">
        <v>196</v>
      </c>
      <c r="B84" s="12" t="s">
        <v>116</v>
      </c>
      <c r="C84" s="12">
        <v>0.623</v>
      </c>
      <c r="D84" s="12" t="s">
        <v>121</v>
      </c>
      <c r="E84" s="12">
        <v>0.61799999999999999</v>
      </c>
      <c r="F84" s="12">
        <v>5.0000000000000001E-3</v>
      </c>
      <c r="G84" s="12"/>
    </row>
    <row r="85" spans="1:7" ht="15" customHeight="1" x14ac:dyDescent="0.3">
      <c r="A85" s="12" t="s">
        <v>196</v>
      </c>
      <c r="B85" s="12" t="s">
        <v>126</v>
      </c>
      <c r="C85" s="12">
        <v>0.60399999999999998</v>
      </c>
      <c r="D85" s="12" t="s">
        <v>131</v>
      </c>
      <c r="E85" s="12">
        <v>0.59699999999999998</v>
      </c>
      <c r="F85" s="12">
        <v>7.0000000000000001E-3</v>
      </c>
      <c r="G85" s="12"/>
    </row>
    <row r="86" spans="1:7" ht="15" customHeight="1" x14ac:dyDescent="0.3">
      <c r="A86" s="12" t="s">
        <v>196</v>
      </c>
      <c r="B86" s="12" t="s">
        <v>126</v>
      </c>
      <c r="C86" s="12">
        <v>0.60399999999999998</v>
      </c>
      <c r="D86" s="12" t="s">
        <v>136</v>
      </c>
      <c r="E86" s="12">
        <v>0.59599999999999997</v>
      </c>
      <c r="F86" s="12">
        <v>8.0000000000000002E-3</v>
      </c>
      <c r="G86" s="12"/>
    </row>
    <row r="87" spans="1:7" ht="15" customHeight="1" x14ac:dyDescent="0.3">
      <c r="A87" s="12" t="s">
        <v>196</v>
      </c>
      <c r="B87" s="12" t="s">
        <v>126</v>
      </c>
      <c r="C87" s="12">
        <v>0.60399999999999998</v>
      </c>
      <c r="D87" s="12" t="s">
        <v>141</v>
      </c>
      <c r="E87" s="12">
        <v>0.59499999999999997</v>
      </c>
      <c r="F87" s="12">
        <v>8.9999999999999993E-3</v>
      </c>
      <c r="G87" s="12"/>
    </row>
    <row r="88" spans="1:7" ht="15" customHeight="1" x14ac:dyDescent="0.3">
      <c r="A88" s="12" t="s">
        <v>196</v>
      </c>
      <c r="B88" s="12" t="s">
        <v>131</v>
      </c>
      <c r="C88" s="12">
        <v>0.59699999999999998</v>
      </c>
      <c r="D88" s="12" t="s">
        <v>136</v>
      </c>
      <c r="E88" s="12">
        <v>0.59599999999999997</v>
      </c>
      <c r="F88" s="12">
        <v>1E-3</v>
      </c>
      <c r="G88" s="12"/>
    </row>
    <row r="89" spans="1:7" ht="15" customHeight="1" x14ac:dyDescent="0.3">
      <c r="A89" s="12" t="s">
        <v>196</v>
      </c>
      <c r="B89" s="12" t="s">
        <v>131</v>
      </c>
      <c r="C89" s="12">
        <v>0.59699999999999998</v>
      </c>
      <c r="D89" s="12" t="s">
        <v>141</v>
      </c>
      <c r="E89" s="12">
        <v>0.59499999999999997</v>
      </c>
      <c r="F89" s="12">
        <v>2E-3</v>
      </c>
      <c r="G89" s="12"/>
    </row>
    <row r="90" spans="1:7" ht="15" customHeight="1" x14ac:dyDescent="0.3">
      <c r="A90" s="12" t="s">
        <v>196</v>
      </c>
      <c r="B90" s="12" t="s">
        <v>136</v>
      </c>
      <c r="C90" s="12">
        <v>0.59599999999999997</v>
      </c>
      <c r="D90" s="12" t="s">
        <v>141</v>
      </c>
      <c r="E90" s="12">
        <v>0.59499999999999997</v>
      </c>
      <c r="F90" s="12">
        <v>1E-3</v>
      </c>
      <c r="G90" s="12"/>
    </row>
    <row r="91" spans="1:7" ht="15" customHeight="1" x14ac:dyDescent="0.3">
      <c r="A91" s="12" t="s">
        <v>196</v>
      </c>
      <c r="B91" s="12" t="s">
        <v>146</v>
      </c>
      <c r="C91" s="12">
        <v>0.58399999999999996</v>
      </c>
      <c r="D91" s="12" t="s">
        <v>151</v>
      </c>
      <c r="E91" s="12">
        <v>0.58199999999999996</v>
      </c>
      <c r="F91" s="12">
        <v>2E-3</v>
      </c>
      <c r="G91" s="12"/>
    </row>
    <row r="92" spans="1:7" ht="15" customHeight="1" x14ac:dyDescent="0.3">
      <c r="A92" s="12" t="s">
        <v>196</v>
      </c>
      <c r="B92" s="12" t="s">
        <v>161</v>
      </c>
      <c r="C92" s="12">
        <v>0.55400000000000005</v>
      </c>
      <c r="D92" s="12" t="s">
        <v>166</v>
      </c>
      <c r="E92" s="12">
        <v>0.55400000000000005</v>
      </c>
      <c r="F92" s="12">
        <v>0</v>
      </c>
      <c r="G92" s="12" t="s">
        <v>367</v>
      </c>
    </row>
    <row r="93" spans="1:7" ht="15" customHeight="1" x14ac:dyDescent="0.3">
      <c r="A93" s="12" t="s">
        <v>196</v>
      </c>
      <c r="B93" s="12" t="s">
        <v>161</v>
      </c>
      <c r="C93" s="12">
        <v>0.55400000000000005</v>
      </c>
      <c r="D93" s="12" t="s">
        <v>171</v>
      </c>
      <c r="E93" s="12">
        <v>0.54800000000000004</v>
      </c>
      <c r="F93" s="12">
        <v>6.0000000000000001E-3</v>
      </c>
      <c r="G93" s="12"/>
    </row>
    <row r="94" spans="1:7" ht="15" customHeight="1" x14ac:dyDescent="0.3">
      <c r="A94" s="12" t="s">
        <v>196</v>
      </c>
      <c r="B94" s="12" t="s">
        <v>161</v>
      </c>
      <c r="C94" s="12">
        <v>0.55400000000000005</v>
      </c>
      <c r="D94" s="12" t="s">
        <v>176</v>
      </c>
      <c r="E94" s="12">
        <v>0.54600000000000004</v>
      </c>
      <c r="F94" s="12">
        <v>8.0000000000000002E-3</v>
      </c>
      <c r="G94" s="12"/>
    </row>
    <row r="95" spans="1:7" ht="15" customHeight="1" x14ac:dyDescent="0.3">
      <c r="A95" s="12" t="s">
        <v>196</v>
      </c>
      <c r="B95" s="12" t="s">
        <v>166</v>
      </c>
      <c r="C95" s="12">
        <v>0.55400000000000005</v>
      </c>
      <c r="D95" s="12" t="s">
        <v>171</v>
      </c>
      <c r="E95" s="12">
        <v>0.54800000000000004</v>
      </c>
      <c r="F95" s="12">
        <v>6.0000000000000001E-3</v>
      </c>
      <c r="G95" s="12"/>
    </row>
    <row r="96" spans="1:7" ht="15" customHeight="1" x14ac:dyDescent="0.3">
      <c r="A96" s="12" t="s">
        <v>196</v>
      </c>
      <c r="B96" s="12" t="s">
        <v>166</v>
      </c>
      <c r="C96" s="12">
        <v>0.55400000000000005</v>
      </c>
      <c r="D96" s="12" t="s">
        <v>176</v>
      </c>
      <c r="E96" s="12">
        <v>0.54600000000000004</v>
      </c>
      <c r="F96" s="12">
        <v>8.0000000000000002E-3</v>
      </c>
      <c r="G96" s="12"/>
    </row>
    <row r="97" spans="1:7" ht="15" customHeight="1" x14ac:dyDescent="0.3">
      <c r="A97" s="12" t="s">
        <v>196</v>
      </c>
      <c r="B97" s="12" t="s">
        <v>171</v>
      </c>
      <c r="C97" s="12">
        <v>0.54800000000000004</v>
      </c>
      <c r="D97" s="12" t="s">
        <v>176</v>
      </c>
      <c r="E97" s="12">
        <v>0.54600000000000004</v>
      </c>
      <c r="F97" s="12">
        <v>2E-3</v>
      </c>
      <c r="G97" s="12"/>
    </row>
    <row r="98" spans="1:7" ht="15" customHeight="1" x14ac:dyDescent="0.3">
      <c r="A98" s="12" t="s">
        <v>196</v>
      </c>
      <c r="B98" s="12" t="s">
        <v>171</v>
      </c>
      <c r="C98" s="12">
        <v>0.54800000000000004</v>
      </c>
      <c r="D98" s="12" t="s">
        <v>181</v>
      </c>
      <c r="E98" s="12">
        <v>0.54400000000000004</v>
      </c>
      <c r="F98" s="12">
        <v>4.0000000000000001E-3</v>
      </c>
      <c r="G98" s="12"/>
    </row>
    <row r="99" spans="1:7" ht="15" customHeight="1" x14ac:dyDescent="0.3">
      <c r="A99" s="12" t="s">
        <v>196</v>
      </c>
      <c r="B99" s="12" t="s">
        <v>176</v>
      </c>
      <c r="C99" s="12">
        <v>0.54600000000000004</v>
      </c>
      <c r="D99" s="12" t="s">
        <v>181</v>
      </c>
      <c r="E99" s="12">
        <v>0.54400000000000004</v>
      </c>
      <c r="F99" s="12">
        <v>2E-3</v>
      </c>
      <c r="G99" s="12"/>
    </row>
    <row r="100" spans="1:7" ht="15" customHeight="1" x14ac:dyDescent="0.3">
      <c r="A100" s="12" t="s">
        <v>197</v>
      </c>
      <c r="B100" s="12" t="s">
        <v>31</v>
      </c>
      <c r="C100" s="12">
        <v>2</v>
      </c>
      <c r="D100" s="12" t="s">
        <v>46</v>
      </c>
      <c r="E100" s="12">
        <v>3</v>
      </c>
      <c r="F100" s="12">
        <v>1</v>
      </c>
      <c r="G100" s="12"/>
    </row>
    <row r="101" spans="1:7" ht="15" customHeight="1" x14ac:dyDescent="0.3">
      <c r="A101" s="12" t="s">
        <v>197</v>
      </c>
      <c r="B101" s="12" t="s">
        <v>31</v>
      </c>
      <c r="C101" s="12">
        <v>2</v>
      </c>
      <c r="D101" s="12" t="s">
        <v>86</v>
      </c>
      <c r="E101" s="12">
        <v>4</v>
      </c>
      <c r="F101" s="12">
        <v>2</v>
      </c>
      <c r="G101" s="12"/>
    </row>
    <row r="102" spans="1:7" ht="15" customHeight="1" x14ac:dyDescent="0.3">
      <c r="A102" s="12" t="s">
        <v>197</v>
      </c>
      <c r="B102" s="12" t="s">
        <v>31</v>
      </c>
      <c r="C102" s="12">
        <v>2</v>
      </c>
      <c r="D102" s="12" t="s">
        <v>186</v>
      </c>
      <c r="E102" s="12">
        <v>1</v>
      </c>
      <c r="F102" s="12">
        <v>1</v>
      </c>
      <c r="G102" s="12"/>
    </row>
    <row r="103" spans="1:7" ht="15" customHeight="1" x14ac:dyDescent="0.3">
      <c r="A103" s="12" t="s">
        <v>197</v>
      </c>
      <c r="B103" s="12" t="s">
        <v>36</v>
      </c>
      <c r="C103" s="12">
        <v>6</v>
      </c>
      <c r="D103" s="12" t="s">
        <v>86</v>
      </c>
      <c r="E103" s="12">
        <v>4</v>
      </c>
      <c r="F103" s="12">
        <v>2</v>
      </c>
      <c r="G103" s="12"/>
    </row>
    <row r="104" spans="1:7" ht="15" customHeight="1" x14ac:dyDescent="0.3">
      <c r="A104" s="12" t="s">
        <v>197</v>
      </c>
      <c r="B104" s="12" t="s">
        <v>36</v>
      </c>
      <c r="C104" s="12">
        <v>6</v>
      </c>
      <c r="D104" s="12" t="s">
        <v>96</v>
      </c>
      <c r="E104" s="12">
        <v>7</v>
      </c>
      <c r="F104" s="12">
        <v>1</v>
      </c>
      <c r="G104" s="12"/>
    </row>
    <row r="105" spans="1:7" ht="15" customHeight="1" x14ac:dyDescent="0.3">
      <c r="A105" s="12" t="s">
        <v>197</v>
      </c>
      <c r="B105" s="12" t="s">
        <v>36</v>
      </c>
      <c r="C105" s="12">
        <v>6</v>
      </c>
      <c r="D105" s="12" t="s">
        <v>111</v>
      </c>
      <c r="E105" s="12">
        <v>8</v>
      </c>
      <c r="F105" s="12">
        <v>2</v>
      </c>
      <c r="G105" s="12"/>
    </row>
    <row r="106" spans="1:7" ht="15" customHeight="1" x14ac:dyDescent="0.3">
      <c r="A106" s="12" t="s">
        <v>197</v>
      </c>
      <c r="B106" s="12" t="s">
        <v>41</v>
      </c>
      <c r="C106" s="12">
        <v>38</v>
      </c>
      <c r="D106" s="12" t="s">
        <v>71</v>
      </c>
      <c r="E106" s="12">
        <v>40</v>
      </c>
      <c r="F106" s="12">
        <v>2</v>
      </c>
      <c r="G106" s="12"/>
    </row>
    <row r="107" spans="1:7" ht="15" customHeight="1" x14ac:dyDescent="0.3">
      <c r="A107" s="12" t="s">
        <v>197</v>
      </c>
      <c r="B107" s="12" t="s">
        <v>41</v>
      </c>
      <c r="C107" s="12">
        <v>38</v>
      </c>
      <c r="D107" s="12" t="s">
        <v>156</v>
      </c>
      <c r="E107" s="12">
        <v>36</v>
      </c>
      <c r="F107" s="12">
        <v>2</v>
      </c>
      <c r="G107" s="12"/>
    </row>
    <row r="108" spans="1:7" ht="15" customHeight="1" x14ac:dyDescent="0.3">
      <c r="A108" s="12" t="s">
        <v>197</v>
      </c>
      <c r="B108" s="12" t="s">
        <v>46</v>
      </c>
      <c r="C108" s="12">
        <v>3</v>
      </c>
      <c r="D108" s="12" t="s">
        <v>86</v>
      </c>
      <c r="E108" s="12">
        <v>4</v>
      </c>
      <c r="F108" s="12">
        <v>1</v>
      </c>
      <c r="G108" s="12"/>
    </row>
    <row r="109" spans="1:7" ht="15" customHeight="1" x14ac:dyDescent="0.3">
      <c r="A109" s="12" t="s">
        <v>197</v>
      </c>
      <c r="B109" s="12" t="s">
        <v>46</v>
      </c>
      <c r="C109" s="12">
        <v>3</v>
      </c>
      <c r="D109" s="12" t="s">
        <v>186</v>
      </c>
      <c r="E109" s="12">
        <v>1</v>
      </c>
      <c r="F109" s="12">
        <v>2</v>
      </c>
      <c r="G109" s="12"/>
    </row>
    <row r="110" spans="1:7" ht="15" customHeight="1" x14ac:dyDescent="0.3">
      <c r="A110" s="12" t="s">
        <v>197</v>
      </c>
      <c r="B110" s="12" t="s">
        <v>56</v>
      </c>
      <c r="C110" s="12">
        <v>26</v>
      </c>
      <c r="D110" s="12" t="s">
        <v>81</v>
      </c>
      <c r="E110" s="12">
        <v>28</v>
      </c>
      <c r="F110" s="12">
        <v>2</v>
      </c>
      <c r="G110" s="12"/>
    </row>
    <row r="111" spans="1:7" ht="15" customHeight="1" x14ac:dyDescent="0.3">
      <c r="A111" s="12" t="s">
        <v>197</v>
      </c>
      <c r="B111" s="12" t="s">
        <v>56</v>
      </c>
      <c r="C111" s="12">
        <v>26</v>
      </c>
      <c r="D111" s="12" t="s">
        <v>101</v>
      </c>
      <c r="E111" s="12">
        <v>25</v>
      </c>
      <c r="F111" s="12">
        <v>1</v>
      </c>
      <c r="G111" s="12"/>
    </row>
    <row r="112" spans="1:7" ht="15" customHeight="1" x14ac:dyDescent="0.3">
      <c r="A112" s="12" t="s">
        <v>197</v>
      </c>
      <c r="B112" s="12" t="s">
        <v>61</v>
      </c>
      <c r="C112" s="12">
        <v>21</v>
      </c>
      <c r="D112" s="12" t="s">
        <v>66</v>
      </c>
      <c r="E112" s="12">
        <v>22</v>
      </c>
      <c r="F112" s="12">
        <v>1</v>
      </c>
      <c r="G112" s="12"/>
    </row>
    <row r="113" spans="1:7" ht="15" customHeight="1" x14ac:dyDescent="0.3">
      <c r="A113" s="12" t="s">
        <v>197</v>
      </c>
      <c r="B113" s="12" t="s">
        <v>96</v>
      </c>
      <c r="C113" s="12">
        <v>7</v>
      </c>
      <c r="D113" s="12" t="s">
        <v>111</v>
      </c>
      <c r="E113" s="12">
        <v>8</v>
      </c>
      <c r="F113" s="12">
        <v>1</v>
      </c>
      <c r="G113" s="12"/>
    </row>
    <row r="114" spans="1:7" ht="15" customHeight="1" x14ac:dyDescent="0.3">
      <c r="A114" s="12" t="s">
        <v>197</v>
      </c>
      <c r="B114" s="12" t="s">
        <v>106</v>
      </c>
      <c r="C114" s="12">
        <v>18</v>
      </c>
      <c r="D114" s="12" t="s">
        <v>116</v>
      </c>
      <c r="E114" s="12">
        <v>16</v>
      </c>
      <c r="F114" s="12">
        <v>2</v>
      </c>
      <c r="G114" s="12"/>
    </row>
    <row r="115" spans="1:7" ht="15" customHeight="1" x14ac:dyDescent="0.3">
      <c r="A115" s="12" t="s">
        <v>197</v>
      </c>
      <c r="B115" s="12" t="s">
        <v>121</v>
      </c>
      <c r="C115" s="12">
        <v>137</v>
      </c>
      <c r="D115" s="12" t="s">
        <v>146</v>
      </c>
      <c r="E115" s="12">
        <v>137</v>
      </c>
      <c r="F115" s="12">
        <v>0</v>
      </c>
      <c r="G115" s="12" t="s">
        <v>367</v>
      </c>
    </row>
    <row r="116" spans="1:7" ht="15" customHeight="1" x14ac:dyDescent="0.3">
      <c r="A116" s="12" t="s">
        <v>197</v>
      </c>
      <c r="B116" s="12" t="s">
        <v>121</v>
      </c>
      <c r="C116" s="12">
        <v>137</v>
      </c>
      <c r="D116" s="12" t="s">
        <v>171</v>
      </c>
      <c r="E116" s="12">
        <v>136</v>
      </c>
      <c r="F116" s="12">
        <v>1</v>
      </c>
      <c r="G116" s="12"/>
    </row>
    <row r="117" spans="1:7" ht="15" customHeight="1" x14ac:dyDescent="0.3">
      <c r="A117" s="12" t="s">
        <v>197</v>
      </c>
      <c r="B117" s="12" t="s">
        <v>121</v>
      </c>
      <c r="C117" s="12">
        <v>137</v>
      </c>
      <c r="D117" s="12" t="s">
        <v>176</v>
      </c>
      <c r="E117" s="12">
        <v>137</v>
      </c>
      <c r="F117" s="12">
        <v>0</v>
      </c>
      <c r="G117" s="12" t="s">
        <v>367</v>
      </c>
    </row>
    <row r="118" spans="1:7" ht="15" customHeight="1" x14ac:dyDescent="0.3">
      <c r="A118" s="12" t="s">
        <v>197</v>
      </c>
      <c r="B118" s="12" t="s">
        <v>126</v>
      </c>
      <c r="C118" s="12">
        <v>87</v>
      </c>
      <c r="D118" s="12" t="s">
        <v>181</v>
      </c>
      <c r="E118" s="12">
        <v>88</v>
      </c>
      <c r="F118" s="12">
        <v>1</v>
      </c>
      <c r="G118" s="12"/>
    </row>
    <row r="119" spans="1:7" ht="15" customHeight="1" x14ac:dyDescent="0.3">
      <c r="A119" s="12" t="s">
        <v>197</v>
      </c>
      <c r="B119" s="12" t="s">
        <v>141</v>
      </c>
      <c r="C119" s="12">
        <v>134</v>
      </c>
      <c r="D119" s="12" t="s">
        <v>151</v>
      </c>
      <c r="E119" s="12">
        <v>132</v>
      </c>
      <c r="F119" s="12">
        <v>2</v>
      </c>
      <c r="G119" s="12"/>
    </row>
    <row r="120" spans="1:7" ht="15" customHeight="1" x14ac:dyDescent="0.3">
      <c r="A120" s="12" t="s">
        <v>197</v>
      </c>
      <c r="B120" s="12" t="s">
        <v>141</v>
      </c>
      <c r="C120" s="12">
        <v>134</v>
      </c>
      <c r="D120" s="12" t="s">
        <v>161</v>
      </c>
      <c r="E120" s="12">
        <v>133</v>
      </c>
      <c r="F120" s="12">
        <v>1</v>
      </c>
      <c r="G120" s="12"/>
    </row>
    <row r="121" spans="1:7" ht="15" customHeight="1" x14ac:dyDescent="0.3">
      <c r="A121" s="12" t="s">
        <v>197</v>
      </c>
      <c r="B121" s="12" t="s">
        <v>141</v>
      </c>
      <c r="C121" s="12">
        <v>134</v>
      </c>
      <c r="D121" s="12" t="s">
        <v>171</v>
      </c>
      <c r="E121" s="12">
        <v>136</v>
      </c>
      <c r="F121" s="12">
        <v>2</v>
      </c>
      <c r="G121" s="12"/>
    </row>
    <row r="122" spans="1:7" ht="15" customHeight="1" x14ac:dyDescent="0.3">
      <c r="A122" s="12" t="s">
        <v>197</v>
      </c>
      <c r="B122" s="12" t="s">
        <v>146</v>
      </c>
      <c r="C122" s="12">
        <v>137</v>
      </c>
      <c r="D122" s="12" t="s">
        <v>171</v>
      </c>
      <c r="E122" s="12">
        <v>136</v>
      </c>
      <c r="F122" s="12">
        <v>1</v>
      </c>
      <c r="G122" s="12"/>
    </row>
    <row r="123" spans="1:7" ht="15" customHeight="1" x14ac:dyDescent="0.3">
      <c r="A123" s="12" t="s">
        <v>197</v>
      </c>
      <c r="B123" s="12" t="s">
        <v>146</v>
      </c>
      <c r="C123" s="12">
        <v>137</v>
      </c>
      <c r="D123" s="12" t="s">
        <v>176</v>
      </c>
      <c r="E123" s="12">
        <v>137</v>
      </c>
      <c r="F123" s="12">
        <v>0</v>
      </c>
      <c r="G123" s="12" t="s">
        <v>367</v>
      </c>
    </row>
    <row r="124" spans="1:7" ht="15" customHeight="1" x14ac:dyDescent="0.3">
      <c r="A124" s="12" t="s">
        <v>197</v>
      </c>
      <c r="B124" s="12" t="s">
        <v>151</v>
      </c>
      <c r="C124" s="12">
        <v>132</v>
      </c>
      <c r="D124" s="12" t="s">
        <v>161</v>
      </c>
      <c r="E124" s="12">
        <v>133</v>
      </c>
      <c r="F124" s="12">
        <v>1</v>
      </c>
      <c r="G124" s="12"/>
    </row>
    <row r="125" spans="1:7" ht="15" customHeight="1" x14ac:dyDescent="0.3">
      <c r="A125" s="12" t="s">
        <v>197</v>
      </c>
      <c r="B125" s="12" t="s">
        <v>171</v>
      </c>
      <c r="C125" s="12">
        <v>136</v>
      </c>
      <c r="D125" s="12" t="s">
        <v>176</v>
      </c>
      <c r="E125" s="12">
        <v>137</v>
      </c>
      <c r="F125" s="12">
        <v>1</v>
      </c>
      <c r="G125" s="12"/>
    </row>
    <row r="126" spans="1:7" ht="15" customHeight="1" x14ac:dyDescent="0.3">
      <c r="A126" s="12" t="s">
        <v>198</v>
      </c>
      <c r="B126" s="12" t="s">
        <v>46</v>
      </c>
      <c r="C126" s="12">
        <v>3</v>
      </c>
      <c r="D126" s="12" t="s">
        <v>61</v>
      </c>
      <c r="E126" s="12">
        <v>3</v>
      </c>
      <c r="F126" s="12">
        <v>0</v>
      </c>
      <c r="G126" s="12" t="s">
        <v>367</v>
      </c>
    </row>
    <row r="127" spans="1:7" ht="15" customHeight="1" x14ac:dyDescent="0.3">
      <c r="A127" s="12" t="s">
        <v>198</v>
      </c>
      <c r="B127" s="12" t="s">
        <v>46</v>
      </c>
      <c r="C127" s="12">
        <v>3</v>
      </c>
      <c r="D127" s="12" t="s">
        <v>86</v>
      </c>
      <c r="E127" s="12">
        <v>3</v>
      </c>
      <c r="F127" s="12">
        <v>0</v>
      </c>
      <c r="G127" s="12" t="s">
        <v>367</v>
      </c>
    </row>
    <row r="128" spans="1:7" ht="15" customHeight="1" x14ac:dyDescent="0.3">
      <c r="A128" s="12" t="s">
        <v>198</v>
      </c>
      <c r="B128" s="12" t="s">
        <v>46</v>
      </c>
      <c r="C128" s="12">
        <v>3</v>
      </c>
      <c r="D128" s="12" t="s">
        <v>91</v>
      </c>
      <c r="E128" s="12">
        <v>3</v>
      </c>
      <c r="F128" s="12">
        <v>0</v>
      </c>
      <c r="G128" s="12" t="s">
        <v>367</v>
      </c>
    </row>
    <row r="129" spans="1:7" ht="15" customHeight="1" x14ac:dyDescent="0.3">
      <c r="A129" s="12" t="s">
        <v>198</v>
      </c>
      <c r="B129" s="12" t="s">
        <v>46</v>
      </c>
      <c r="C129" s="12">
        <v>3</v>
      </c>
      <c r="D129" s="12" t="s">
        <v>96</v>
      </c>
      <c r="E129" s="12">
        <v>3</v>
      </c>
      <c r="F129" s="12">
        <v>0</v>
      </c>
      <c r="G129" s="12" t="s">
        <v>367</v>
      </c>
    </row>
    <row r="130" spans="1:7" ht="15" customHeight="1" x14ac:dyDescent="0.3">
      <c r="A130" s="12" t="s">
        <v>198</v>
      </c>
      <c r="B130" s="12" t="s">
        <v>46</v>
      </c>
      <c r="C130" s="12">
        <v>3</v>
      </c>
      <c r="D130" s="12" t="s">
        <v>106</v>
      </c>
      <c r="E130" s="12">
        <v>3</v>
      </c>
      <c r="F130" s="12">
        <v>0</v>
      </c>
      <c r="G130" s="12" t="s">
        <v>367</v>
      </c>
    </row>
    <row r="131" spans="1:7" ht="15" customHeight="1" x14ac:dyDescent="0.3">
      <c r="A131" s="12" t="s">
        <v>198</v>
      </c>
      <c r="B131" s="12" t="s">
        <v>46</v>
      </c>
      <c r="C131" s="12">
        <v>3</v>
      </c>
      <c r="D131" s="12" t="s">
        <v>111</v>
      </c>
      <c r="E131" s="12">
        <v>3</v>
      </c>
      <c r="F131" s="12">
        <v>0</v>
      </c>
      <c r="G131" s="12" t="s">
        <v>367</v>
      </c>
    </row>
    <row r="132" spans="1:7" ht="15" customHeight="1" x14ac:dyDescent="0.3">
      <c r="A132" s="12" t="s">
        <v>198</v>
      </c>
      <c r="B132" s="12" t="s">
        <v>51</v>
      </c>
      <c r="C132" s="12">
        <v>0</v>
      </c>
      <c r="D132" s="12" t="s">
        <v>121</v>
      </c>
      <c r="E132" s="12">
        <v>0</v>
      </c>
      <c r="F132" s="12">
        <v>0</v>
      </c>
      <c r="G132" s="12" t="s">
        <v>367</v>
      </c>
    </row>
    <row r="133" spans="1:7" ht="15" customHeight="1" x14ac:dyDescent="0.3">
      <c r="A133" s="12" t="s">
        <v>198</v>
      </c>
      <c r="B133" s="12" t="s">
        <v>51</v>
      </c>
      <c r="C133" s="12">
        <v>0</v>
      </c>
      <c r="D133" s="12" t="s">
        <v>131</v>
      </c>
      <c r="E133" s="12">
        <v>0</v>
      </c>
      <c r="F133" s="12">
        <v>0</v>
      </c>
      <c r="G133" s="12" t="s">
        <v>367</v>
      </c>
    </row>
    <row r="134" spans="1:7" ht="15" customHeight="1" x14ac:dyDescent="0.3">
      <c r="A134" s="12" t="s">
        <v>198</v>
      </c>
      <c r="B134" s="12" t="s">
        <v>51</v>
      </c>
      <c r="C134" s="12">
        <v>0</v>
      </c>
      <c r="D134" s="12" t="s">
        <v>141</v>
      </c>
      <c r="E134" s="12">
        <v>0</v>
      </c>
      <c r="F134" s="12">
        <v>0</v>
      </c>
      <c r="G134" s="12" t="s">
        <v>367</v>
      </c>
    </row>
    <row r="135" spans="1:7" ht="15" customHeight="1" x14ac:dyDescent="0.3">
      <c r="A135" s="12" t="s">
        <v>198</v>
      </c>
      <c r="B135" s="12" t="s">
        <v>51</v>
      </c>
      <c r="C135" s="12">
        <v>0</v>
      </c>
      <c r="D135" s="12" t="s">
        <v>146</v>
      </c>
      <c r="E135" s="12">
        <v>0</v>
      </c>
      <c r="F135" s="12">
        <v>0</v>
      </c>
      <c r="G135" s="12" t="s">
        <v>367</v>
      </c>
    </row>
    <row r="136" spans="1:7" ht="15" customHeight="1" x14ac:dyDescent="0.3">
      <c r="A136" s="12" t="s">
        <v>198</v>
      </c>
      <c r="B136" s="12" t="s">
        <v>51</v>
      </c>
      <c r="C136" s="12">
        <v>0</v>
      </c>
      <c r="D136" s="12" t="s">
        <v>151</v>
      </c>
      <c r="E136" s="12">
        <v>0</v>
      </c>
      <c r="F136" s="12">
        <v>0</v>
      </c>
      <c r="G136" s="12" t="s">
        <v>367</v>
      </c>
    </row>
    <row r="137" spans="1:7" ht="15" customHeight="1" x14ac:dyDescent="0.3">
      <c r="A137" s="12" t="s">
        <v>198</v>
      </c>
      <c r="B137" s="12" t="s">
        <v>51</v>
      </c>
      <c r="C137" s="12">
        <v>0</v>
      </c>
      <c r="D137" s="12" t="s">
        <v>161</v>
      </c>
      <c r="E137" s="12">
        <v>0</v>
      </c>
      <c r="F137" s="12">
        <v>0</v>
      </c>
      <c r="G137" s="12" t="s">
        <v>367</v>
      </c>
    </row>
    <row r="138" spans="1:7" ht="15" customHeight="1" x14ac:dyDescent="0.3">
      <c r="A138" s="12" t="s">
        <v>198</v>
      </c>
      <c r="B138" s="12" t="s">
        <v>51</v>
      </c>
      <c r="C138" s="12">
        <v>0</v>
      </c>
      <c r="D138" s="12" t="s">
        <v>166</v>
      </c>
      <c r="E138" s="12">
        <v>0</v>
      </c>
      <c r="F138" s="12">
        <v>0</v>
      </c>
      <c r="G138" s="12" t="s">
        <v>367</v>
      </c>
    </row>
    <row r="139" spans="1:7" ht="15" customHeight="1" x14ac:dyDescent="0.3">
      <c r="A139" s="12" t="s">
        <v>198</v>
      </c>
      <c r="B139" s="12" t="s">
        <v>51</v>
      </c>
      <c r="C139" s="12">
        <v>0</v>
      </c>
      <c r="D139" s="12" t="s">
        <v>171</v>
      </c>
      <c r="E139" s="12">
        <v>0</v>
      </c>
      <c r="F139" s="12">
        <v>0</v>
      </c>
      <c r="G139" s="12" t="s">
        <v>367</v>
      </c>
    </row>
    <row r="140" spans="1:7" ht="15" customHeight="1" x14ac:dyDescent="0.3">
      <c r="A140" s="12" t="s">
        <v>198</v>
      </c>
      <c r="B140" s="12" t="s">
        <v>51</v>
      </c>
      <c r="C140" s="12">
        <v>0</v>
      </c>
      <c r="D140" s="12" t="s">
        <v>176</v>
      </c>
      <c r="E140" s="12">
        <v>0</v>
      </c>
      <c r="F140" s="12">
        <v>0</v>
      </c>
      <c r="G140" s="12" t="s">
        <v>367</v>
      </c>
    </row>
    <row r="141" spans="1:7" ht="15" customHeight="1" x14ac:dyDescent="0.3">
      <c r="A141" s="12" t="s">
        <v>198</v>
      </c>
      <c r="B141" s="12" t="s">
        <v>61</v>
      </c>
      <c r="C141" s="12">
        <v>3</v>
      </c>
      <c r="D141" s="12" t="s">
        <v>86</v>
      </c>
      <c r="E141" s="12">
        <v>3</v>
      </c>
      <c r="F141" s="12">
        <v>0</v>
      </c>
      <c r="G141" s="12" t="s">
        <v>367</v>
      </c>
    </row>
    <row r="142" spans="1:7" ht="15" customHeight="1" x14ac:dyDescent="0.3">
      <c r="A142" s="12" t="s">
        <v>198</v>
      </c>
      <c r="B142" s="12" t="s">
        <v>61</v>
      </c>
      <c r="C142" s="12">
        <v>3</v>
      </c>
      <c r="D142" s="12" t="s">
        <v>91</v>
      </c>
      <c r="E142" s="12">
        <v>3</v>
      </c>
      <c r="F142" s="12">
        <v>0</v>
      </c>
      <c r="G142" s="12" t="s">
        <v>367</v>
      </c>
    </row>
    <row r="143" spans="1:7" ht="15" customHeight="1" x14ac:dyDescent="0.3">
      <c r="A143" s="12" t="s">
        <v>198</v>
      </c>
      <c r="B143" s="12" t="s">
        <v>61</v>
      </c>
      <c r="C143" s="12">
        <v>3</v>
      </c>
      <c r="D143" s="12" t="s">
        <v>96</v>
      </c>
      <c r="E143" s="12">
        <v>3</v>
      </c>
      <c r="F143" s="12">
        <v>0</v>
      </c>
      <c r="G143" s="12" t="s">
        <v>367</v>
      </c>
    </row>
    <row r="144" spans="1:7" ht="15" customHeight="1" x14ac:dyDescent="0.3">
      <c r="A144" s="12" t="s">
        <v>198</v>
      </c>
      <c r="B144" s="12" t="s">
        <v>61</v>
      </c>
      <c r="C144" s="12">
        <v>3</v>
      </c>
      <c r="D144" s="12" t="s">
        <v>106</v>
      </c>
      <c r="E144" s="12">
        <v>3</v>
      </c>
      <c r="F144" s="12">
        <v>0</v>
      </c>
      <c r="G144" s="12" t="s">
        <v>367</v>
      </c>
    </row>
    <row r="145" spans="1:7" ht="15" customHeight="1" x14ac:dyDescent="0.3">
      <c r="A145" s="12" t="s">
        <v>198</v>
      </c>
      <c r="B145" s="12" t="s">
        <v>61</v>
      </c>
      <c r="C145" s="12">
        <v>3</v>
      </c>
      <c r="D145" s="12" t="s">
        <v>111</v>
      </c>
      <c r="E145" s="12">
        <v>3</v>
      </c>
      <c r="F145" s="12">
        <v>0</v>
      </c>
      <c r="G145" s="12" t="s">
        <v>367</v>
      </c>
    </row>
    <row r="146" spans="1:7" ht="15" customHeight="1" x14ac:dyDescent="0.3">
      <c r="A146" s="12" t="s">
        <v>198</v>
      </c>
      <c r="B146" s="12" t="s">
        <v>66</v>
      </c>
      <c r="C146" s="12">
        <v>5</v>
      </c>
      <c r="D146" s="12" t="s">
        <v>101</v>
      </c>
      <c r="E146" s="12">
        <v>5</v>
      </c>
      <c r="F146" s="12">
        <v>0</v>
      </c>
      <c r="G146" s="12" t="s">
        <v>367</v>
      </c>
    </row>
    <row r="147" spans="1:7" ht="15" customHeight="1" x14ac:dyDescent="0.3">
      <c r="A147" s="12" t="s">
        <v>198</v>
      </c>
      <c r="B147" s="12" t="s">
        <v>71</v>
      </c>
      <c r="C147" s="12">
        <v>2</v>
      </c>
      <c r="D147" s="12" t="s">
        <v>81</v>
      </c>
      <c r="E147" s="12">
        <v>2</v>
      </c>
      <c r="F147" s="12">
        <v>0</v>
      </c>
      <c r="G147" s="12" t="s">
        <v>367</v>
      </c>
    </row>
    <row r="148" spans="1:7" ht="15" customHeight="1" x14ac:dyDescent="0.3">
      <c r="A148" s="12" t="s">
        <v>198</v>
      </c>
      <c r="B148" s="12" t="s">
        <v>71</v>
      </c>
      <c r="C148" s="12">
        <v>2</v>
      </c>
      <c r="D148" s="12" t="s">
        <v>116</v>
      </c>
      <c r="E148" s="12">
        <v>2</v>
      </c>
      <c r="F148" s="12">
        <v>0</v>
      </c>
      <c r="G148" s="12" t="s">
        <v>367</v>
      </c>
    </row>
    <row r="149" spans="1:7" ht="15" customHeight="1" x14ac:dyDescent="0.3">
      <c r="A149" s="12" t="s">
        <v>198</v>
      </c>
      <c r="B149" s="12" t="s">
        <v>71</v>
      </c>
      <c r="C149" s="12">
        <v>2</v>
      </c>
      <c r="D149" s="12" t="s">
        <v>181</v>
      </c>
      <c r="E149" s="12">
        <v>2</v>
      </c>
      <c r="F149" s="12">
        <v>0</v>
      </c>
      <c r="G149" s="12" t="s">
        <v>367</v>
      </c>
    </row>
    <row r="150" spans="1:7" ht="15" customHeight="1" x14ac:dyDescent="0.3">
      <c r="A150" s="12" t="s">
        <v>198</v>
      </c>
      <c r="B150" s="12" t="s">
        <v>81</v>
      </c>
      <c r="C150" s="12">
        <v>2</v>
      </c>
      <c r="D150" s="12" t="s">
        <v>116</v>
      </c>
      <c r="E150" s="12">
        <v>2</v>
      </c>
      <c r="F150" s="12">
        <v>0</v>
      </c>
      <c r="G150" s="12" t="s">
        <v>367</v>
      </c>
    </row>
    <row r="151" spans="1:7" ht="15" customHeight="1" x14ac:dyDescent="0.3">
      <c r="A151" s="12" t="s">
        <v>198</v>
      </c>
      <c r="B151" s="12" t="s">
        <v>81</v>
      </c>
      <c r="C151" s="12">
        <v>2</v>
      </c>
      <c r="D151" s="12" t="s">
        <v>181</v>
      </c>
      <c r="E151" s="12">
        <v>2</v>
      </c>
      <c r="F151" s="12">
        <v>0</v>
      </c>
      <c r="G151" s="12" t="s">
        <v>367</v>
      </c>
    </row>
    <row r="152" spans="1:7" ht="15" customHeight="1" x14ac:dyDescent="0.3">
      <c r="A152" s="12" t="s">
        <v>198</v>
      </c>
      <c r="B152" s="12" t="s">
        <v>86</v>
      </c>
      <c r="C152" s="12">
        <v>3</v>
      </c>
      <c r="D152" s="12" t="s">
        <v>91</v>
      </c>
      <c r="E152" s="12">
        <v>3</v>
      </c>
      <c r="F152" s="12">
        <v>0</v>
      </c>
      <c r="G152" s="12" t="s">
        <v>367</v>
      </c>
    </row>
    <row r="153" spans="1:7" ht="15" customHeight="1" x14ac:dyDescent="0.3">
      <c r="A153" s="12" t="s">
        <v>198</v>
      </c>
      <c r="B153" s="12" t="s">
        <v>86</v>
      </c>
      <c r="C153" s="12">
        <v>3</v>
      </c>
      <c r="D153" s="12" t="s">
        <v>96</v>
      </c>
      <c r="E153" s="12">
        <v>3</v>
      </c>
      <c r="F153" s="12">
        <v>0</v>
      </c>
      <c r="G153" s="12" t="s">
        <v>367</v>
      </c>
    </row>
    <row r="154" spans="1:7" ht="15" customHeight="1" x14ac:dyDescent="0.3">
      <c r="A154" s="12" t="s">
        <v>198</v>
      </c>
      <c r="B154" s="12" t="s">
        <v>86</v>
      </c>
      <c r="C154" s="12">
        <v>3</v>
      </c>
      <c r="D154" s="12" t="s">
        <v>106</v>
      </c>
      <c r="E154" s="12">
        <v>3</v>
      </c>
      <c r="F154" s="12">
        <v>0</v>
      </c>
      <c r="G154" s="12" t="s">
        <v>367</v>
      </c>
    </row>
    <row r="155" spans="1:7" ht="15" customHeight="1" x14ac:dyDescent="0.3">
      <c r="A155" s="12" t="s">
        <v>198</v>
      </c>
      <c r="B155" s="12" t="s">
        <v>86</v>
      </c>
      <c r="C155" s="12">
        <v>3</v>
      </c>
      <c r="D155" s="12" t="s">
        <v>111</v>
      </c>
      <c r="E155" s="12">
        <v>3</v>
      </c>
      <c r="F155" s="12">
        <v>0</v>
      </c>
      <c r="G155" s="12" t="s">
        <v>367</v>
      </c>
    </row>
    <row r="156" spans="1:7" ht="15" customHeight="1" x14ac:dyDescent="0.3">
      <c r="A156" s="12" t="s">
        <v>198</v>
      </c>
      <c r="B156" s="12" t="s">
        <v>91</v>
      </c>
      <c r="C156" s="12">
        <v>3</v>
      </c>
      <c r="D156" s="12" t="s">
        <v>96</v>
      </c>
      <c r="E156" s="12">
        <v>3</v>
      </c>
      <c r="F156" s="12">
        <v>0</v>
      </c>
      <c r="G156" s="12" t="s">
        <v>367</v>
      </c>
    </row>
    <row r="157" spans="1:7" ht="15" customHeight="1" x14ac:dyDescent="0.3">
      <c r="A157" s="12" t="s">
        <v>198</v>
      </c>
      <c r="B157" s="12" t="s">
        <v>91</v>
      </c>
      <c r="C157" s="12">
        <v>3</v>
      </c>
      <c r="D157" s="12" t="s">
        <v>106</v>
      </c>
      <c r="E157" s="12">
        <v>3</v>
      </c>
      <c r="F157" s="12">
        <v>0</v>
      </c>
      <c r="G157" s="12" t="s">
        <v>367</v>
      </c>
    </row>
    <row r="158" spans="1:7" ht="15" customHeight="1" x14ac:dyDescent="0.3">
      <c r="A158" s="12" t="s">
        <v>198</v>
      </c>
      <c r="B158" s="12" t="s">
        <v>91</v>
      </c>
      <c r="C158" s="12">
        <v>3</v>
      </c>
      <c r="D158" s="12" t="s">
        <v>111</v>
      </c>
      <c r="E158" s="12">
        <v>3</v>
      </c>
      <c r="F158" s="12">
        <v>0</v>
      </c>
      <c r="G158" s="12" t="s">
        <v>367</v>
      </c>
    </row>
    <row r="159" spans="1:7" ht="15" customHeight="1" x14ac:dyDescent="0.3">
      <c r="A159" s="12" t="s">
        <v>198</v>
      </c>
      <c r="B159" s="12" t="s">
        <v>96</v>
      </c>
      <c r="C159" s="12">
        <v>3</v>
      </c>
      <c r="D159" s="12" t="s">
        <v>106</v>
      </c>
      <c r="E159" s="12">
        <v>3</v>
      </c>
      <c r="F159" s="12">
        <v>0</v>
      </c>
      <c r="G159" s="12" t="s">
        <v>367</v>
      </c>
    </row>
    <row r="160" spans="1:7" ht="15" customHeight="1" x14ac:dyDescent="0.3">
      <c r="A160" s="12" t="s">
        <v>198</v>
      </c>
      <c r="B160" s="12" t="s">
        <v>96</v>
      </c>
      <c r="C160" s="12">
        <v>3</v>
      </c>
      <c r="D160" s="12" t="s">
        <v>111</v>
      </c>
      <c r="E160" s="12">
        <v>3</v>
      </c>
      <c r="F160" s="12">
        <v>0</v>
      </c>
      <c r="G160" s="12" t="s">
        <v>367</v>
      </c>
    </row>
    <row r="161" spans="1:7" ht="15" customHeight="1" x14ac:dyDescent="0.3">
      <c r="A161" s="12" t="s">
        <v>198</v>
      </c>
      <c r="B161" s="12" t="s">
        <v>106</v>
      </c>
      <c r="C161" s="12">
        <v>3</v>
      </c>
      <c r="D161" s="12" t="s">
        <v>111</v>
      </c>
      <c r="E161" s="12">
        <v>3</v>
      </c>
      <c r="F161" s="12">
        <v>0</v>
      </c>
      <c r="G161" s="12" t="s">
        <v>367</v>
      </c>
    </row>
    <row r="162" spans="1:7" ht="15" customHeight="1" x14ac:dyDescent="0.3">
      <c r="A162" s="12" t="s">
        <v>198</v>
      </c>
      <c r="B162" s="12" t="s">
        <v>116</v>
      </c>
      <c r="C162" s="12">
        <v>2</v>
      </c>
      <c r="D162" s="12" t="s">
        <v>181</v>
      </c>
      <c r="E162" s="12">
        <v>2</v>
      </c>
      <c r="F162" s="12">
        <v>0</v>
      </c>
      <c r="G162" s="12" t="s">
        <v>367</v>
      </c>
    </row>
    <row r="163" spans="1:7" ht="15" customHeight="1" x14ac:dyDescent="0.3">
      <c r="A163" s="12" t="s">
        <v>198</v>
      </c>
      <c r="B163" s="12" t="s">
        <v>121</v>
      </c>
      <c r="C163" s="12">
        <v>0</v>
      </c>
      <c r="D163" s="12" t="s">
        <v>131</v>
      </c>
      <c r="E163" s="12">
        <v>0</v>
      </c>
      <c r="F163" s="12">
        <v>0</v>
      </c>
      <c r="G163" s="12" t="s">
        <v>367</v>
      </c>
    </row>
    <row r="164" spans="1:7" ht="15" customHeight="1" x14ac:dyDescent="0.3">
      <c r="A164" s="12" t="s">
        <v>198</v>
      </c>
      <c r="B164" s="12" t="s">
        <v>121</v>
      </c>
      <c r="C164" s="12">
        <v>0</v>
      </c>
      <c r="D164" s="12" t="s">
        <v>141</v>
      </c>
      <c r="E164" s="12">
        <v>0</v>
      </c>
      <c r="F164" s="12">
        <v>0</v>
      </c>
      <c r="G164" s="12" t="s">
        <v>367</v>
      </c>
    </row>
    <row r="165" spans="1:7" ht="15" customHeight="1" x14ac:dyDescent="0.3">
      <c r="A165" s="12" t="s">
        <v>198</v>
      </c>
      <c r="B165" s="12" t="s">
        <v>121</v>
      </c>
      <c r="C165" s="12">
        <v>0</v>
      </c>
      <c r="D165" s="12" t="s">
        <v>146</v>
      </c>
      <c r="E165" s="12">
        <v>0</v>
      </c>
      <c r="F165" s="12">
        <v>0</v>
      </c>
      <c r="G165" s="12" t="s">
        <v>367</v>
      </c>
    </row>
    <row r="166" spans="1:7" ht="15" customHeight="1" x14ac:dyDescent="0.3">
      <c r="A166" s="12" t="s">
        <v>198</v>
      </c>
      <c r="B166" s="12" t="s">
        <v>121</v>
      </c>
      <c r="C166" s="12">
        <v>0</v>
      </c>
      <c r="D166" s="12" t="s">
        <v>151</v>
      </c>
      <c r="E166" s="12">
        <v>0</v>
      </c>
      <c r="F166" s="12">
        <v>0</v>
      </c>
      <c r="G166" s="12" t="s">
        <v>367</v>
      </c>
    </row>
    <row r="167" spans="1:7" ht="15" customHeight="1" x14ac:dyDescent="0.3">
      <c r="A167" s="12" t="s">
        <v>198</v>
      </c>
      <c r="B167" s="12" t="s">
        <v>121</v>
      </c>
      <c r="C167" s="12">
        <v>0</v>
      </c>
      <c r="D167" s="12" t="s">
        <v>161</v>
      </c>
      <c r="E167" s="12">
        <v>0</v>
      </c>
      <c r="F167" s="12">
        <v>0</v>
      </c>
      <c r="G167" s="12" t="s">
        <v>367</v>
      </c>
    </row>
    <row r="168" spans="1:7" ht="15" customHeight="1" x14ac:dyDescent="0.3">
      <c r="A168" s="12" t="s">
        <v>198</v>
      </c>
      <c r="B168" s="12" t="s">
        <v>121</v>
      </c>
      <c r="C168" s="12">
        <v>0</v>
      </c>
      <c r="D168" s="12" t="s">
        <v>166</v>
      </c>
      <c r="E168" s="12">
        <v>0</v>
      </c>
      <c r="F168" s="12">
        <v>0</v>
      </c>
      <c r="G168" s="12" t="s">
        <v>367</v>
      </c>
    </row>
    <row r="169" spans="1:7" ht="15" customHeight="1" x14ac:dyDescent="0.3">
      <c r="A169" s="12" t="s">
        <v>198</v>
      </c>
      <c r="B169" s="12" t="s">
        <v>121</v>
      </c>
      <c r="C169" s="12">
        <v>0</v>
      </c>
      <c r="D169" s="12" t="s">
        <v>171</v>
      </c>
      <c r="E169" s="12">
        <v>0</v>
      </c>
      <c r="F169" s="12">
        <v>0</v>
      </c>
      <c r="G169" s="12" t="s">
        <v>367</v>
      </c>
    </row>
    <row r="170" spans="1:7" ht="15" customHeight="1" x14ac:dyDescent="0.3">
      <c r="A170" s="12" t="s">
        <v>198</v>
      </c>
      <c r="B170" s="12" t="s">
        <v>121</v>
      </c>
      <c r="C170" s="12">
        <v>0</v>
      </c>
      <c r="D170" s="12" t="s">
        <v>176</v>
      </c>
      <c r="E170" s="12">
        <v>0</v>
      </c>
      <c r="F170" s="12">
        <v>0</v>
      </c>
      <c r="G170" s="12" t="s">
        <v>367</v>
      </c>
    </row>
    <row r="171" spans="1:7" ht="15" customHeight="1" x14ac:dyDescent="0.3">
      <c r="A171" s="12" t="s">
        <v>198</v>
      </c>
      <c r="B171" s="12" t="s">
        <v>126</v>
      </c>
      <c r="C171" s="12">
        <v>1</v>
      </c>
      <c r="D171" s="12" t="s">
        <v>136</v>
      </c>
      <c r="E171" s="12">
        <v>1</v>
      </c>
      <c r="F171" s="12">
        <v>0</v>
      </c>
      <c r="G171" s="12" t="s">
        <v>367</v>
      </c>
    </row>
    <row r="172" spans="1:7" ht="15" customHeight="1" x14ac:dyDescent="0.3">
      <c r="A172" s="12" t="s">
        <v>198</v>
      </c>
      <c r="B172" s="12" t="s">
        <v>126</v>
      </c>
      <c r="C172" s="12">
        <v>1</v>
      </c>
      <c r="D172" s="12" t="s">
        <v>156</v>
      </c>
      <c r="E172" s="12">
        <v>1</v>
      </c>
      <c r="F172" s="12">
        <v>0</v>
      </c>
      <c r="G172" s="12" t="s">
        <v>367</v>
      </c>
    </row>
    <row r="173" spans="1:7" ht="15" customHeight="1" x14ac:dyDescent="0.3">
      <c r="A173" s="12" t="s">
        <v>198</v>
      </c>
      <c r="B173" s="12" t="s">
        <v>126</v>
      </c>
      <c r="C173" s="12">
        <v>1</v>
      </c>
      <c r="D173" s="12" t="s">
        <v>186</v>
      </c>
      <c r="E173" s="12">
        <v>1</v>
      </c>
      <c r="F173" s="12">
        <v>0</v>
      </c>
      <c r="G173" s="12" t="s">
        <v>367</v>
      </c>
    </row>
    <row r="174" spans="1:7" ht="15" customHeight="1" x14ac:dyDescent="0.3">
      <c r="A174" s="12" t="s">
        <v>198</v>
      </c>
      <c r="B174" s="12" t="s">
        <v>131</v>
      </c>
      <c r="C174" s="12">
        <v>0</v>
      </c>
      <c r="D174" s="12" t="s">
        <v>141</v>
      </c>
      <c r="E174" s="12">
        <v>0</v>
      </c>
      <c r="F174" s="12">
        <v>0</v>
      </c>
      <c r="G174" s="12" t="s">
        <v>367</v>
      </c>
    </row>
    <row r="175" spans="1:7" ht="15" customHeight="1" x14ac:dyDescent="0.3">
      <c r="A175" s="12" t="s">
        <v>198</v>
      </c>
      <c r="B175" s="12" t="s">
        <v>131</v>
      </c>
      <c r="C175" s="12">
        <v>0</v>
      </c>
      <c r="D175" s="12" t="s">
        <v>146</v>
      </c>
      <c r="E175" s="12">
        <v>0</v>
      </c>
      <c r="F175" s="12">
        <v>0</v>
      </c>
      <c r="G175" s="12" t="s">
        <v>367</v>
      </c>
    </row>
    <row r="176" spans="1:7" ht="15" customHeight="1" x14ac:dyDescent="0.3">
      <c r="A176" s="12" t="s">
        <v>198</v>
      </c>
      <c r="B176" s="12" t="s">
        <v>131</v>
      </c>
      <c r="C176" s="12">
        <v>0</v>
      </c>
      <c r="D176" s="12" t="s">
        <v>151</v>
      </c>
      <c r="E176" s="12">
        <v>0</v>
      </c>
      <c r="F176" s="12">
        <v>0</v>
      </c>
      <c r="G176" s="12" t="s">
        <v>367</v>
      </c>
    </row>
    <row r="177" spans="1:7" ht="15" customHeight="1" x14ac:dyDescent="0.3">
      <c r="A177" s="12" t="s">
        <v>198</v>
      </c>
      <c r="B177" s="12" t="s">
        <v>131</v>
      </c>
      <c r="C177" s="12">
        <v>0</v>
      </c>
      <c r="D177" s="12" t="s">
        <v>161</v>
      </c>
      <c r="E177" s="12">
        <v>0</v>
      </c>
      <c r="F177" s="12">
        <v>0</v>
      </c>
      <c r="G177" s="12" t="s">
        <v>367</v>
      </c>
    </row>
    <row r="178" spans="1:7" ht="15" customHeight="1" x14ac:dyDescent="0.3">
      <c r="A178" s="12" t="s">
        <v>198</v>
      </c>
      <c r="B178" s="12" t="s">
        <v>131</v>
      </c>
      <c r="C178" s="12">
        <v>0</v>
      </c>
      <c r="D178" s="12" t="s">
        <v>166</v>
      </c>
      <c r="E178" s="12">
        <v>0</v>
      </c>
      <c r="F178" s="12">
        <v>0</v>
      </c>
      <c r="G178" s="12" t="s">
        <v>367</v>
      </c>
    </row>
    <row r="179" spans="1:7" ht="15" customHeight="1" x14ac:dyDescent="0.3">
      <c r="A179" s="12" t="s">
        <v>198</v>
      </c>
      <c r="B179" s="12" t="s">
        <v>131</v>
      </c>
      <c r="C179" s="12">
        <v>0</v>
      </c>
      <c r="D179" s="12" t="s">
        <v>171</v>
      </c>
      <c r="E179" s="12">
        <v>0</v>
      </c>
      <c r="F179" s="12">
        <v>0</v>
      </c>
      <c r="G179" s="12" t="s">
        <v>367</v>
      </c>
    </row>
    <row r="180" spans="1:7" ht="15" customHeight="1" x14ac:dyDescent="0.3">
      <c r="A180" s="12" t="s">
        <v>198</v>
      </c>
      <c r="B180" s="12" t="s">
        <v>131</v>
      </c>
      <c r="C180" s="12">
        <v>0</v>
      </c>
      <c r="D180" s="12" t="s">
        <v>176</v>
      </c>
      <c r="E180" s="12">
        <v>0</v>
      </c>
      <c r="F180" s="12">
        <v>0</v>
      </c>
      <c r="G180" s="12" t="s">
        <v>367</v>
      </c>
    </row>
    <row r="181" spans="1:7" ht="15" customHeight="1" x14ac:dyDescent="0.3">
      <c r="A181" s="12" t="s">
        <v>198</v>
      </c>
      <c r="B181" s="12" t="s">
        <v>136</v>
      </c>
      <c r="C181" s="12">
        <v>1</v>
      </c>
      <c r="D181" s="12" t="s">
        <v>156</v>
      </c>
      <c r="E181" s="12">
        <v>1</v>
      </c>
      <c r="F181" s="12">
        <v>0</v>
      </c>
      <c r="G181" s="12" t="s">
        <v>367</v>
      </c>
    </row>
    <row r="182" spans="1:7" ht="15" customHeight="1" x14ac:dyDescent="0.3">
      <c r="A182" s="12" t="s">
        <v>198</v>
      </c>
      <c r="B182" s="12" t="s">
        <v>136</v>
      </c>
      <c r="C182" s="12">
        <v>1</v>
      </c>
      <c r="D182" s="12" t="s">
        <v>186</v>
      </c>
      <c r="E182" s="12">
        <v>1</v>
      </c>
      <c r="F182" s="12">
        <v>0</v>
      </c>
      <c r="G182" s="12" t="s">
        <v>367</v>
      </c>
    </row>
    <row r="183" spans="1:7" ht="15" customHeight="1" x14ac:dyDescent="0.3">
      <c r="A183" s="12" t="s">
        <v>198</v>
      </c>
      <c r="B183" s="12" t="s">
        <v>141</v>
      </c>
      <c r="C183" s="12">
        <v>0</v>
      </c>
      <c r="D183" s="12" t="s">
        <v>146</v>
      </c>
      <c r="E183" s="12">
        <v>0</v>
      </c>
      <c r="F183" s="12">
        <v>0</v>
      </c>
      <c r="G183" s="12" t="s">
        <v>367</v>
      </c>
    </row>
    <row r="184" spans="1:7" ht="15" customHeight="1" x14ac:dyDescent="0.3">
      <c r="A184" s="12" t="s">
        <v>198</v>
      </c>
      <c r="B184" s="12" t="s">
        <v>141</v>
      </c>
      <c r="C184" s="12">
        <v>0</v>
      </c>
      <c r="D184" s="12" t="s">
        <v>151</v>
      </c>
      <c r="E184" s="12">
        <v>0</v>
      </c>
      <c r="F184" s="12">
        <v>0</v>
      </c>
      <c r="G184" s="12" t="s">
        <v>367</v>
      </c>
    </row>
    <row r="185" spans="1:7" ht="15" customHeight="1" x14ac:dyDescent="0.3">
      <c r="A185" s="12" t="s">
        <v>198</v>
      </c>
      <c r="B185" s="12" t="s">
        <v>141</v>
      </c>
      <c r="C185" s="12">
        <v>0</v>
      </c>
      <c r="D185" s="12" t="s">
        <v>161</v>
      </c>
      <c r="E185" s="12">
        <v>0</v>
      </c>
      <c r="F185" s="12">
        <v>0</v>
      </c>
      <c r="G185" s="12" t="s">
        <v>367</v>
      </c>
    </row>
    <row r="186" spans="1:7" ht="15" customHeight="1" x14ac:dyDescent="0.3">
      <c r="A186" s="12" t="s">
        <v>198</v>
      </c>
      <c r="B186" s="12" t="s">
        <v>141</v>
      </c>
      <c r="C186" s="12">
        <v>0</v>
      </c>
      <c r="D186" s="12" t="s">
        <v>166</v>
      </c>
      <c r="E186" s="12">
        <v>0</v>
      </c>
      <c r="F186" s="12">
        <v>0</v>
      </c>
      <c r="G186" s="12" t="s">
        <v>367</v>
      </c>
    </row>
    <row r="187" spans="1:7" ht="15" customHeight="1" x14ac:dyDescent="0.3">
      <c r="A187" s="12" t="s">
        <v>198</v>
      </c>
      <c r="B187" s="12" t="s">
        <v>141</v>
      </c>
      <c r="C187" s="12">
        <v>0</v>
      </c>
      <c r="D187" s="12" t="s">
        <v>171</v>
      </c>
      <c r="E187" s="12">
        <v>0</v>
      </c>
      <c r="F187" s="12">
        <v>0</v>
      </c>
      <c r="G187" s="12" t="s">
        <v>367</v>
      </c>
    </row>
    <row r="188" spans="1:7" ht="15" customHeight="1" x14ac:dyDescent="0.3">
      <c r="A188" s="12" t="s">
        <v>198</v>
      </c>
      <c r="B188" s="12" t="s">
        <v>141</v>
      </c>
      <c r="C188" s="12">
        <v>0</v>
      </c>
      <c r="D188" s="12" t="s">
        <v>176</v>
      </c>
      <c r="E188" s="12">
        <v>0</v>
      </c>
      <c r="F188" s="12">
        <v>0</v>
      </c>
      <c r="G188" s="12" t="s">
        <v>367</v>
      </c>
    </row>
    <row r="189" spans="1:7" ht="15" customHeight="1" x14ac:dyDescent="0.3">
      <c r="A189" s="12" t="s">
        <v>198</v>
      </c>
      <c r="B189" s="12" t="s">
        <v>146</v>
      </c>
      <c r="C189" s="12">
        <v>0</v>
      </c>
      <c r="D189" s="12" t="s">
        <v>151</v>
      </c>
      <c r="E189" s="12">
        <v>0</v>
      </c>
      <c r="F189" s="12">
        <v>0</v>
      </c>
      <c r="G189" s="12" t="s">
        <v>367</v>
      </c>
    </row>
    <row r="190" spans="1:7" ht="15" customHeight="1" x14ac:dyDescent="0.3">
      <c r="A190" s="12" t="s">
        <v>198</v>
      </c>
      <c r="B190" s="12" t="s">
        <v>146</v>
      </c>
      <c r="C190" s="12">
        <v>0</v>
      </c>
      <c r="D190" s="12" t="s">
        <v>161</v>
      </c>
      <c r="E190" s="12">
        <v>0</v>
      </c>
      <c r="F190" s="12">
        <v>0</v>
      </c>
      <c r="G190" s="12" t="s">
        <v>367</v>
      </c>
    </row>
    <row r="191" spans="1:7" ht="15" customHeight="1" x14ac:dyDescent="0.3">
      <c r="A191" s="12" t="s">
        <v>198</v>
      </c>
      <c r="B191" s="12" t="s">
        <v>146</v>
      </c>
      <c r="C191" s="12">
        <v>0</v>
      </c>
      <c r="D191" s="12" t="s">
        <v>166</v>
      </c>
      <c r="E191" s="12">
        <v>0</v>
      </c>
      <c r="F191" s="12">
        <v>0</v>
      </c>
      <c r="G191" s="12" t="s">
        <v>367</v>
      </c>
    </row>
    <row r="192" spans="1:7" ht="15" customHeight="1" x14ac:dyDescent="0.3">
      <c r="A192" s="12" t="s">
        <v>198</v>
      </c>
      <c r="B192" s="12" t="s">
        <v>146</v>
      </c>
      <c r="C192" s="12">
        <v>0</v>
      </c>
      <c r="D192" s="12" t="s">
        <v>171</v>
      </c>
      <c r="E192" s="12">
        <v>0</v>
      </c>
      <c r="F192" s="12">
        <v>0</v>
      </c>
      <c r="G192" s="12" t="s">
        <v>367</v>
      </c>
    </row>
    <row r="193" spans="1:7" ht="15" customHeight="1" x14ac:dyDescent="0.3">
      <c r="A193" s="12" t="s">
        <v>198</v>
      </c>
      <c r="B193" s="12" t="s">
        <v>146</v>
      </c>
      <c r="C193" s="12">
        <v>0</v>
      </c>
      <c r="D193" s="12" t="s">
        <v>176</v>
      </c>
      <c r="E193" s="12">
        <v>0</v>
      </c>
      <c r="F193" s="12">
        <v>0</v>
      </c>
      <c r="G193" s="12" t="s">
        <v>367</v>
      </c>
    </row>
    <row r="194" spans="1:7" ht="15" customHeight="1" x14ac:dyDescent="0.3">
      <c r="A194" s="12" t="s">
        <v>198</v>
      </c>
      <c r="B194" s="12" t="s">
        <v>151</v>
      </c>
      <c r="C194" s="12">
        <v>0</v>
      </c>
      <c r="D194" s="12" t="s">
        <v>161</v>
      </c>
      <c r="E194" s="12">
        <v>0</v>
      </c>
      <c r="F194" s="12">
        <v>0</v>
      </c>
      <c r="G194" s="12" t="s">
        <v>367</v>
      </c>
    </row>
    <row r="195" spans="1:7" ht="15" customHeight="1" x14ac:dyDescent="0.3">
      <c r="A195" s="12" t="s">
        <v>198</v>
      </c>
      <c r="B195" s="12" t="s">
        <v>151</v>
      </c>
      <c r="C195" s="12">
        <v>0</v>
      </c>
      <c r="D195" s="12" t="s">
        <v>166</v>
      </c>
      <c r="E195" s="12">
        <v>0</v>
      </c>
      <c r="F195" s="12">
        <v>0</v>
      </c>
      <c r="G195" s="12" t="s">
        <v>367</v>
      </c>
    </row>
    <row r="196" spans="1:7" ht="15" customHeight="1" x14ac:dyDescent="0.3">
      <c r="A196" s="12" t="s">
        <v>198</v>
      </c>
      <c r="B196" s="12" t="s">
        <v>151</v>
      </c>
      <c r="C196" s="12">
        <v>0</v>
      </c>
      <c r="D196" s="12" t="s">
        <v>171</v>
      </c>
      <c r="E196" s="12">
        <v>0</v>
      </c>
      <c r="F196" s="12">
        <v>0</v>
      </c>
      <c r="G196" s="12" t="s">
        <v>367</v>
      </c>
    </row>
    <row r="197" spans="1:7" ht="15" customHeight="1" x14ac:dyDescent="0.3">
      <c r="A197" s="12" t="s">
        <v>198</v>
      </c>
      <c r="B197" s="12" t="s">
        <v>151</v>
      </c>
      <c r="C197" s="12">
        <v>0</v>
      </c>
      <c r="D197" s="12" t="s">
        <v>176</v>
      </c>
      <c r="E197" s="12">
        <v>0</v>
      </c>
      <c r="F197" s="12">
        <v>0</v>
      </c>
      <c r="G197" s="12" t="s">
        <v>367</v>
      </c>
    </row>
    <row r="198" spans="1:7" ht="15" customHeight="1" x14ac:dyDescent="0.3">
      <c r="A198" s="12" t="s">
        <v>198</v>
      </c>
      <c r="B198" s="12" t="s">
        <v>156</v>
      </c>
      <c r="C198" s="12">
        <v>1</v>
      </c>
      <c r="D198" s="12" t="s">
        <v>186</v>
      </c>
      <c r="E198" s="12">
        <v>1</v>
      </c>
      <c r="F198" s="12">
        <v>0</v>
      </c>
      <c r="G198" s="12" t="s">
        <v>367</v>
      </c>
    </row>
    <row r="199" spans="1:7" ht="15" customHeight="1" x14ac:dyDescent="0.3">
      <c r="A199" s="12" t="s">
        <v>198</v>
      </c>
      <c r="B199" s="12" t="s">
        <v>161</v>
      </c>
      <c r="C199" s="12">
        <v>0</v>
      </c>
      <c r="D199" s="12" t="s">
        <v>166</v>
      </c>
      <c r="E199" s="12">
        <v>0</v>
      </c>
      <c r="F199" s="12">
        <v>0</v>
      </c>
      <c r="G199" s="12" t="s">
        <v>367</v>
      </c>
    </row>
    <row r="200" spans="1:7" ht="15" customHeight="1" x14ac:dyDescent="0.3">
      <c r="A200" s="12" t="s">
        <v>198</v>
      </c>
      <c r="B200" s="12" t="s">
        <v>161</v>
      </c>
      <c r="C200" s="12">
        <v>0</v>
      </c>
      <c r="D200" s="12" t="s">
        <v>171</v>
      </c>
      <c r="E200" s="12">
        <v>0</v>
      </c>
      <c r="F200" s="12">
        <v>0</v>
      </c>
      <c r="G200" s="12" t="s">
        <v>367</v>
      </c>
    </row>
    <row r="201" spans="1:7" ht="15" customHeight="1" x14ac:dyDescent="0.3">
      <c r="A201" s="12" t="s">
        <v>198</v>
      </c>
      <c r="B201" s="12" t="s">
        <v>161</v>
      </c>
      <c r="C201" s="12">
        <v>0</v>
      </c>
      <c r="D201" s="12" t="s">
        <v>176</v>
      </c>
      <c r="E201" s="12">
        <v>0</v>
      </c>
      <c r="F201" s="12">
        <v>0</v>
      </c>
      <c r="G201" s="12" t="s">
        <v>367</v>
      </c>
    </row>
    <row r="202" spans="1:7" ht="15" customHeight="1" x14ac:dyDescent="0.3">
      <c r="A202" s="12" t="s">
        <v>198</v>
      </c>
      <c r="B202" s="12" t="s">
        <v>166</v>
      </c>
      <c r="C202" s="12">
        <v>0</v>
      </c>
      <c r="D202" s="12" t="s">
        <v>171</v>
      </c>
      <c r="E202" s="12">
        <v>0</v>
      </c>
      <c r="F202" s="12">
        <v>0</v>
      </c>
      <c r="G202" s="12" t="s">
        <v>367</v>
      </c>
    </row>
    <row r="203" spans="1:7" ht="15" customHeight="1" x14ac:dyDescent="0.3">
      <c r="A203" s="12" t="s">
        <v>198</v>
      </c>
      <c r="B203" s="12" t="s">
        <v>166</v>
      </c>
      <c r="C203" s="12">
        <v>0</v>
      </c>
      <c r="D203" s="12" t="s">
        <v>176</v>
      </c>
      <c r="E203" s="12">
        <v>0</v>
      </c>
      <c r="F203" s="12">
        <v>0</v>
      </c>
      <c r="G203" s="12" t="s">
        <v>367</v>
      </c>
    </row>
    <row r="204" spans="1:7" ht="15" customHeight="1" x14ac:dyDescent="0.3">
      <c r="A204" s="12" t="s">
        <v>198</v>
      </c>
      <c r="B204" s="12" t="s">
        <v>171</v>
      </c>
      <c r="C204" s="12">
        <v>0</v>
      </c>
      <c r="D204" s="12" t="s">
        <v>176</v>
      </c>
      <c r="E204" s="12">
        <v>0</v>
      </c>
      <c r="F204" s="12">
        <v>0</v>
      </c>
      <c r="G204" s="12" t="s">
        <v>367</v>
      </c>
    </row>
    <row r="205" spans="1:7" ht="15" customHeight="1" x14ac:dyDescent="0.3">
      <c r="A205" s="12" t="s">
        <v>199</v>
      </c>
      <c r="B205" s="12" t="s">
        <v>31</v>
      </c>
      <c r="C205" s="12">
        <v>7</v>
      </c>
      <c r="D205" s="12" t="s">
        <v>41</v>
      </c>
      <c r="E205" s="12">
        <v>7</v>
      </c>
      <c r="F205" s="12">
        <v>0</v>
      </c>
      <c r="G205" s="12" t="s">
        <v>367</v>
      </c>
    </row>
    <row r="206" spans="1:7" ht="15" customHeight="1" x14ac:dyDescent="0.3">
      <c r="A206" s="12" t="s">
        <v>199</v>
      </c>
      <c r="B206" s="12" t="s">
        <v>31</v>
      </c>
      <c r="C206" s="12">
        <v>7</v>
      </c>
      <c r="D206" s="12" t="s">
        <v>56</v>
      </c>
      <c r="E206" s="12">
        <v>7</v>
      </c>
      <c r="F206" s="12">
        <v>0</v>
      </c>
      <c r="G206" s="12" t="s">
        <v>367</v>
      </c>
    </row>
    <row r="207" spans="1:7" ht="15" customHeight="1" x14ac:dyDescent="0.3">
      <c r="A207" s="12" t="s">
        <v>199</v>
      </c>
      <c r="B207" s="12" t="s">
        <v>41</v>
      </c>
      <c r="C207" s="12">
        <v>7</v>
      </c>
      <c r="D207" s="12" t="s">
        <v>56</v>
      </c>
      <c r="E207" s="12">
        <v>7</v>
      </c>
      <c r="F207" s="12">
        <v>0</v>
      </c>
      <c r="G207" s="12" t="s">
        <v>367</v>
      </c>
    </row>
    <row r="208" spans="1:7" ht="15" customHeight="1" x14ac:dyDescent="0.3">
      <c r="A208" s="12" t="s">
        <v>199</v>
      </c>
      <c r="B208" s="12" t="s">
        <v>46</v>
      </c>
      <c r="C208" s="12">
        <v>3</v>
      </c>
      <c r="D208" s="12" t="s">
        <v>76</v>
      </c>
      <c r="E208" s="12">
        <v>3</v>
      </c>
      <c r="F208" s="12">
        <v>0</v>
      </c>
      <c r="G208" s="12" t="s">
        <v>367</v>
      </c>
    </row>
    <row r="209" spans="1:7" ht="15" customHeight="1" x14ac:dyDescent="0.3">
      <c r="A209" s="12" t="s">
        <v>199</v>
      </c>
      <c r="B209" s="12" t="s">
        <v>46</v>
      </c>
      <c r="C209" s="12">
        <v>3</v>
      </c>
      <c r="D209" s="12" t="s">
        <v>91</v>
      </c>
      <c r="E209" s="12">
        <v>3</v>
      </c>
      <c r="F209" s="12">
        <v>0</v>
      </c>
      <c r="G209" s="12" t="s">
        <v>367</v>
      </c>
    </row>
    <row r="210" spans="1:7" ht="15" customHeight="1" x14ac:dyDescent="0.3">
      <c r="A210" s="12" t="s">
        <v>199</v>
      </c>
      <c r="B210" s="12" t="s">
        <v>46</v>
      </c>
      <c r="C210" s="12">
        <v>3</v>
      </c>
      <c r="D210" s="12" t="s">
        <v>106</v>
      </c>
      <c r="E210" s="12">
        <v>3</v>
      </c>
      <c r="F210" s="12">
        <v>0</v>
      </c>
      <c r="G210" s="12" t="s">
        <v>367</v>
      </c>
    </row>
    <row r="211" spans="1:7" ht="15" customHeight="1" x14ac:dyDescent="0.3">
      <c r="A211" s="12" t="s">
        <v>199</v>
      </c>
      <c r="B211" s="12" t="s">
        <v>46</v>
      </c>
      <c r="C211" s="12">
        <v>3</v>
      </c>
      <c r="D211" s="12" t="s">
        <v>116</v>
      </c>
      <c r="E211" s="12">
        <v>3</v>
      </c>
      <c r="F211" s="12">
        <v>0</v>
      </c>
      <c r="G211" s="12" t="s">
        <v>367</v>
      </c>
    </row>
    <row r="212" spans="1:7" ht="15" customHeight="1" x14ac:dyDescent="0.3">
      <c r="A212" s="12" t="s">
        <v>199</v>
      </c>
      <c r="B212" s="12" t="s">
        <v>51</v>
      </c>
      <c r="C212" s="12">
        <v>0</v>
      </c>
      <c r="D212" s="12" t="s">
        <v>81</v>
      </c>
      <c r="E212" s="12">
        <v>0</v>
      </c>
      <c r="F212" s="12">
        <v>0</v>
      </c>
      <c r="G212" s="12" t="s">
        <v>367</v>
      </c>
    </row>
    <row r="213" spans="1:7" ht="15" customHeight="1" x14ac:dyDescent="0.3">
      <c r="A213" s="12" t="s">
        <v>199</v>
      </c>
      <c r="B213" s="12" t="s">
        <v>51</v>
      </c>
      <c r="C213" s="12">
        <v>0</v>
      </c>
      <c r="D213" s="12" t="s">
        <v>111</v>
      </c>
      <c r="E213" s="12">
        <v>0</v>
      </c>
      <c r="F213" s="12">
        <v>0</v>
      </c>
      <c r="G213" s="12" t="s">
        <v>367</v>
      </c>
    </row>
    <row r="214" spans="1:7" ht="15" customHeight="1" x14ac:dyDescent="0.3">
      <c r="A214" s="12" t="s">
        <v>199</v>
      </c>
      <c r="B214" s="12" t="s">
        <v>51</v>
      </c>
      <c r="C214" s="12">
        <v>0</v>
      </c>
      <c r="D214" s="12" t="s">
        <v>121</v>
      </c>
      <c r="E214" s="12">
        <v>0</v>
      </c>
      <c r="F214" s="12">
        <v>0</v>
      </c>
      <c r="G214" s="12" t="s">
        <v>367</v>
      </c>
    </row>
    <row r="215" spans="1:7" ht="15" customHeight="1" x14ac:dyDescent="0.3">
      <c r="A215" s="12" t="s">
        <v>199</v>
      </c>
      <c r="B215" s="12" t="s">
        <v>51</v>
      </c>
      <c r="C215" s="12">
        <v>0</v>
      </c>
      <c r="D215" s="12" t="s">
        <v>131</v>
      </c>
      <c r="E215" s="12">
        <v>0</v>
      </c>
      <c r="F215" s="12">
        <v>0</v>
      </c>
      <c r="G215" s="12" t="s">
        <v>367</v>
      </c>
    </row>
    <row r="216" spans="1:7" ht="15" customHeight="1" x14ac:dyDescent="0.3">
      <c r="A216" s="12" t="s">
        <v>199</v>
      </c>
      <c r="B216" s="12" t="s">
        <v>51</v>
      </c>
      <c r="C216" s="12">
        <v>0</v>
      </c>
      <c r="D216" s="12" t="s">
        <v>136</v>
      </c>
      <c r="E216" s="12">
        <v>0</v>
      </c>
      <c r="F216" s="12">
        <v>0</v>
      </c>
      <c r="G216" s="12" t="s">
        <v>367</v>
      </c>
    </row>
    <row r="217" spans="1:7" ht="15" customHeight="1" x14ac:dyDescent="0.3">
      <c r="A217" s="12" t="s">
        <v>199</v>
      </c>
      <c r="B217" s="12" t="s">
        <v>51</v>
      </c>
      <c r="C217" s="12">
        <v>0</v>
      </c>
      <c r="D217" s="12" t="s">
        <v>141</v>
      </c>
      <c r="E217" s="12">
        <v>0</v>
      </c>
      <c r="F217" s="12">
        <v>0</v>
      </c>
      <c r="G217" s="12" t="s">
        <v>367</v>
      </c>
    </row>
    <row r="218" spans="1:7" ht="15" customHeight="1" x14ac:dyDescent="0.3">
      <c r="A218" s="12" t="s">
        <v>199</v>
      </c>
      <c r="B218" s="12" t="s">
        <v>51</v>
      </c>
      <c r="C218" s="12">
        <v>0</v>
      </c>
      <c r="D218" s="12" t="s">
        <v>161</v>
      </c>
      <c r="E218" s="12">
        <v>0</v>
      </c>
      <c r="F218" s="12">
        <v>0</v>
      </c>
      <c r="G218" s="12" t="s">
        <v>367</v>
      </c>
    </row>
    <row r="219" spans="1:7" ht="15" customHeight="1" x14ac:dyDescent="0.3">
      <c r="A219" s="12" t="s">
        <v>199</v>
      </c>
      <c r="B219" s="12" t="s">
        <v>51</v>
      </c>
      <c r="C219" s="12">
        <v>0</v>
      </c>
      <c r="D219" s="12" t="s">
        <v>166</v>
      </c>
      <c r="E219" s="12">
        <v>0</v>
      </c>
      <c r="F219" s="12">
        <v>0</v>
      </c>
      <c r="G219" s="12" t="s">
        <v>367</v>
      </c>
    </row>
    <row r="220" spans="1:7" ht="15" customHeight="1" x14ac:dyDescent="0.3">
      <c r="A220" s="12" t="s">
        <v>199</v>
      </c>
      <c r="B220" s="12" t="s">
        <v>51</v>
      </c>
      <c r="C220" s="12">
        <v>0</v>
      </c>
      <c r="D220" s="12" t="s">
        <v>171</v>
      </c>
      <c r="E220" s="12">
        <v>0</v>
      </c>
      <c r="F220" s="12">
        <v>0</v>
      </c>
      <c r="G220" s="12" t="s">
        <v>367</v>
      </c>
    </row>
    <row r="221" spans="1:7" ht="15" customHeight="1" x14ac:dyDescent="0.3">
      <c r="A221" s="12" t="s">
        <v>199</v>
      </c>
      <c r="B221" s="12" t="s">
        <v>61</v>
      </c>
      <c r="C221" s="12">
        <v>2</v>
      </c>
      <c r="D221" s="12" t="s">
        <v>86</v>
      </c>
      <c r="E221" s="12">
        <v>2</v>
      </c>
      <c r="F221" s="12">
        <v>0</v>
      </c>
      <c r="G221" s="12" t="s">
        <v>367</v>
      </c>
    </row>
    <row r="222" spans="1:7" ht="15" customHeight="1" x14ac:dyDescent="0.3">
      <c r="A222" s="12" t="s">
        <v>199</v>
      </c>
      <c r="B222" s="12" t="s">
        <v>61</v>
      </c>
      <c r="C222" s="12">
        <v>2</v>
      </c>
      <c r="D222" s="12" t="s">
        <v>96</v>
      </c>
      <c r="E222" s="12">
        <v>2</v>
      </c>
      <c r="F222" s="12">
        <v>0</v>
      </c>
      <c r="G222" s="12" t="s">
        <v>367</v>
      </c>
    </row>
    <row r="223" spans="1:7" ht="15" customHeight="1" x14ac:dyDescent="0.3">
      <c r="A223" s="12" t="s">
        <v>199</v>
      </c>
      <c r="B223" s="12" t="s">
        <v>61</v>
      </c>
      <c r="C223" s="12">
        <v>2</v>
      </c>
      <c r="D223" s="12" t="s">
        <v>101</v>
      </c>
      <c r="E223" s="12">
        <v>2</v>
      </c>
      <c r="F223" s="12">
        <v>0</v>
      </c>
      <c r="G223" s="12" t="s">
        <v>367</v>
      </c>
    </row>
    <row r="224" spans="1:7" ht="15" customHeight="1" x14ac:dyDescent="0.3">
      <c r="A224" s="12" t="s">
        <v>199</v>
      </c>
      <c r="B224" s="12" t="s">
        <v>61</v>
      </c>
      <c r="C224" s="12">
        <v>2</v>
      </c>
      <c r="D224" s="12" t="s">
        <v>126</v>
      </c>
      <c r="E224" s="12">
        <v>2</v>
      </c>
      <c r="F224" s="12">
        <v>0</v>
      </c>
      <c r="G224" s="12" t="s">
        <v>367</v>
      </c>
    </row>
    <row r="225" spans="1:7" ht="15" customHeight="1" x14ac:dyDescent="0.3">
      <c r="A225" s="12" t="s">
        <v>199</v>
      </c>
      <c r="B225" s="12" t="s">
        <v>61</v>
      </c>
      <c r="C225" s="12">
        <v>2</v>
      </c>
      <c r="D225" s="12" t="s">
        <v>146</v>
      </c>
      <c r="E225" s="12">
        <v>2</v>
      </c>
      <c r="F225" s="12">
        <v>0</v>
      </c>
      <c r="G225" s="12" t="s">
        <v>367</v>
      </c>
    </row>
    <row r="226" spans="1:7" ht="15" customHeight="1" x14ac:dyDescent="0.3">
      <c r="A226" s="12" t="s">
        <v>199</v>
      </c>
      <c r="B226" s="12" t="s">
        <v>61</v>
      </c>
      <c r="C226" s="12">
        <v>2</v>
      </c>
      <c r="D226" s="12" t="s">
        <v>156</v>
      </c>
      <c r="E226" s="12">
        <v>2</v>
      </c>
      <c r="F226" s="12">
        <v>0</v>
      </c>
      <c r="G226" s="12" t="s">
        <v>367</v>
      </c>
    </row>
    <row r="227" spans="1:7" ht="15" customHeight="1" x14ac:dyDescent="0.3">
      <c r="A227" s="12" t="s">
        <v>199</v>
      </c>
      <c r="B227" s="12" t="s">
        <v>71</v>
      </c>
      <c r="C227" s="12">
        <v>1</v>
      </c>
      <c r="D227" s="12" t="s">
        <v>151</v>
      </c>
      <c r="E227" s="12">
        <v>1</v>
      </c>
      <c r="F227" s="12">
        <v>0</v>
      </c>
      <c r="G227" s="12" t="s">
        <v>367</v>
      </c>
    </row>
    <row r="228" spans="1:7" ht="15" customHeight="1" x14ac:dyDescent="0.3">
      <c r="A228" s="12" t="s">
        <v>199</v>
      </c>
      <c r="B228" s="12" t="s">
        <v>71</v>
      </c>
      <c r="C228" s="12">
        <v>1</v>
      </c>
      <c r="D228" s="12" t="s">
        <v>176</v>
      </c>
      <c r="E228" s="12">
        <v>1</v>
      </c>
      <c r="F228" s="12">
        <v>0</v>
      </c>
      <c r="G228" s="12" t="s">
        <v>367</v>
      </c>
    </row>
    <row r="229" spans="1:7" ht="15" customHeight="1" x14ac:dyDescent="0.3">
      <c r="A229" s="12" t="s">
        <v>199</v>
      </c>
      <c r="B229" s="12" t="s">
        <v>71</v>
      </c>
      <c r="C229" s="12">
        <v>1</v>
      </c>
      <c r="D229" s="12" t="s">
        <v>181</v>
      </c>
      <c r="E229" s="12">
        <v>1</v>
      </c>
      <c r="F229" s="12">
        <v>0</v>
      </c>
      <c r="G229" s="12" t="s">
        <v>367</v>
      </c>
    </row>
    <row r="230" spans="1:7" ht="15" customHeight="1" x14ac:dyDescent="0.3">
      <c r="A230" s="12" t="s">
        <v>199</v>
      </c>
      <c r="B230" s="12" t="s">
        <v>71</v>
      </c>
      <c r="C230" s="12">
        <v>1</v>
      </c>
      <c r="D230" s="12" t="s">
        <v>186</v>
      </c>
      <c r="E230" s="12">
        <v>1</v>
      </c>
      <c r="F230" s="12">
        <v>0</v>
      </c>
      <c r="G230" s="12" t="s">
        <v>367</v>
      </c>
    </row>
    <row r="231" spans="1:7" ht="15" customHeight="1" x14ac:dyDescent="0.3">
      <c r="A231" s="12" t="s">
        <v>199</v>
      </c>
      <c r="B231" s="12" t="s">
        <v>76</v>
      </c>
      <c r="C231" s="12">
        <v>3</v>
      </c>
      <c r="D231" s="12" t="s">
        <v>91</v>
      </c>
      <c r="E231" s="12">
        <v>3</v>
      </c>
      <c r="F231" s="12">
        <v>0</v>
      </c>
      <c r="G231" s="12" t="s">
        <v>367</v>
      </c>
    </row>
    <row r="232" spans="1:7" ht="15" customHeight="1" x14ac:dyDescent="0.3">
      <c r="A232" s="12" t="s">
        <v>199</v>
      </c>
      <c r="B232" s="12" t="s">
        <v>76</v>
      </c>
      <c r="C232" s="12">
        <v>3</v>
      </c>
      <c r="D232" s="12" t="s">
        <v>106</v>
      </c>
      <c r="E232" s="12">
        <v>3</v>
      </c>
      <c r="F232" s="12">
        <v>0</v>
      </c>
      <c r="G232" s="12" t="s">
        <v>367</v>
      </c>
    </row>
    <row r="233" spans="1:7" ht="15" customHeight="1" x14ac:dyDescent="0.3">
      <c r="A233" s="12" t="s">
        <v>199</v>
      </c>
      <c r="B233" s="12" t="s">
        <v>76</v>
      </c>
      <c r="C233" s="12">
        <v>3</v>
      </c>
      <c r="D233" s="12" t="s">
        <v>116</v>
      </c>
      <c r="E233" s="12">
        <v>3</v>
      </c>
      <c r="F233" s="12">
        <v>0</v>
      </c>
      <c r="G233" s="12" t="s">
        <v>367</v>
      </c>
    </row>
    <row r="234" spans="1:7" ht="15" customHeight="1" x14ac:dyDescent="0.3">
      <c r="A234" s="12" t="s">
        <v>199</v>
      </c>
      <c r="B234" s="12" t="s">
        <v>81</v>
      </c>
      <c r="C234" s="12">
        <v>0</v>
      </c>
      <c r="D234" s="12" t="s">
        <v>111</v>
      </c>
      <c r="E234" s="12">
        <v>0</v>
      </c>
      <c r="F234" s="12">
        <v>0</v>
      </c>
      <c r="G234" s="12" t="s">
        <v>367</v>
      </c>
    </row>
    <row r="235" spans="1:7" ht="15" customHeight="1" x14ac:dyDescent="0.3">
      <c r="A235" s="12" t="s">
        <v>199</v>
      </c>
      <c r="B235" s="12" t="s">
        <v>81</v>
      </c>
      <c r="C235" s="12">
        <v>0</v>
      </c>
      <c r="D235" s="12" t="s">
        <v>121</v>
      </c>
      <c r="E235" s="12">
        <v>0</v>
      </c>
      <c r="F235" s="12">
        <v>0</v>
      </c>
      <c r="G235" s="12" t="s">
        <v>367</v>
      </c>
    </row>
    <row r="236" spans="1:7" ht="15" customHeight="1" x14ac:dyDescent="0.3">
      <c r="A236" s="12" t="s">
        <v>199</v>
      </c>
      <c r="B236" s="12" t="s">
        <v>81</v>
      </c>
      <c r="C236" s="12">
        <v>0</v>
      </c>
      <c r="D236" s="12" t="s">
        <v>131</v>
      </c>
      <c r="E236" s="12">
        <v>0</v>
      </c>
      <c r="F236" s="12">
        <v>0</v>
      </c>
      <c r="G236" s="12" t="s">
        <v>367</v>
      </c>
    </row>
    <row r="237" spans="1:7" ht="15" customHeight="1" x14ac:dyDescent="0.3">
      <c r="A237" s="12" t="s">
        <v>199</v>
      </c>
      <c r="B237" s="12" t="s">
        <v>81</v>
      </c>
      <c r="C237" s="12">
        <v>0</v>
      </c>
      <c r="D237" s="12" t="s">
        <v>136</v>
      </c>
      <c r="E237" s="12">
        <v>0</v>
      </c>
      <c r="F237" s="12">
        <v>0</v>
      </c>
      <c r="G237" s="12" t="s">
        <v>367</v>
      </c>
    </row>
    <row r="238" spans="1:7" ht="15" customHeight="1" x14ac:dyDescent="0.3">
      <c r="A238" s="12" t="s">
        <v>199</v>
      </c>
      <c r="B238" s="12" t="s">
        <v>81</v>
      </c>
      <c r="C238" s="12">
        <v>0</v>
      </c>
      <c r="D238" s="12" t="s">
        <v>141</v>
      </c>
      <c r="E238" s="12">
        <v>0</v>
      </c>
      <c r="F238" s="12">
        <v>0</v>
      </c>
      <c r="G238" s="12" t="s">
        <v>367</v>
      </c>
    </row>
    <row r="239" spans="1:7" ht="15" customHeight="1" x14ac:dyDescent="0.3">
      <c r="A239" s="12" t="s">
        <v>199</v>
      </c>
      <c r="B239" s="12" t="s">
        <v>81</v>
      </c>
      <c r="C239" s="12">
        <v>0</v>
      </c>
      <c r="D239" s="12" t="s">
        <v>161</v>
      </c>
      <c r="E239" s="12">
        <v>0</v>
      </c>
      <c r="F239" s="12">
        <v>0</v>
      </c>
      <c r="G239" s="12" t="s">
        <v>367</v>
      </c>
    </row>
    <row r="240" spans="1:7" ht="15" customHeight="1" x14ac:dyDescent="0.3">
      <c r="A240" s="12" t="s">
        <v>199</v>
      </c>
      <c r="B240" s="12" t="s">
        <v>81</v>
      </c>
      <c r="C240" s="12">
        <v>0</v>
      </c>
      <c r="D240" s="12" t="s">
        <v>166</v>
      </c>
      <c r="E240" s="12">
        <v>0</v>
      </c>
      <c r="F240" s="12">
        <v>0</v>
      </c>
      <c r="G240" s="12" t="s">
        <v>367</v>
      </c>
    </row>
    <row r="241" spans="1:7" ht="15" customHeight="1" x14ac:dyDescent="0.3">
      <c r="A241" s="12" t="s">
        <v>199</v>
      </c>
      <c r="B241" s="12" t="s">
        <v>81</v>
      </c>
      <c r="C241" s="12">
        <v>0</v>
      </c>
      <c r="D241" s="12" t="s">
        <v>171</v>
      </c>
      <c r="E241" s="12">
        <v>0</v>
      </c>
      <c r="F241" s="12">
        <v>0</v>
      </c>
      <c r="G241" s="12" t="s">
        <v>367</v>
      </c>
    </row>
    <row r="242" spans="1:7" ht="15" customHeight="1" x14ac:dyDescent="0.3">
      <c r="A242" s="12" t="s">
        <v>199</v>
      </c>
      <c r="B242" s="12" t="s">
        <v>86</v>
      </c>
      <c r="C242" s="12">
        <v>2</v>
      </c>
      <c r="D242" s="12" t="s">
        <v>96</v>
      </c>
      <c r="E242" s="12">
        <v>2</v>
      </c>
      <c r="F242" s="12">
        <v>0</v>
      </c>
      <c r="G242" s="12" t="s">
        <v>367</v>
      </c>
    </row>
    <row r="243" spans="1:7" ht="15" customHeight="1" x14ac:dyDescent="0.3">
      <c r="A243" s="12" t="s">
        <v>199</v>
      </c>
      <c r="B243" s="12" t="s">
        <v>86</v>
      </c>
      <c r="C243" s="12">
        <v>2</v>
      </c>
      <c r="D243" s="12" t="s">
        <v>101</v>
      </c>
      <c r="E243" s="12">
        <v>2</v>
      </c>
      <c r="F243" s="12">
        <v>0</v>
      </c>
      <c r="G243" s="12" t="s">
        <v>367</v>
      </c>
    </row>
    <row r="244" spans="1:7" ht="15" customHeight="1" x14ac:dyDescent="0.3">
      <c r="A244" s="12" t="s">
        <v>199</v>
      </c>
      <c r="B244" s="12" t="s">
        <v>86</v>
      </c>
      <c r="C244" s="12">
        <v>2</v>
      </c>
      <c r="D244" s="12" t="s">
        <v>126</v>
      </c>
      <c r="E244" s="12">
        <v>2</v>
      </c>
      <c r="F244" s="12">
        <v>0</v>
      </c>
      <c r="G244" s="12" t="s">
        <v>367</v>
      </c>
    </row>
    <row r="245" spans="1:7" ht="15" customHeight="1" x14ac:dyDescent="0.3">
      <c r="A245" s="12" t="s">
        <v>199</v>
      </c>
      <c r="B245" s="12" t="s">
        <v>86</v>
      </c>
      <c r="C245" s="12">
        <v>2</v>
      </c>
      <c r="D245" s="12" t="s">
        <v>146</v>
      </c>
      <c r="E245" s="12">
        <v>2</v>
      </c>
      <c r="F245" s="12">
        <v>0</v>
      </c>
      <c r="G245" s="12" t="s">
        <v>367</v>
      </c>
    </row>
    <row r="246" spans="1:7" ht="15" customHeight="1" x14ac:dyDescent="0.3">
      <c r="A246" s="12" t="s">
        <v>199</v>
      </c>
      <c r="B246" s="12" t="s">
        <v>86</v>
      </c>
      <c r="C246" s="12">
        <v>2</v>
      </c>
      <c r="D246" s="12" t="s">
        <v>156</v>
      </c>
      <c r="E246" s="12">
        <v>2</v>
      </c>
      <c r="F246" s="12">
        <v>0</v>
      </c>
      <c r="G246" s="12" t="s">
        <v>367</v>
      </c>
    </row>
    <row r="247" spans="1:7" ht="15" customHeight="1" x14ac:dyDescent="0.3">
      <c r="A247" s="12" t="s">
        <v>199</v>
      </c>
      <c r="B247" s="12" t="s">
        <v>91</v>
      </c>
      <c r="C247" s="12">
        <v>3</v>
      </c>
      <c r="D247" s="12" t="s">
        <v>106</v>
      </c>
      <c r="E247" s="12">
        <v>3</v>
      </c>
      <c r="F247" s="12">
        <v>0</v>
      </c>
      <c r="G247" s="12" t="s">
        <v>367</v>
      </c>
    </row>
    <row r="248" spans="1:7" ht="15" customHeight="1" x14ac:dyDescent="0.3">
      <c r="A248" s="12" t="s">
        <v>199</v>
      </c>
      <c r="B248" s="12" t="s">
        <v>91</v>
      </c>
      <c r="C248" s="12">
        <v>3</v>
      </c>
      <c r="D248" s="12" t="s">
        <v>116</v>
      </c>
      <c r="E248" s="12">
        <v>3</v>
      </c>
      <c r="F248" s="12">
        <v>0</v>
      </c>
      <c r="G248" s="12" t="s">
        <v>367</v>
      </c>
    </row>
    <row r="249" spans="1:7" ht="15" customHeight="1" x14ac:dyDescent="0.3">
      <c r="A249" s="12" t="s">
        <v>199</v>
      </c>
      <c r="B249" s="12" t="s">
        <v>96</v>
      </c>
      <c r="C249" s="12">
        <v>2</v>
      </c>
      <c r="D249" s="12" t="s">
        <v>101</v>
      </c>
      <c r="E249" s="12">
        <v>2</v>
      </c>
      <c r="F249" s="12">
        <v>0</v>
      </c>
      <c r="G249" s="12" t="s">
        <v>367</v>
      </c>
    </row>
    <row r="250" spans="1:7" ht="15" customHeight="1" x14ac:dyDescent="0.3">
      <c r="A250" s="12" t="s">
        <v>199</v>
      </c>
      <c r="B250" s="12" t="s">
        <v>96</v>
      </c>
      <c r="C250" s="12">
        <v>2</v>
      </c>
      <c r="D250" s="12" t="s">
        <v>126</v>
      </c>
      <c r="E250" s="12">
        <v>2</v>
      </c>
      <c r="F250" s="12">
        <v>0</v>
      </c>
      <c r="G250" s="12" t="s">
        <v>367</v>
      </c>
    </row>
    <row r="251" spans="1:7" ht="15" customHeight="1" x14ac:dyDescent="0.3">
      <c r="A251" s="12" t="s">
        <v>199</v>
      </c>
      <c r="B251" s="12" t="s">
        <v>96</v>
      </c>
      <c r="C251" s="12">
        <v>2</v>
      </c>
      <c r="D251" s="12" t="s">
        <v>146</v>
      </c>
      <c r="E251" s="12">
        <v>2</v>
      </c>
      <c r="F251" s="12">
        <v>0</v>
      </c>
      <c r="G251" s="12" t="s">
        <v>367</v>
      </c>
    </row>
    <row r="252" spans="1:7" ht="15" customHeight="1" x14ac:dyDescent="0.3">
      <c r="A252" s="12" t="s">
        <v>199</v>
      </c>
      <c r="B252" s="12" t="s">
        <v>96</v>
      </c>
      <c r="C252" s="12">
        <v>2</v>
      </c>
      <c r="D252" s="12" t="s">
        <v>156</v>
      </c>
      <c r="E252" s="12">
        <v>2</v>
      </c>
      <c r="F252" s="12">
        <v>0</v>
      </c>
      <c r="G252" s="12" t="s">
        <v>367</v>
      </c>
    </row>
    <row r="253" spans="1:7" ht="15" customHeight="1" x14ac:dyDescent="0.3">
      <c r="A253" s="12" t="s">
        <v>199</v>
      </c>
      <c r="B253" s="12" t="s">
        <v>101</v>
      </c>
      <c r="C253" s="12">
        <v>2</v>
      </c>
      <c r="D253" s="12" t="s">
        <v>126</v>
      </c>
      <c r="E253" s="12">
        <v>2</v>
      </c>
      <c r="F253" s="12">
        <v>0</v>
      </c>
      <c r="G253" s="12" t="s">
        <v>367</v>
      </c>
    </row>
    <row r="254" spans="1:7" ht="15" customHeight="1" x14ac:dyDescent="0.3">
      <c r="A254" s="12" t="s">
        <v>199</v>
      </c>
      <c r="B254" s="12" t="s">
        <v>101</v>
      </c>
      <c r="C254" s="12">
        <v>2</v>
      </c>
      <c r="D254" s="12" t="s">
        <v>146</v>
      </c>
      <c r="E254" s="12">
        <v>2</v>
      </c>
      <c r="F254" s="12">
        <v>0</v>
      </c>
      <c r="G254" s="12" t="s">
        <v>367</v>
      </c>
    </row>
    <row r="255" spans="1:7" ht="15" customHeight="1" x14ac:dyDescent="0.3">
      <c r="A255" s="12" t="s">
        <v>199</v>
      </c>
      <c r="B255" s="12" t="s">
        <v>101</v>
      </c>
      <c r="C255" s="12">
        <v>2</v>
      </c>
      <c r="D255" s="12" t="s">
        <v>156</v>
      </c>
      <c r="E255" s="12">
        <v>2</v>
      </c>
      <c r="F255" s="12">
        <v>0</v>
      </c>
      <c r="G255" s="12" t="s">
        <v>367</v>
      </c>
    </row>
    <row r="256" spans="1:7" ht="15" customHeight="1" x14ac:dyDescent="0.3">
      <c r="A256" s="12" t="s">
        <v>199</v>
      </c>
      <c r="B256" s="12" t="s">
        <v>106</v>
      </c>
      <c r="C256" s="12">
        <v>3</v>
      </c>
      <c r="D256" s="12" t="s">
        <v>116</v>
      </c>
      <c r="E256" s="12">
        <v>3</v>
      </c>
      <c r="F256" s="12">
        <v>0</v>
      </c>
      <c r="G256" s="12" t="s">
        <v>367</v>
      </c>
    </row>
    <row r="257" spans="1:7" ht="15" customHeight="1" x14ac:dyDescent="0.3">
      <c r="A257" s="12" t="s">
        <v>199</v>
      </c>
      <c r="B257" s="12" t="s">
        <v>111</v>
      </c>
      <c r="C257" s="12">
        <v>0</v>
      </c>
      <c r="D257" s="12" t="s">
        <v>121</v>
      </c>
      <c r="E257" s="12">
        <v>0</v>
      </c>
      <c r="F257" s="12">
        <v>0</v>
      </c>
      <c r="G257" s="12" t="s">
        <v>367</v>
      </c>
    </row>
    <row r="258" spans="1:7" ht="15" customHeight="1" x14ac:dyDescent="0.3">
      <c r="A258" s="12" t="s">
        <v>199</v>
      </c>
      <c r="B258" s="12" t="s">
        <v>111</v>
      </c>
      <c r="C258" s="12">
        <v>0</v>
      </c>
      <c r="D258" s="12" t="s">
        <v>131</v>
      </c>
      <c r="E258" s="12">
        <v>0</v>
      </c>
      <c r="F258" s="12">
        <v>0</v>
      </c>
      <c r="G258" s="12" t="s">
        <v>367</v>
      </c>
    </row>
    <row r="259" spans="1:7" ht="15" customHeight="1" x14ac:dyDescent="0.3">
      <c r="A259" s="12" t="s">
        <v>199</v>
      </c>
      <c r="B259" s="12" t="s">
        <v>111</v>
      </c>
      <c r="C259" s="12">
        <v>0</v>
      </c>
      <c r="D259" s="12" t="s">
        <v>136</v>
      </c>
      <c r="E259" s="12">
        <v>0</v>
      </c>
      <c r="F259" s="12">
        <v>0</v>
      </c>
      <c r="G259" s="12" t="s">
        <v>367</v>
      </c>
    </row>
    <row r="260" spans="1:7" ht="15" customHeight="1" x14ac:dyDescent="0.3">
      <c r="A260" s="12" t="s">
        <v>199</v>
      </c>
      <c r="B260" s="12" t="s">
        <v>111</v>
      </c>
      <c r="C260" s="12">
        <v>0</v>
      </c>
      <c r="D260" s="12" t="s">
        <v>141</v>
      </c>
      <c r="E260" s="12">
        <v>0</v>
      </c>
      <c r="F260" s="12">
        <v>0</v>
      </c>
      <c r="G260" s="12" t="s">
        <v>367</v>
      </c>
    </row>
    <row r="261" spans="1:7" ht="15" customHeight="1" x14ac:dyDescent="0.3">
      <c r="A261" s="12" t="s">
        <v>199</v>
      </c>
      <c r="B261" s="12" t="s">
        <v>111</v>
      </c>
      <c r="C261" s="12">
        <v>0</v>
      </c>
      <c r="D261" s="12" t="s">
        <v>161</v>
      </c>
      <c r="E261" s="12">
        <v>0</v>
      </c>
      <c r="F261" s="12">
        <v>0</v>
      </c>
      <c r="G261" s="12" t="s">
        <v>367</v>
      </c>
    </row>
    <row r="262" spans="1:7" ht="15" customHeight="1" x14ac:dyDescent="0.3">
      <c r="A262" s="12" t="s">
        <v>199</v>
      </c>
      <c r="B262" s="12" t="s">
        <v>111</v>
      </c>
      <c r="C262" s="12">
        <v>0</v>
      </c>
      <c r="D262" s="12" t="s">
        <v>166</v>
      </c>
      <c r="E262" s="12">
        <v>0</v>
      </c>
      <c r="F262" s="12">
        <v>0</v>
      </c>
      <c r="G262" s="12" t="s">
        <v>367</v>
      </c>
    </row>
    <row r="263" spans="1:7" ht="15" customHeight="1" x14ac:dyDescent="0.3">
      <c r="A263" s="12" t="s">
        <v>199</v>
      </c>
      <c r="B263" s="12" t="s">
        <v>111</v>
      </c>
      <c r="C263" s="12">
        <v>0</v>
      </c>
      <c r="D263" s="12" t="s">
        <v>171</v>
      </c>
      <c r="E263" s="12">
        <v>0</v>
      </c>
      <c r="F263" s="12">
        <v>0</v>
      </c>
      <c r="G263" s="12" t="s">
        <v>367</v>
      </c>
    </row>
    <row r="264" spans="1:7" ht="15" customHeight="1" x14ac:dyDescent="0.3">
      <c r="A264" s="12" t="s">
        <v>199</v>
      </c>
      <c r="B264" s="12" t="s">
        <v>121</v>
      </c>
      <c r="C264" s="12">
        <v>0</v>
      </c>
      <c r="D264" s="12" t="s">
        <v>131</v>
      </c>
      <c r="E264" s="12">
        <v>0</v>
      </c>
      <c r="F264" s="12">
        <v>0</v>
      </c>
      <c r="G264" s="12" t="s">
        <v>367</v>
      </c>
    </row>
    <row r="265" spans="1:7" ht="15" customHeight="1" x14ac:dyDescent="0.3">
      <c r="A265" s="12" t="s">
        <v>199</v>
      </c>
      <c r="B265" s="12" t="s">
        <v>121</v>
      </c>
      <c r="C265" s="12">
        <v>0</v>
      </c>
      <c r="D265" s="12" t="s">
        <v>136</v>
      </c>
      <c r="E265" s="12">
        <v>0</v>
      </c>
      <c r="F265" s="12">
        <v>0</v>
      </c>
      <c r="G265" s="12" t="s">
        <v>367</v>
      </c>
    </row>
    <row r="266" spans="1:7" ht="15" customHeight="1" x14ac:dyDescent="0.3">
      <c r="A266" s="12" t="s">
        <v>199</v>
      </c>
      <c r="B266" s="12" t="s">
        <v>121</v>
      </c>
      <c r="C266" s="12">
        <v>0</v>
      </c>
      <c r="D266" s="12" t="s">
        <v>141</v>
      </c>
      <c r="E266" s="12">
        <v>0</v>
      </c>
      <c r="F266" s="12">
        <v>0</v>
      </c>
      <c r="G266" s="12" t="s">
        <v>367</v>
      </c>
    </row>
    <row r="267" spans="1:7" ht="15" customHeight="1" x14ac:dyDescent="0.3">
      <c r="A267" s="12" t="s">
        <v>199</v>
      </c>
      <c r="B267" s="12" t="s">
        <v>121</v>
      </c>
      <c r="C267" s="12">
        <v>0</v>
      </c>
      <c r="D267" s="12" t="s">
        <v>161</v>
      </c>
      <c r="E267" s="12">
        <v>0</v>
      </c>
      <c r="F267" s="12">
        <v>0</v>
      </c>
      <c r="G267" s="12" t="s">
        <v>367</v>
      </c>
    </row>
    <row r="268" spans="1:7" ht="15" customHeight="1" x14ac:dyDescent="0.3">
      <c r="A268" s="12" t="s">
        <v>199</v>
      </c>
      <c r="B268" s="12" t="s">
        <v>121</v>
      </c>
      <c r="C268" s="12">
        <v>0</v>
      </c>
      <c r="D268" s="12" t="s">
        <v>166</v>
      </c>
      <c r="E268" s="12">
        <v>0</v>
      </c>
      <c r="F268" s="12">
        <v>0</v>
      </c>
      <c r="G268" s="12" t="s">
        <v>367</v>
      </c>
    </row>
    <row r="269" spans="1:7" ht="15" customHeight="1" x14ac:dyDescent="0.3">
      <c r="A269" s="12" t="s">
        <v>199</v>
      </c>
      <c r="B269" s="12" t="s">
        <v>121</v>
      </c>
      <c r="C269" s="12">
        <v>0</v>
      </c>
      <c r="D269" s="12" t="s">
        <v>171</v>
      </c>
      <c r="E269" s="12">
        <v>0</v>
      </c>
      <c r="F269" s="12">
        <v>0</v>
      </c>
      <c r="G269" s="12" t="s">
        <v>367</v>
      </c>
    </row>
    <row r="270" spans="1:7" ht="15" customHeight="1" x14ac:dyDescent="0.3">
      <c r="A270" s="12" t="s">
        <v>199</v>
      </c>
      <c r="B270" s="12" t="s">
        <v>126</v>
      </c>
      <c r="C270" s="12">
        <v>2</v>
      </c>
      <c r="D270" s="12" t="s">
        <v>146</v>
      </c>
      <c r="E270" s="12">
        <v>2</v>
      </c>
      <c r="F270" s="12">
        <v>0</v>
      </c>
      <c r="G270" s="12" t="s">
        <v>367</v>
      </c>
    </row>
    <row r="271" spans="1:7" ht="15" customHeight="1" x14ac:dyDescent="0.3">
      <c r="A271" s="12" t="s">
        <v>199</v>
      </c>
      <c r="B271" s="12" t="s">
        <v>126</v>
      </c>
      <c r="C271" s="12">
        <v>2</v>
      </c>
      <c r="D271" s="12" t="s">
        <v>156</v>
      </c>
      <c r="E271" s="12">
        <v>2</v>
      </c>
      <c r="F271" s="12">
        <v>0</v>
      </c>
      <c r="G271" s="12" t="s">
        <v>367</v>
      </c>
    </row>
    <row r="272" spans="1:7" ht="15" customHeight="1" x14ac:dyDescent="0.3">
      <c r="A272" s="12" t="s">
        <v>199</v>
      </c>
      <c r="B272" s="12" t="s">
        <v>131</v>
      </c>
      <c r="C272" s="12">
        <v>0</v>
      </c>
      <c r="D272" s="12" t="s">
        <v>136</v>
      </c>
      <c r="E272" s="12">
        <v>0</v>
      </c>
      <c r="F272" s="12">
        <v>0</v>
      </c>
      <c r="G272" s="12" t="s">
        <v>367</v>
      </c>
    </row>
    <row r="273" spans="1:7" ht="15" customHeight="1" x14ac:dyDescent="0.3">
      <c r="A273" s="12" t="s">
        <v>199</v>
      </c>
      <c r="B273" s="12" t="s">
        <v>131</v>
      </c>
      <c r="C273" s="12">
        <v>0</v>
      </c>
      <c r="D273" s="12" t="s">
        <v>141</v>
      </c>
      <c r="E273" s="12">
        <v>0</v>
      </c>
      <c r="F273" s="12">
        <v>0</v>
      </c>
      <c r="G273" s="12" t="s">
        <v>367</v>
      </c>
    </row>
    <row r="274" spans="1:7" ht="15" customHeight="1" x14ac:dyDescent="0.3">
      <c r="A274" s="12" t="s">
        <v>199</v>
      </c>
      <c r="B274" s="12" t="s">
        <v>131</v>
      </c>
      <c r="C274" s="12">
        <v>0</v>
      </c>
      <c r="D274" s="12" t="s">
        <v>161</v>
      </c>
      <c r="E274" s="12">
        <v>0</v>
      </c>
      <c r="F274" s="12">
        <v>0</v>
      </c>
      <c r="G274" s="12" t="s">
        <v>367</v>
      </c>
    </row>
    <row r="275" spans="1:7" ht="15" customHeight="1" x14ac:dyDescent="0.3">
      <c r="A275" s="12" t="s">
        <v>199</v>
      </c>
      <c r="B275" s="12" t="s">
        <v>131</v>
      </c>
      <c r="C275" s="12">
        <v>0</v>
      </c>
      <c r="D275" s="12" t="s">
        <v>166</v>
      </c>
      <c r="E275" s="12">
        <v>0</v>
      </c>
      <c r="F275" s="12">
        <v>0</v>
      </c>
      <c r="G275" s="12" t="s">
        <v>367</v>
      </c>
    </row>
    <row r="276" spans="1:7" ht="15" customHeight="1" x14ac:dyDescent="0.3">
      <c r="A276" s="12" t="s">
        <v>199</v>
      </c>
      <c r="B276" s="12" t="s">
        <v>131</v>
      </c>
      <c r="C276" s="12">
        <v>0</v>
      </c>
      <c r="D276" s="12" t="s">
        <v>171</v>
      </c>
      <c r="E276" s="12">
        <v>0</v>
      </c>
      <c r="F276" s="12">
        <v>0</v>
      </c>
      <c r="G276" s="12" t="s">
        <v>367</v>
      </c>
    </row>
    <row r="277" spans="1:7" ht="15" customHeight="1" x14ac:dyDescent="0.3">
      <c r="A277" s="12" t="s">
        <v>199</v>
      </c>
      <c r="B277" s="12" t="s">
        <v>136</v>
      </c>
      <c r="C277" s="12">
        <v>0</v>
      </c>
      <c r="D277" s="12" t="s">
        <v>141</v>
      </c>
      <c r="E277" s="12">
        <v>0</v>
      </c>
      <c r="F277" s="12">
        <v>0</v>
      </c>
      <c r="G277" s="12" t="s">
        <v>367</v>
      </c>
    </row>
    <row r="278" spans="1:7" ht="15" customHeight="1" x14ac:dyDescent="0.3">
      <c r="A278" s="12" t="s">
        <v>199</v>
      </c>
      <c r="B278" s="12" t="s">
        <v>136</v>
      </c>
      <c r="C278" s="12">
        <v>0</v>
      </c>
      <c r="D278" s="12" t="s">
        <v>161</v>
      </c>
      <c r="E278" s="12">
        <v>0</v>
      </c>
      <c r="F278" s="12">
        <v>0</v>
      </c>
      <c r="G278" s="12" t="s">
        <v>367</v>
      </c>
    </row>
    <row r="279" spans="1:7" ht="15" customHeight="1" x14ac:dyDescent="0.3">
      <c r="A279" s="12" t="s">
        <v>199</v>
      </c>
      <c r="B279" s="12" t="s">
        <v>136</v>
      </c>
      <c r="C279" s="12">
        <v>0</v>
      </c>
      <c r="D279" s="12" t="s">
        <v>166</v>
      </c>
      <c r="E279" s="12">
        <v>0</v>
      </c>
      <c r="F279" s="12">
        <v>0</v>
      </c>
      <c r="G279" s="12" t="s">
        <v>367</v>
      </c>
    </row>
    <row r="280" spans="1:7" ht="15" customHeight="1" x14ac:dyDescent="0.3">
      <c r="A280" s="12" t="s">
        <v>199</v>
      </c>
      <c r="B280" s="12" t="s">
        <v>136</v>
      </c>
      <c r="C280" s="12">
        <v>0</v>
      </c>
      <c r="D280" s="12" t="s">
        <v>171</v>
      </c>
      <c r="E280" s="12">
        <v>0</v>
      </c>
      <c r="F280" s="12">
        <v>0</v>
      </c>
      <c r="G280" s="12" t="s">
        <v>367</v>
      </c>
    </row>
    <row r="281" spans="1:7" ht="15" customHeight="1" x14ac:dyDescent="0.3">
      <c r="A281" s="12" t="s">
        <v>199</v>
      </c>
      <c r="B281" s="12" t="s">
        <v>141</v>
      </c>
      <c r="C281" s="12">
        <v>0</v>
      </c>
      <c r="D281" s="12" t="s">
        <v>161</v>
      </c>
      <c r="E281" s="12">
        <v>0</v>
      </c>
      <c r="F281" s="12">
        <v>0</v>
      </c>
      <c r="G281" s="12" t="s">
        <v>367</v>
      </c>
    </row>
    <row r="282" spans="1:7" ht="15" customHeight="1" x14ac:dyDescent="0.3">
      <c r="A282" s="12" t="s">
        <v>199</v>
      </c>
      <c r="B282" s="12" t="s">
        <v>141</v>
      </c>
      <c r="C282" s="12">
        <v>0</v>
      </c>
      <c r="D282" s="12" t="s">
        <v>166</v>
      </c>
      <c r="E282" s="12">
        <v>0</v>
      </c>
      <c r="F282" s="12">
        <v>0</v>
      </c>
      <c r="G282" s="12" t="s">
        <v>367</v>
      </c>
    </row>
    <row r="283" spans="1:7" ht="15" customHeight="1" x14ac:dyDescent="0.3">
      <c r="A283" s="12" t="s">
        <v>199</v>
      </c>
      <c r="B283" s="12" t="s">
        <v>141</v>
      </c>
      <c r="C283" s="12">
        <v>0</v>
      </c>
      <c r="D283" s="12" t="s">
        <v>171</v>
      </c>
      <c r="E283" s="12">
        <v>0</v>
      </c>
      <c r="F283" s="12">
        <v>0</v>
      </c>
      <c r="G283" s="12" t="s">
        <v>367</v>
      </c>
    </row>
    <row r="284" spans="1:7" ht="15" customHeight="1" x14ac:dyDescent="0.3">
      <c r="A284" s="12" t="s">
        <v>199</v>
      </c>
      <c r="B284" s="12" t="s">
        <v>146</v>
      </c>
      <c r="C284" s="12">
        <v>2</v>
      </c>
      <c r="D284" s="12" t="s">
        <v>156</v>
      </c>
      <c r="E284" s="12">
        <v>2</v>
      </c>
      <c r="F284" s="12">
        <v>0</v>
      </c>
      <c r="G284" s="12" t="s">
        <v>367</v>
      </c>
    </row>
    <row r="285" spans="1:7" ht="15" customHeight="1" x14ac:dyDescent="0.3">
      <c r="A285" s="12" t="s">
        <v>199</v>
      </c>
      <c r="B285" s="12" t="s">
        <v>151</v>
      </c>
      <c r="C285" s="12">
        <v>1</v>
      </c>
      <c r="D285" s="12" t="s">
        <v>176</v>
      </c>
      <c r="E285" s="12">
        <v>1</v>
      </c>
      <c r="F285" s="12">
        <v>0</v>
      </c>
      <c r="G285" s="12" t="s">
        <v>367</v>
      </c>
    </row>
    <row r="286" spans="1:7" ht="15" customHeight="1" x14ac:dyDescent="0.3">
      <c r="A286" s="12" t="s">
        <v>199</v>
      </c>
      <c r="B286" s="12" t="s">
        <v>151</v>
      </c>
      <c r="C286" s="12">
        <v>1</v>
      </c>
      <c r="D286" s="12" t="s">
        <v>181</v>
      </c>
      <c r="E286" s="12">
        <v>1</v>
      </c>
      <c r="F286" s="12">
        <v>0</v>
      </c>
      <c r="G286" s="12" t="s">
        <v>367</v>
      </c>
    </row>
    <row r="287" spans="1:7" ht="15" customHeight="1" x14ac:dyDescent="0.3">
      <c r="A287" s="12" t="s">
        <v>199</v>
      </c>
      <c r="B287" s="12" t="s">
        <v>151</v>
      </c>
      <c r="C287" s="12">
        <v>1</v>
      </c>
      <c r="D287" s="12" t="s">
        <v>186</v>
      </c>
      <c r="E287" s="12">
        <v>1</v>
      </c>
      <c r="F287" s="12">
        <v>0</v>
      </c>
      <c r="G287" s="12" t="s">
        <v>367</v>
      </c>
    </row>
    <row r="288" spans="1:7" ht="15" customHeight="1" x14ac:dyDescent="0.3">
      <c r="A288" s="12" t="s">
        <v>199</v>
      </c>
      <c r="B288" s="12" t="s">
        <v>161</v>
      </c>
      <c r="C288" s="12">
        <v>0</v>
      </c>
      <c r="D288" s="12" t="s">
        <v>166</v>
      </c>
      <c r="E288" s="12">
        <v>0</v>
      </c>
      <c r="F288" s="12">
        <v>0</v>
      </c>
      <c r="G288" s="12" t="s">
        <v>367</v>
      </c>
    </row>
    <row r="289" spans="1:7" ht="15" customHeight="1" x14ac:dyDescent="0.3">
      <c r="A289" s="12" t="s">
        <v>199</v>
      </c>
      <c r="B289" s="12" t="s">
        <v>161</v>
      </c>
      <c r="C289" s="12">
        <v>0</v>
      </c>
      <c r="D289" s="12" t="s">
        <v>171</v>
      </c>
      <c r="E289" s="12">
        <v>0</v>
      </c>
      <c r="F289" s="12">
        <v>0</v>
      </c>
      <c r="G289" s="12" t="s">
        <v>367</v>
      </c>
    </row>
    <row r="290" spans="1:7" ht="15" customHeight="1" x14ac:dyDescent="0.3">
      <c r="A290" s="12" t="s">
        <v>199</v>
      </c>
      <c r="B290" s="12" t="s">
        <v>166</v>
      </c>
      <c r="C290" s="12">
        <v>0</v>
      </c>
      <c r="D290" s="12" t="s">
        <v>171</v>
      </c>
      <c r="E290" s="12">
        <v>0</v>
      </c>
      <c r="F290" s="12">
        <v>0</v>
      </c>
      <c r="G290" s="12" t="s">
        <v>367</v>
      </c>
    </row>
    <row r="291" spans="1:7" ht="15" customHeight="1" x14ac:dyDescent="0.3">
      <c r="A291" s="12" t="s">
        <v>199</v>
      </c>
      <c r="B291" s="12" t="s">
        <v>176</v>
      </c>
      <c r="C291" s="12">
        <v>1</v>
      </c>
      <c r="D291" s="12" t="s">
        <v>181</v>
      </c>
      <c r="E291" s="12">
        <v>1</v>
      </c>
      <c r="F291" s="12">
        <v>0</v>
      </c>
      <c r="G291" s="12" t="s">
        <v>367</v>
      </c>
    </row>
    <row r="292" spans="1:7" ht="15" customHeight="1" x14ac:dyDescent="0.3">
      <c r="A292" s="12" t="s">
        <v>199</v>
      </c>
      <c r="B292" s="12" t="s">
        <v>176</v>
      </c>
      <c r="C292" s="12">
        <v>1</v>
      </c>
      <c r="D292" s="12" t="s">
        <v>186</v>
      </c>
      <c r="E292" s="12">
        <v>1</v>
      </c>
      <c r="F292" s="12">
        <v>0</v>
      </c>
      <c r="G292" s="12" t="s">
        <v>367</v>
      </c>
    </row>
    <row r="293" spans="1:7" ht="15" customHeight="1" x14ac:dyDescent="0.3">
      <c r="A293" s="12" t="s">
        <v>199</v>
      </c>
      <c r="B293" s="12" t="s">
        <v>181</v>
      </c>
      <c r="C293" s="12">
        <v>1</v>
      </c>
      <c r="D293" s="12" t="s">
        <v>186</v>
      </c>
      <c r="E293" s="12">
        <v>1</v>
      </c>
      <c r="F293" s="12">
        <v>0</v>
      </c>
      <c r="G293" s="12" t="s">
        <v>367</v>
      </c>
    </row>
    <row r="294" spans="1:7" ht="15" customHeight="1" x14ac:dyDescent="0.3">
      <c r="A294" s="12" t="s">
        <v>200</v>
      </c>
      <c r="B294" s="12" t="s">
        <v>31</v>
      </c>
      <c r="C294" s="12">
        <v>30</v>
      </c>
      <c r="D294" s="12" t="s">
        <v>56</v>
      </c>
      <c r="E294" s="12">
        <v>31</v>
      </c>
      <c r="F294" s="12">
        <v>1</v>
      </c>
      <c r="G294" s="12"/>
    </row>
    <row r="295" spans="1:7" ht="15" customHeight="1" x14ac:dyDescent="0.3">
      <c r="A295" s="12" t="s">
        <v>200</v>
      </c>
      <c r="B295" s="12" t="s">
        <v>31</v>
      </c>
      <c r="C295" s="12">
        <v>30</v>
      </c>
      <c r="D295" s="12" t="s">
        <v>81</v>
      </c>
      <c r="E295" s="12">
        <v>31</v>
      </c>
      <c r="F295" s="12">
        <v>1</v>
      </c>
      <c r="G295" s="12"/>
    </row>
    <row r="296" spans="1:7" ht="15" customHeight="1" x14ac:dyDescent="0.3">
      <c r="A296" s="12" t="s">
        <v>200</v>
      </c>
      <c r="B296" s="12" t="s">
        <v>31</v>
      </c>
      <c r="C296" s="12">
        <v>30</v>
      </c>
      <c r="D296" s="12" t="s">
        <v>91</v>
      </c>
      <c r="E296" s="12">
        <v>29</v>
      </c>
      <c r="F296" s="12">
        <v>1</v>
      </c>
      <c r="G296" s="12"/>
    </row>
    <row r="297" spans="1:7" ht="15" customHeight="1" x14ac:dyDescent="0.3">
      <c r="A297" s="12" t="s">
        <v>200</v>
      </c>
      <c r="B297" s="12" t="s">
        <v>31</v>
      </c>
      <c r="C297" s="12">
        <v>30</v>
      </c>
      <c r="D297" s="12" t="s">
        <v>96</v>
      </c>
      <c r="E297" s="12">
        <v>31</v>
      </c>
      <c r="F297" s="12">
        <v>1</v>
      </c>
      <c r="G297" s="12"/>
    </row>
    <row r="298" spans="1:7" ht="15" customHeight="1" x14ac:dyDescent="0.3">
      <c r="A298" s="12" t="s">
        <v>200</v>
      </c>
      <c r="B298" s="12" t="s">
        <v>41</v>
      </c>
      <c r="C298" s="12">
        <v>23</v>
      </c>
      <c r="D298" s="12" t="s">
        <v>46</v>
      </c>
      <c r="E298" s="12">
        <v>24</v>
      </c>
      <c r="F298" s="12">
        <v>1</v>
      </c>
      <c r="G298" s="12"/>
    </row>
    <row r="299" spans="1:7" ht="15" customHeight="1" x14ac:dyDescent="0.3">
      <c r="A299" s="12" t="s">
        <v>200</v>
      </c>
      <c r="B299" s="12" t="s">
        <v>41</v>
      </c>
      <c r="C299" s="12">
        <v>23</v>
      </c>
      <c r="D299" s="12" t="s">
        <v>101</v>
      </c>
      <c r="E299" s="12">
        <v>22</v>
      </c>
      <c r="F299" s="12">
        <v>1</v>
      </c>
      <c r="G299" s="12"/>
    </row>
    <row r="300" spans="1:7" ht="15" customHeight="1" x14ac:dyDescent="0.3">
      <c r="A300" s="12" t="s">
        <v>200</v>
      </c>
      <c r="B300" s="12" t="s">
        <v>41</v>
      </c>
      <c r="C300" s="12">
        <v>23</v>
      </c>
      <c r="D300" s="12" t="s">
        <v>116</v>
      </c>
      <c r="E300" s="12">
        <v>24</v>
      </c>
      <c r="F300" s="12">
        <v>1</v>
      </c>
      <c r="G300" s="12"/>
    </row>
    <row r="301" spans="1:7" ht="15" customHeight="1" x14ac:dyDescent="0.3">
      <c r="A301" s="12" t="s">
        <v>200</v>
      </c>
      <c r="B301" s="12" t="s">
        <v>46</v>
      </c>
      <c r="C301" s="12">
        <v>24</v>
      </c>
      <c r="D301" s="12" t="s">
        <v>116</v>
      </c>
      <c r="E301" s="12">
        <v>24</v>
      </c>
      <c r="F301" s="12">
        <v>0</v>
      </c>
      <c r="G301" s="12" t="s">
        <v>367</v>
      </c>
    </row>
    <row r="302" spans="1:7" ht="15" customHeight="1" x14ac:dyDescent="0.3">
      <c r="A302" s="12" t="s">
        <v>200</v>
      </c>
      <c r="B302" s="12" t="s">
        <v>51</v>
      </c>
      <c r="C302" s="12">
        <v>13</v>
      </c>
      <c r="D302" s="12" t="s">
        <v>136</v>
      </c>
      <c r="E302" s="12">
        <v>14</v>
      </c>
      <c r="F302" s="12">
        <v>1</v>
      </c>
      <c r="G302" s="12"/>
    </row>
    <row r="303" spans="1:7" ht="15" customHeight="1" x14ac:dyDescent="0.3">
      <c r="A303" s="12" t="s">
        <v>200</v>
      </c>
      <c r="B303" s="12" t="s">
        <v>51</v>
      </c>
      <c r="C303" s="12">
        <v>13</v>
      </c>
      <c r="D303" s="12" t="s">
        <v>156</v>
      </c>
      <c r="E303" s="12">
        <v>12</v>
      </c>
      <c r="F303" s="12">
        <v>1</v>
      </c>
      <c r="G303" s="12"/>
    </row>
    <row r="304" spans="1:7" ht="15" customHeight="1" x14ac:dyDescent="0.3">
      <c r="A304" s="12" t="s">
        <v>200</v>
      </c>
      <c r="B304" s="12" t="s">
        <v>56</v>
      </c>
      <c r="C304" s="12">
        <v>31</v>
      </c>
      <c r="D304" s="12" t="s">
        <v>81</v>
      </c>
      <c r="E304" s="12">
        <v>31</v>
      </c>
      <c r="F304" s="12">
        <v>0</v>
      </c>
      <c r="G304" s="12" t="s">
        <v>367</v>
      </c>
    </row>
    <row r="305" spans="1:7" ht="15" customHeight="1" x14ac:dyDescent="0.3">
      <c r="A305" s="12" t="s">
        <v>200</v>
      </c>
      <c r="B305" s="12" t="s">
        <v>56</v>
      </c>
      <c r="C305" s="12">
        <v>31</v>
      </c>
      <c r="D305" s="12" t="s">
        <v>96</v>
      </c>
      <c r="E305" s="12">
        <v>31</v>
      </c>
      <c r="F305" s="12">
        <v>0</v>
      </c>
      <c r="G305" s="12" t="s">
        <v>367</v>
      </c>
    </row>
    <row r="306" spans="1:7" ht="15" customHeight="1" x14ac:dyDescent="0.3">
      <c r="A306" s="12" t="s">
        <v>200</v>
      </c>
      <c r="B306" s="12" t="s">
        <v>61</v>
      </c>
      <c r="C306" s="12">
        <v>34</v>
      </c>
      <c r="D306" s="12" t="s">
        <v>71</v>
      </c>
      <c r="E306" s="12">
        <v>34</v>
      </c>
      <c r="F306" s="12">
        <v>0</v>
      </c>
      <c r="G306" s="12" t="s">
        <v>367</v>
      </c>
    </row>
    <row r="307" spans="1:7" ht="15" customHeight="1" x14ac:dyDescent="0.3">
      <c r="A307" s="12" t="s">
        <v>200</v>
      </c>
      <c r="B307" s="12" t="s">
        <v>76</v>
      </c>
      <c r="C307" s="12">
        <v>27</v>
      </c>
      <c r="D307" s="12" t="s">
        <v>106</v>
      </c>
      <c r="E307" s="12">
        <v>26</v>
      </c>
      <c r="F307" s="12">
        <v>1</v>
      </c>
      <c r="G307" s="12"/>
    </row>
    <row r="308" spans="1:7" ht="15" customHeight="1" x14ac:dyDescent="0.3">
      <c r="A308" s="12" t="s">
        <v>200</v>
      </c>
      <c r="B308" s="12" t="s">
        <v>76</v>
      </c>
      <c r="C308" s="12">
        <v>27</v>
      </c>
      <c r="D308" s="12" t="s">
        <v>111</v>
      </c>
      <c r="E308" s="12">
        <v>27</v>
      </c>
      <c r="F308" s="12">
        <v>0</v>
      </c>
      <c r="G308" s="12" t="s">
        <v>367</v>
      </c>
    </row>
    <row r="309" spans="1:7" ht="15" customHeight="1" x14ac:dyDescent="0.3">
      <c r="A309" s="12" t="s">
        <v>200</v>
      </c>
      <c r="B309" s="12" t="s">
        <v>76</v>
      </c>
      <c r="C309" s="12">
        <v>27</v>
      </c>
      <c r="D309" s="12" t="s">
        <v>161</v>
      </c>
      <c r="E309" s="12">
        <v>28</v>
      </c>
      <c r="F309" s="12">
        <v>1</v>
      </c>
      <c r="G309" s="12"/>
    </row>
    <row r="310" spans="1:7" ht="15" customHeight="1" x14ac:dyDescent="0.3">
      <c r="A310" s="12" t="s">
        <v>200</v>
      </c>
      <c r="B310" s="12" t="s">
        <v>81</v>
      </c>
      <c r="C310" s="12">
        <v>31</v>
      </c>
      <c r="D310" s="12" t="s">
        <v>96</v>
      </c>
      <c r="E310" s="12">
        <v>31</v>
      </c>
      <c r="F310" s="12">
        <v>0</v>
      </c>
      <c r="G310" s="12" t="s">
        <v>367</v>
      </c>
    </row>
    <row r="311" spans="1:7" ht="15" customHeight="1" x14ac:dyDescent="0.3">
      <c r="A311" s="12" t="s">
        <v>200</v>
      </c>
      <c r="B311" s="12" t="s">
        <v>91</v>
      </c>
      <c r="C311" s="12">
        <v>29</v>
      </c>
      <c r="D311" s="12" t="s">
        <v>161</v>
      </c>
      <c r="E311" s="12">
        <v>28</v>
      </c>
      <c r="F311" s="12">
        <v>1</v>
      </c>
      <c r="G311" s="12"/>
    </row>
    <row r="312" spans="1:7" ht="15" customHeight="1" x14ac:dyDescent="0.3">
      <c r="A312" s="12" t="s">
        <v>200</v>
      </c>
      <c r="B312" s="12" t="s">
        <v>101</v>
      </c>
      <c r="C312" s="12">
        <v>22</v>
      </c>
      <c r="D312" s="12" t="s">
        <v>121</v>
      </c>
      <c r="E312" s="12">
        <v>21</v>
      </c>
      <c r="F312" s="12">
        <v>1</v>
      </c>
      <c r="G312" s="12"/>
    </row>
    <row r="313" spans="1:7" ht="15" customHeight="1" x14ac:dyDescent="0.3">
      <c r="A313" s="12" t="s">
        <v>200</v>
      </c>
      <c r="B313" s="12" t="s">
        <v>106</v>
      </c>
      <c r="C313" s="12">
        <v>26</v>
      </c>
      <c r="D313" s="12" t="s">
        <v>111</v>
      </c>
      <c r="E313" s="12">
        <v>27</v>
      </c>
      <c r="F313" s="12">
        <v>1</v>
      </c>
      <c r="G313" s="12"/>
    </row>
    <row r="314" spans="1:7" ht="15" customHeight="1" x14ac:dyDescent="0.3">
      <c r="A314" s="12" t="s">
        <v>200</v>
      </c>
      <c r="B314" s="12" t="s">
        <v>111</v>
      </c>
      <c r="C314" s="12">
        <v>27</v>
      </c>
      <c r="D314" s="12" t="s">
        <v>161</v>
      </c>
      <c r="E314" s="12">
        <v>28</v>
      </c>
      <c r="F314" s="12">
        <v>1</v>
      </c>
      <c r="G314" s="12"/>
    </row>
    <row r="315" spans="1:7" ht="15" customHeight="1" x14ac:dyDescent="0.3">
      <c r="A315" s="12" t="s">
        <v>200</v>
      </c>
      <c r="B315" s="12" t="s">
        <v>121</v>
      </c>
      <c r="C315" s="12">
        <v>21</v>
      </c>
      <c r="D315" s="12" t="s">
        <v>126</v>
      </c>
      <c r="E315" s="12">
        <v>20</v>
      </c>
      <c r="F315" s="12">
        <v>1</v>
      </c>
      <c r="G315" s="12"/>
    </row>
    <row r="316" spans="1:7" ht="15" customHeight="1" x14ac:dyDescent="0.3">
      <c r="A316" s="12" t="s">
        <v>200</v>
      </c>
      <c r="B316" s="12" t="s">
        <v>121</v>
      </c>
      <c r="C316" s="12">
        <v>21</v>
      </c>
      <c r="D316" s="12" t="s">
        <v>181</v>
      </c>
      <c r="E316" s="12">
        <v>20</v>
      </c>
      <c r="F316" s="12">
        <v>1</v>
      </c>
      <c r="G316" s="12"/>
    </row>
    <row r="317" spans="1:7" ht="15" customHeight="1" x14ac:dyDescent="0.3">
      <c r="A317" s="12" t="s">
        <v>200</v>
      </c>
      <c r="B317" s="12" t="s">
        <v>126</v>
      </c>
      <c r="C317" s="12">
        <v>20</v>
      </c>
      <c r="D317" s="12" t="s">
        <v>146</v>
      </c>
      <c r="E317" s="12">
        <v>19</v>
      </c>
      <c r="F317" s="12">
        <v>1</v>
      </c>
      <c r="G317" s="12"/>
    </row>
    <row r="318" spans="1:7" ht="15" customHeight="1" x14ac:dyDescent="0.3">
      <c r="A318" s="12" t="s">
        <v>200</v>
      </c>
      <c r="B318" s="12" t="s">
        <v>126</v>
      </c>
      <c r="C318" s="12">
        <v>20</v>
      </c>
      <c r="D318" s="12" t="s">
        <v>151</v>
      </c>
      <c r="E318" s="12">
        <v>19</v>
      </c>
      <c r="F318" s="12">
        <v>1</v>
      </c>
      <c r="G318" s="12"/>
    </row>
    <row r="319" spans="1:7" ht="15" customHeight="1" x14ac:dyDescent="0.3">
      <c r="A319" s="12" t="s">
        <v>200</v>
      </c>
      <c r="B319" s="12" t="s">
        <v>126</v>
      </c>
      <c r="C319" s="12">
        <v>20</v>
      </c>
      <c r="D319" s="12" t="s">
        <v>176</v>
      </c>
      <c r="E319" s="12">
        <v>19</v>
      </c>
      <c r="F319" s="12">
        <v>1</v>
      </c>
      <c r="G319" s="12"/>
    </row>
    <row r="320" spans="1:7" ht="15" customHeight="1" x14ac:dyDescent="0.3">
      <c r="A320" s="12" t="s">
        <v>200</v>
      </c>
      <c r="B320" s="12" t="s">
        <v>126</v>
      </c>
      <c r="C320" s="12">
        <v>20</v>
      </c>
      <c r="D320" s="12" t="s">
        <v>181</v>
      </c>
      <c r="E320" s="12">
        <v>20</v>
      </c>
      <c r="F320" s="12">
        <v>0</v>
      </c>
      <c r="G320" s="12" t="s">
        <v>367</v>
      </c>
    </row>
    <row r="321" spans="1:7" ht="15" customHeight="1" x14ac:dyDescent="0.3">
      <c r="A321" s="12" t="s">
        <v>200</v>
      </c>
      <c r="B321" s="12" t="s">
        <v>131</v>
      </c>
      <c r="C321" s="12">
        <v>15</v>
      </c>
      <c r="D321" s="12" t="s">
        <v>136</v>
      </c>
      <c r="E321" s="12">
        <v>14</v>
      </c>
      <c r="F321" s="12">
        <v>1</v>
      </c>
      <c r="G321" s="12"/>
    </row>
    <row r="322" spans="1:7" ht="15" customHeight="1" x14ac:dyDescent="0.3">
      <c r="A322" s="12" t="s">
        <v>200</v>
      </c>
      <c r="B322" s="12" t="s">
        <v>141</v>
      </c>
      <c r="C322" s="12">
        <v>18</v>
      </c>
      <c r="D322" s="12" t="s">
        <v>146</v>
      </c>
      <c r="E322" s="12">
        <v>19</v>
      </c>
      <c r="F322" s="12">
        <v>1</v>
      </c>
      <c r="G322" s="12"/>
    </row>
    <row r="323" spans="1:7" ht="15" customHeight="1" x14ac:dyDescent="0.3">
      <c r="A323" s="12" t="s">
        <v>200</v>
      </c>
      <c r="B323" s="12" t="s">
        <v>141</v>
      </c>
      <c r="C323" s="12">
        <v>18</v>
      </c>
      <c r="D323" s="12" t="s">
        <v>151</v>
      </c>
      <c r="E323" s="12">
        <v>19</v>
      </c>
      <c r="F323" s="12">
        <v>1</v>
      </c>
      <c r="G323" s="12"/>
    </row>
    <row r="324" spans="1:7" ht="15" customHeight="1" x14ac:dyDescent="0.3">
      <c r="A324" s="12" t="s">
        <v>200</v>
      </c>
      <c r="B324" s="12" t="s">
        <v>141</v>
      </c>
      <c r="C324" s="12">
        <v>18</v>
      </c>
      <c r="D324" s="12" t="s">
        <v>166</v>
      </c>
      <c r="E324" s="12">
        <v>17</v>
      </c>
      <c r="F324" s="12">
        <v>1</v>
      </c>
      <c r="G324" s="12"/>
    </row>
    <row r="325" spans="1:7" ht="15" customHeight="1" x14ac:dyDescent="0.3">
      <c r="A325" s="12" t="s">
        <v>200</v>
      </c>
      <c r="B325" s="12" t="s">
        <v>141</v>
      </c>
      <c r="C325" s="12">
        <v>18</v>
      </c>
      <c r="D325" s="12" t="s">
        <v>171</v>
      </c>
      <c r="E325" s="12">
        <v>17</v>
      </c>
      <c r="F325" s="12">
        <v>1</v>
      </c>
      <c r="G325" s="12"/>
    </row>
    <row r="326" spans="1:7" ht="15" customHeight="1" x14ac:dyDescent="0.3">
      <c r="A326" s="12" t="s">
        <v>200</v>
      </c>
      <c r="B326" s="12" t="s">
        <v>141</v>
      </c>
      <c r="C326" s="12">
        <v>18</v>
      </c>
      <c r="D326" s="12" t="s">
        <v>176</v>
      </c>
      <c r="E326" s="12">
        <v>19</v>
      </c>
      <c r="F326" s="12">
        <v>1</v>
      </c>
      <c r="G326" s="12"/>
    </row>
    <row r="327" spans="1:7" ht="15" customHeight="1" x14ac:dyDescent="0.3">
      <c r="A327" s="12" t="s">
        <v>200</v>
      </c>
      <c r="B327" s="12" t="s">
        <v>146</v>
      </c>
      <c r="C327" s="12">
        <v>19</v>
      </c>
      <c r="D327" s="12" t="s">
        <v>151</v>
      </c>
      <c r="E327" s="12">
        <v>19</v>
      </c>
      <c r="F327" s="12">
        <v>0</v>
      </c>
      <c r="G327" s="12" t="s">
        <v>367</v>
      </c>
    </row>
    <row r="328" spans="1:7" ht="15" customHeight="1" x14ac:dyDescent="0.3">
      <c r="A328" s="12" t="s">
        <v>200</v>
      </c>
      <c r="B328" s="12" t="s">
        <v>146</v>
      </c>
      <c r="C328" s="12">
        <v>19</v>
      </c>
      <c r="D328" s="12" t="s">
        <v>176</v>
      </c>
      <c r="E328" s="12">
        <v>19</v>
      </c>
      <c r="F328" s="12">
        <v>0</v>
      </c>
      <c r="G328" s="12" t="s">
        <v>367</v>
      </c>
    </row>
    <row r="329" spans="1:7" ht="15" customHeight="1" x14ac:dyDescent="0.3">
      <c r="A329" s="12" t="s">
        <v>200</v>
      </c>
      <c r="B329" s="12" t="s">
        <v>146</v>
      </c>
      <c r="C329" s="12">
        <v>19</v>
      </c>
      <c r="D329" s="12" t="s">
        <v>181</v>
      </c>
      <c r="E329" s="12">
        <v>20</v>
      </c>
      <c r="F329" s="12">
        <v>1</v>
      </c>
      <c r="G329" s="12"/>
    </row>
    <row r="330" spans="1:7" ht="15" customHeight="1" x14ac:dyDescent="0.3">
      <c r="A330" s="12" t="s">
        <v>200</v>
      </c>
      <c r="B330" s="12" t="s">
        <v>151</v>
      </c>
      <c r="C330" s="12">
        <v>19</v>
      </c>
      <c r="D330" s="12" t="s">
        <v>176</v>
      </c>
      <c r="E330" s="12">
        <v>19</v>
      </c>
      <c r="F330" s="12">
        <v>0</v>
      </c>
      <c r="G330" s="12" t="s">
        <v>367</v>
      </c>
    </row>
    <row r="331" spans="1:7" ht="15" customHeight="1" x14ac:dyDescent="0.3">
      <c r="A331" s="12" t="s">
        <v>200</v>
      </c>
      <c r="B331" s="12" t="s">
        <v>151</v>
      </c>
      <c r="C331" s="12">
        <v>19</v>
      </c>
      <c r="D331" s="12" t="s">
        <v>181</v>
      </c>
      <c r="E331" s="12">
        <v>20</v>
      </c>
      <c r="F331" s="12">
        <v>1</v>
      </c>
      <c r="G331" s="12"/>
    </row>
    <row r="332" spans="1:7" ht="15" customHeight="1" x14ac:dyDescent="0.3">
      <c r="A332" s="12" t="s">
        <v>200</v>
      </c>
      <c r="B332" s="12" t="s">
        <v>166</v>
      </c>
      <c r="C332" s="12">
        <v>17</v>
      </c>
      <c r="D332" s="12" t="s">
        <v>171</v>
      </c>
      <c r="E332" s="12">
        <v>17</v>
      </c>
      <c r="F332" s="12">
        <v>0</v>
      </c>
      <c r="G332" s="12" t="s">
        <v>367</v>
      </c>
    </row>
    <row r="333" spans="1:7" ht="15" customHeight="1" x14ac:dyDescent="0.3">
      <c r="A333" s="12" t="s">
        <v>200</v>
      </c>
      <c r="B333" s="12" t="s">
        <v>176</v>
      </c>
      <c r="C333" s="12">
        <v>19</v>
      </c>
      <c r="D333" s="12" t="s">
        <v>181</v>
      </c>
      <c r="E333" s="12">
        <v>20</v>
      </c>
      <c r="F333" s="12">
        <v>1</v>
      </c>
      <c r="G333" s="12"/>
    </row>
    <row r="334" spans="1:7" ht="15" customHeight="1" x14ac:dyDescent="0.3">
      <c r="A334" s="12" t="s">
        <v>201</v>
      </c>
      <c r="B334" s="12" t="s">
        <v>31</v>
      </c>
      <c r="C334" s="12">
        <v>7</v>
      </c>
      <c r="D334" s="12" t="s">
        <v>111</v>
      </c>
      <c r="E334" s="12">
        <v>7</v>
      </c>
      <c r="F334" s="12">
        <v>0</v>
      </c>
      <c r="G334" s="12" t="s">
        <v>367</v>
      </c>
    </row>
    <row r="335" spans="1:7" ht="15" customHeight="1" x14ac:dyDescent="0.3">
      <c r="A335" s="12" t="s">
        <v>201</v>
      </c>
      <c r="B335" s="12" t="s">
        <v>41</v>
      </c>
      <c r="C335" s="12">
        <v>3</v>
      </c>
      <c r="D335" s="12" t="s">
        <v>46</v>
      </c>
      <c r="E335" s="12">
        <v>3</v>
      </c>
      <c r="F335" s="12">
        <v>0</v>
      </c>
      <c r="G335" s="12" t="s">
        <v>367</v>
      </c>
    </row>
    <row r="336" spans="1:7" ht="15" customHeight="1" x14ac:dyDescent="0.3">
      <c r="A336" s="12" t="s">
        <v>201</v>
      </c>
      <c r="B336" s="12" t="s">
        <v>41</v>
      </c>
      <c r="C336" s="12">
        <v>3</v>
      </c>
      <c r="D336" s="12" t="s">
        <v>151</v>
      </c>
      <c r="E336" s="12">
        <v>3</v>
      </c>
      <c r="F336" s="12">
        <v>0</v>
      </c>
      <c r="G336" s="12" t="s">
        <v>367</v>
      </c>
    </row>
    <row r="337" spans="1:7" ht="15" customHeight="1" x14ac:dyDescent="0.3">
      <c r="A337" s="12" t="s">
        <v>201</v>
      </c>
      <c r="B337" s="12" t="s">
        <v>46</v>
      </c>
      <c r="C337" s="12">
        <v>3</v>
      </c>
      <c r="D337" s="12" t="s">
        <v>151</v>
      </c>
      <c r="E337" s="12">
        <v>3</v>
      </c>
      <c r="F337" s="12">
        <v>0</v>
      </c>
      <c r="G337" s="12" t="s">
        <v>367</v>
      </c>
    </row>
    <row r="338" spans="1:7" ht="15" customHeight="1" x14ac:dyDescent="0.3">
      <c r="A338" s="12" t="s">
        <v>201</v>
      </c>
      <c r="B338" s="12" t="s">
        <v>51</v>
      </c>
      <c r="C338" s="12">
        <v>1</v>
      </c>
      <c r="D338" s="12" t="s">
        <v>71</v>
      </c>
      <c r="E338" s="12">
        <v>1</v>
      </c>
      <c r="F338" s="12">
        <v>0</v>
      </c>
      <c r="G338" s="12" t="s">
        <v>367</v>
      </c>
    </row>
    <row r="339" spans="1:7" ht="15" customHeight="1" x14ac:dyDescent="0.3">
      <c r="A339" s="12" t="s">
        <v>201</v>
      </c>
      <c r="B339" s="12" t="s">
        <v>51</v>
      </c>
      <c r="C339" s="12">
        <v>1</v>
      </c>
      <c r="D339" s="12" t="s">
        <v>81</v>
      </c>
      <c r="E339" s="12">
        <v>1</v>
      </c>
      <c r="F339" s="12">
        <v>0</v>
      </c>
      <c r="G339" s="12" t="s">
        <v>367</v>
      </c>
    </row>
    <row r="340" spans="1:7" ht="15" customHeight="1" x14ac:dyDescent="0.3">
      <c r="A340" s="12" t="s">
        <v>201</v>
      </c>
      <c r="B340" s="12" t="s">
        <v>51</v>
      </c>
      <c r="C340" s="12">
        <v>1</v>
      </c>
      <c r="D340" s="12" t="s">
        <v>91</v>
      </c>
      <c r="E340" s="12">
        <v>1</v>
      </c>
      <c r="F340" s="12">
        <v>0</v>
      </c>
      <c r="G340" s="12" t="s">
        <v>367</v>
      </c>
    </row>
    <row r="341" spans="1:7" ht="15" customHeight="1" x14ac:dyDescent="0.3">
      <c r="A341" s="12" t="s">
        <v>201</v>
      </c>
      <c r="B341" s="12" t="s">
        <v>51</v>
      </c>
      <c r="C341" s="12">
        <v>1</v>
      </c>
      <c r="D341" s="12" t="s">
        <v>96</v>
      </c>
      <c r="E341" s="12">
        <v>1</v>
      </c>
      <c r="F341" s="12">
        <v>0</v>
      </c>
      <c r="G341" s="12" t="s">
        <v>367</v>
      </c>
    </row>
    <row r="342" spans="1:7" ht="15" customHeight="1" x14ac:dyDescent="0.3">
      <c r="A342" s="12" t="s">
        <v>201</v>
      </c>
      <c r="B342" s="12" t="s">
        <v>51</v>
      </c>
      <c r="C342" s="12">
        <v>1</v>
      </c>
      <c r="D342" s="12" t="s">
        <v>101</v>
      </c>
      <c r="E342" s="12">
        <v>1</v>
      </c>
      <c r="F342" s="12">
        <v>0</v>
      </c>
      <c r="G342" s="12" t="s">
        <v>367</v>
      </c>
    </row>
    <row r="343" spans="1:7" ht="15" customHeight="1" x14ac:dyDescent="0.3">
      <c r="A343" s="12" t="s">
        <v>201</v>
      </c>
      <c r="B343" s="12" t="s">
        <v>51</v>
      </c>
      <c r="C343" s="12">
        <v>1</v>
      </c>
      <c r="D343" s="12" t="s">
        <v>126</v>
      </c>
      <c r="E343" s="12">
        <v>1</v>
      </c>
      <c r="F343" s="12">
        <v>0</v>
      </c>
      <c r="G343" s="12" t="s">
        <v>367</v>
      </c>
    </row>
    <row r="344" spans="1:7" ht="15" customHeight="1" x14ac:dyDescent="0.3">
      <c r="A344" s="12" t="s">
        <v>201</v>
      </c>
      <c r="B344" s="12" t="s">
        <v>51</v>
      </c>
      <c r="C344" s="12">
        <v>1</v>
      </c>
      <c r="D344" s="12" t="s">
        <v>131</v>
      </c>
      <c r="E344" s="12">
        <v>1</v>
      </c>
      <c r="F344" s="12">
        <v>0</v>
      </c>
      <c r="G344" s="12" t="s">
        <v>367</v>
      </c>
    </row>
    <row r="345" spans="1:7" ht="15" customHeight="1" x14ac:dyDescent="0.3">
      <c r="A345" s="12" t="s">
        <v>201</v>
      </c>
      <c r="B345" s="12" t="s">
        <v>51</v>
      </c>
      <c r="C345" s="12">
        <v>1</v>
      </c>
      <c r="D345" s="12" t="s">
        <v>136</v>
      </c>
      <c r="E345" s="12">
        <v>1</v>
      </c>
      <c r="F345" s="12">
        <v>0</v>
      </c>
      <c r="G345" s="12" t="s">
        <v>367</v>
      </c>
    </row>
    <row r="346" spans="1:7" ht="15" customHeight="1" x14ac:dyDescent="0.3">
      <c r="A346" s="12" t="s">
        <v>201</v>
      </c>
      <c r="B346" s="12" t="s">
        <v>51</v>
      </c>
      <c r="C346" s="12">
        <v>1</v>
      </c>
      <c r="D346" s="12" t="s">
        <v>161</v>
      </c>
      <c r="E346" s="12">
        <v>1</v>
      </c>
      <c r="F346" s="12">
        <v>0</v>
      </c>
      <c r="G346" s="12" t="s">
        <v>367</v>
      </c>
    </row>
    <row r="347" spans="1:7" ht="15" customHeight="1" x14ac:dyDescent="0.3">
      <c r="A347" s="12" t="s">
        <v>201</v>
      </c>
      <c r="B347" s="12" t="s">
        <v>51</v>
      </c>
      <c r="C347" s="12">
        <v>1</v>
      </c>
      <c r="D347" s="12" t="s">
        <v>166</v>
      </c>
      <c r="E347" s="12">
        <v>1</v>
      </c>
      <c r="F347" s="12">
        <v>0</v>
      </c>
      <c r="G347" s="12" t="s">
        <v>367</v>
      </c>
    </row>
    <row r="348" spans="1:7" ht="15" customHeight="1" x14ac:dyDescent="0.3">
      <c r="A348" s="12" t="s">
        <v>201</v>
      </c>
      <c r="B348" s="12" t="s">
        <v>51</v>
      </c>
      <c r="C348" s="12">
        <v>1</v>
      </c>
      <c r="D348" s="12" t="s">
        <v>181</v>
      </c>
      <c r="E348" s="12">
        <v>1</v>
      </c>
      <c r="F348" s="12">
        <v>0</v>
      </c>
      <c r="G348" s="12" t="s">
        <v>367</v>
      </c>
    </row>
    <row r="349" spans="1:7" ht="15" customHeight="1" x14ac:dyDescent="0.3">
      <c r="A349" s="12" t="s">
        <v>201</v>
      </c>
      <c r="B349" s="12" t="s">
        <v>56</v>
      </c>
      <c r="C349" s="12">
        <v>5</v>
      </c>
      <c r="D349" s="12" t="s">
        <v>86</v>
      </c>
      <c r="E349" s="12">
        <v>5</v>
      </c>
      <c r="F349" s="12">
        <v>0</v>
      </c>
      <c r="G349" s="12" t="s">
        <v>367</v>
      </c>
    </row>
    <row r="350" spans="1:7" ht="15" customHeight="1" x14ac:dyDescent="0.3">
      <c r="A350" s="12" t="s">
        <v>201</v>
      </c>
      <c r="B350" s="12" t="s">
        <v>61</v>
      </c>
      <c r="C350" s="12">
        <v>2</v>
      </c>
      <c r="D350" s="12" t="s">
        <v>121</v>
      </c>
      <c r="E350" s="12">
        <v>2</v>
      </c>
      <c r="F350" s="12">
        <v>0</v>
      </c>
      <c r="G350" s="12" t="s">
        <v>367</v>
      </c>
    </row>
    <row r="351" spans="1:7" ht="15" customHeight="1" x14ac:dyDescent="0.3">
      <c r="A351" s="12" t="s">
        <v>201</v>
      </c>
      <c r="B351" s="12" t="s">
        <v>61</v>
      </c>
      <c r="C351" s="12">
        <v>2</v>
      </c>
      <c r="D351" s="12" t="s">
        <v>186</v>
      </c>
      <c r="E351" s="12">
        <v>2</v>
      </c>
      <c r="F351" s="12">
        <v>0</v>
      </c>
      <c r="G351" s="12" t="s">
        <v>367</v>
      </c>
    </row>
    <row r="352" spans="1:7" ht="15" customHeight="1" x14ac:dyDescent="0.3">
      <c r="A352" s="12" t="s">
        <v>201</v>
      </c>
      <c r="B352" s="12" t="s">
        <v>66</v>
      </c>
      <c r="C352" s="12">
        <v>0</v>
      </c>
      <c r="D352" s="12" t="s">
        <v>76</v>
      </c>
      <c r="E352" s="12">
        <v>0</v>
      </c>
      <c r="F352" s="12">
        <v>0</v>
      </c>
      <c r="G352" s="12" t="s">
        <v>367</v>
      </c>
    </row>
    <row r="353" spans="1:7" ht="15" customHeight="1" x14ac:dyDescent="0.3">
      <c r="A353" s="12" t="s">
        <v>201</v>
      </c>
      <c r="B353" s="12" t="s">
        <v>66</v>
      </c>
      <c r="C353" s="12">
        <v>0</v>
      </c>
      <c r="D353" s="12" t="s">
        <v>106</v>
      </c>
      <c r="E353" s="12">
        <v>0</v>
      </c>
      <c r="F353" s="12">
        <v>0</v>
      </c>
      <c r="G353" s="12" t="s">
        <v>367</v>
      </c>
    </row>
    <row r="354" spans="1:7" ht="15" customHeight="1" x14ac:dyDescent="0.3">
      <c r="A354" s="12" t="s">
        <v>201</v>
      </c>
      <c r="B354" s="12" t="s">
        <v>66</v>
      </c>
      <c r="C354" s="12">
        <v>0</v>
      </c>
      <c r="D354" s="12" t="s">
        <v>116</v>
      </c>
      <c r="E354" s="12">
        <v>0</v>
      </c>
      <c r="F354" s="12">
        <v>0</v>
      </c>
      <c r="G354" s="12" t="s">
        <v>367</v>
      </c>
    </row>
    <row r="355" spans="1:7" ht="15" customHeight="1" x14ac:dyDescent="0.3">
      <c r="A355" s="12" t="s">
        <v>201</v>
      </c>
      <c r="B355" s="12" t="s">
        <v>66</v>
      </c>
      <c r="C355" s="12">
        <v>0</v>
      </c>
      <c r="D355" s="12" t="s">
        <v>141</v>
      </c>
      <c r="E355" s="12">
        <v>0</v>
      </c>
      <c r="F355" s="12">
        <v>0</v>
      </c>
      <c r="G355" s="12" t="s">
        <v>367</v>
      </c>
    </row>
    <row r="356" spans="1:7" ht="15" customHeight="1" x14ac:dyDescent="0.3">
      <c r="A356" s="12" t="s">
        <v>201</v>
      </c>
      <c r="B356" s="12" t="s">
        <v>66</v>
      </c>
      <c r="C356" s="12">
        <v>0</v>
      </c>
      <c r="D356" s="12" t="s">
        <v>146</v>
      </c>
      <c r="E356" s="12">
        <v>0</v>
      </c>
      <c r="F356" s="12">
        <v>0</v>
      </c>
      <c r="G356" s="12" t="s">
        <v>367</v>
      </c>
    </row>
    <row r="357" spans="1:7" ht="15" customHeight="1" x14ac:dyDescent="0.3">
      <c r="A357" s="12" t="s">
        <v>201</v>
      </c>
      <c r="B357" s="12" t="s">
        <v>66</v>
      </c>
      <c r="C357" s="12">
        <v>0</v>
      </c>
      <c r="D357" s="12" t="s">
        <v>156</v>
      </c>
      <c r="E357" s="12">
        <v>0</v>
      </c>
      <c r="F357" s="12">
        <v>0</v>
      </c>
      <c r="G357" s="12" t="s">
        <v>367</v>
      </c>
    </row>
    <row r="358" spans="1:7" ht="15" customHeight="1" x14ac:dyDescent="0.3">
      <c r="A358" s="12" t="s">
        <v>201</v>
      </c>
      <c r="B358" s="12" t="s">
        <v>66</v>
      </c>
      <c r="C358" s="12">
        <v>0</v>
      </c>
      <c r="D358" s="12" t="s">
        <v>171</v>
      </c>
      <c r="E358" s="12">
        <v>0</v>
      </c>
      <c r="F358" s="12">
        <v>0</v>
      </c>
      <c r="G358" s="12" t="s">
        <v>367</v>
      </c>
    </row>
    <row r="359" spans="1:7" ht="15" customHeight="1" x14ac:dyDescent="0.3">
      <c r="A359" s="12" t="s">
        <v>201</v>
      </c>
      <c r="B359" s="12" t="s">
        <v>66</v>
      </c>
      <c r="C359" s="12">
        <v>0</v>
      </c>
      <c r="D359" s="12" t="s">
        <v>176</v>
      </c>
      <c r="E359" s="12">
        <v>0</v>
      </c>
      <c r="F359" s="12">
        <v>0</v>
      </c>
      <c r="G359" s="12" t="s">
        <v>367</v>
      </c>
    </row>
    <row r="360" spans="1:7" ht="15" customHeight="1" x14ac:dyDescent="0.3">
      <c r="A360" s="12" t="s">
        <v>201</v>
      </c>
      <c r="B360" s="12" t="s">
        <v>71</v>
      </c>
      <c r="C360" s="12">
        <v>1</v>
      </c>
      <c r="D360" s="12" t="s">
        <v>81</v>
      </c>
      <c r="E360" s="12">
        <v>1</v>
      </c>
      <c r="F360" s="12">
        <v>0</v>
      </c>
      <c r="G360" s="12" t="s">
        <v>367</v>
      </c>
    </row>
    <row r="361" spans="1:7" ht="15" customHeight="1" x14ac:dyDescent="0.3">
      <c r="A361" s="12" t="s">
        <v>201</v>
      </c>
      <c r="B361" s="12" t="s">
        <v>71</v>
      </c>
      <c r="C361" s="12">
        <v>1</v>
      </c>
      <c r="D361" s="12" t="s">
        <v>91</v>
      </c>
      <c r="E361" s="12">
        <v>1</v>
      </c>
      <c r="F361" s="12">
        <v>0</v>
      </c>
      <c r="G361" s="12" t="s">
        <v>367</v>
      </c>
    </row>
    <row r="362" spans="1:7" ht="15" customHeight="1" x14ac:dyDescent="0.3">
      <c r="A362" s="12" t="s">
        <v>201</v>
      </c>
      <c r="B362" s="12" t="s">
        <v>71</v>
      </c>
      <c r="C362" s="12">
        <v>1</v>
      </c>
      <c r="D362" s="12" t="s">
        <v>96</v>
      </c>
      <c r="E362" s="12">
        <v>1</v>
      </c>
      <c r="F362" s="12">
        <v>0</v>
      </c>
      <c r="G362" s="12" t="s">
        <v>367</v>
      </c>
    </row>
    <row r="363" spans="1:7" ht="15" customHeight="1" x14ac:dyDescent="0.3">
      <c r="A363" s="12" t="s">
        <v>201</v>
      </c>
      <c r="B363" s="12" t="s">
        <v>71</v>
      </c>
      <c r="C363" s="12">
        <v>1</v>
      </c>
      <c r="D363" s="12" t="s">
        <v>101</v>
      </c>
      <c r="E363" s="12">
        <v>1</v>
      </c>
      <c r="F363" s="12">
        <v>0</v>
      </c>
      <c r="G363" s="12" t="s">
        <v>367</v>
      </c>
    </row>
    <row r="364" spans="1:7" ht="15" customHeight="1" x14ac:dyDescent="0.3">
      <c r="A364" s="12" t="s">
        <v>201</v>
      </c>
      <c r="B364" s="12" t="s">
        <v>71</v>
      </c>
      <c r="C364" s="12">
        <v>1</v>
      </c>
      <c r="D364" s="12" t="s">
        <v>126</v>
      </c>
      <c r="E364" s="12">
        <v>1</v>
      </c>
      <c r="F364" s="12">
        <v>0</v>
      </c>
      <c r="G364" s="12" t="s">
        <v>367</v>
      </c>
    </row>
    <row r="365" spans="1:7" ht="15" customHeight="1" x14ac:dyDescent="0.3">
      <c r="A365" s="12" t="s">
        <v>201</v>
      </c>
      <c r="B365" s="12" t="s">
        <v>71</v>
      </c>
      <c r="C365" s="12">
        <v>1</v>
      </c>
      <c r="D365" s="12" t="s">
        <v>131</v>
      </c>
      <c r="E365" s="12">
        <v>1</v>
      </c>
      <c r="F365" s="12">
        <v>0</v>
      </c>
      <c r="G365" s="12" t="s">
        <v>367</v>
      </c>
    </row>
    <row r="366" spans="1:7" ht="15" customHeight="1" x14ac:dyDescent="0.3">
      <c r="A366" s="12" t="s">
        <v>201</v>
      </c>
      <c r="B366" s="12" t="s">
        <v>71</v>
      </c>
      <c r="C366" s="12">
        <v>1</v>
      </c>
      <c r="D366" s="12" t="s">
        <v>136</v>
      </c>
      <c r="E366" s="12">
        <v>1</v>
      </c>
      <c r="F366" s="12">
        <v>0</v>
      </c>
      <c r="G366" s="12" t="s">
        <v>367</v>
      </c>
    </row>
    <row r="367" spans="1:7" ht="15" customHeight="1" x14ac:dyDescent="0.3">
      <c r="A367" s="12" t="s">
        <v>201</v>
      </c>
      <c r="B367" s="12" t="s">
        <v>71</v>
      </c>
      <c r="C367" s="12">
        <v>1</v>
      </c>
      <c r="D367" s="12" t="s">
        <v>161</v>
      </c>
      <c r="E367" s="12">
        <v>1</v>
      </c>
      <c r="F367" s="12">
        <v>0</v>
      </c>
      <c r="G367" s="12" t="s">
        <v>367</v>
      </c>
    </row>
    <row r="368" spans="1:7" ht="15" customHeight="1" x14ac:dyDescent="0.3">
      <c r="A368" s="12" t="s">
        <v>201</v>
      </c>
      <c r="B368" s="12" t="s">
        <v>71</v>
      </c>
      <c r="C368" s="12">
        <v>1</v>
      </c>
      <c r="D368" s="12" t="s">
        <v>166</v>
      </c>
      <c r="E368" s="12">
        <v>1</v>
      </c>
      <c r="F368" s="12">
        <v>0</v>
      </c>
      <c r="G368" s="12" t="s">
        <v>367</v>
      </c>
    </row>
    <row r="369" spans="1:7" ht="15" customHeight="1" x14ac:dyDescent="0.3">
      <c r="A369" s="12" t="s">
        <v>201</v>
      </c>
      <c r="B369" s="12" t="s">
        <v>71</v>
      </c>
      <c r="C369" s="12">
        <v>1</v>
      </c>
      <c r="D369" s="12" t="s">
        <v>181</v>
      </c>
      <c r="E369" s="12">
        <v>1</v>
      </c>
      <c r="F369" s="12">
        <v>0</v>
      </c>
      <c r="G369" s="12" t="s">
        <v>367</v>
      </c>
    </row>
    <row r="370" spans="1:7" ht="15" customHeight="1" x14ac:dyDescent="0.3">
      <c r="A370" s="12" t="s">
        <v>201</v>
      </c>
      <c r="B370" s="12" t="s">
        <v>76</v>
      </c>
      <c r="C370" s="12">
        <v>0</v>
      </c>
      <c r="D370" s="12" t="s">
        <v>106</v>
      </c>
      <c r="E370" s="12">
        <v>0</v>
      </c>
      <c r="F370" s="12">
        <v>0</v>
      </c>
      <c r="G370" s="12" t="s">
        <v>367</v>
      </c>
    </row>
    <row r="371" spans="1:7" ht="15" customHeight="1" x14ac:dyDescent="0.3">
      <c r="A371" s="12" t="s">
        <v>201</v>
      </c>
      <c r="B371" s="12" t="s">
        <v>76</v>
      </c>
      <c r="C371" s="12">
        <v>0</v>
      </c>
      <c r="D371" s="12" t="s">
        <v>116</v>
      </c>
      <c r="E371" s="12">
        <v>0</v>
      </c>
      <c r="F371" s="12">
        <v>0</v>
      </c>
      <c r="G371" s="12" t="s">
        <v>367</v>
      </c>
    </row>
    <row r="372" spans="1:7" ht="15" customHeight="1" x14ac:dyDescent="0.3">
      <c r="A372" s="12" t="s">
        <v>201</v>
      </c>
      <c r="B372" s="12" t="s">
        <v>76</v>
      </c>
      <c r="C372" s="12">
        <v>0</v>
      </c>
      <c r="D372" s="12" t="s">
        <v>141</v>
      </c>
      <c r="E372" s="12">
        <v>0</v>
      </c>
      <c r="F372" s="12">
        <v>0</v>
      </c>
      <c r="G372" s="12" t="s">
        <v>367</v>
      </c>
    </row>
    <row r="373" spans="1:7" ht="15" customHeight="1" x14ac:dyDescent="0.3">
      <c r="A373" s="12" t="s">
        <v>201</v>
      </c>
      <c r="B373" s="12" t="s">
        <v>76</v>
      </c>
      <c r="C373" s="12">
        <v>0</v>
      </c>
      <c r="D373" s="12" t="s">
        <v>146</v>
      </c>
      <c r="E373" s="12">
        <v>0</v>
      </c>
      <c r="F373" s="12">
        <v>0</v>
      </c>
      <c r="G373" s="12" t="s">
        <v>367</v>
      </c>
    </row>
    <row r="374" spans="1:7" ht="15" customHeight="1" x14ac:dyDescent="0.3">
      <c r="A374" s="12" t="s">
        <v>201</v>
      </c>
      <c r="B374" s="12" t="s">
        <v>76</v>
      </c>
      <c r="C374" s="12">
        <v>0</v>
      </c>
      <c r="D374" s="12" t="s">
        <v>156</v>
      </c>
      <c r="E374" s="12">
        <v>0</v>
      </c>
      <c r="F374" s="12">
        <v>0</v>
      </c>
      <c r="G374" s="12" t="s">
        <v>367</v>
      </c>
    </row>
    <row r="375" spans="1:7" ht="15" customHeight="1" x14ac:dyDescent="0.3">
      <c r="A375" s="12" t="s">
        <v>201</v>
      </c>
      <c r="B375" s="12" t="s">
        <v>76</v>
      </c>
      <c r="C375" s="12">
        <v>0</v>
      </c>
      <c r="D375" s="12" t="s">
        <v>171</v>
      </c>
      <c r="E375" s="12">
        <v>0</v>
      </c>
      <c r="F375" s="12">
        <v>0</v>
      </c>
      <c r="G375" s="12" t="s">
        <v>367</v>
      </c>
    </row>
    <row r="376" spans="1:7" ht="15" customHeight="1" x14ac:dyDescent="0.3">
      <c r="A376" s="12" t="s">
        <v>201</v>
      </c>
      <c r="B376" s="12" t="s">
        <v>76</v>
      </c>
      <c r="C376" s="12">
        <v>0</v>
      </c>
      <c r="D376" s="12" t="s">
        <v>176</v>
      </c>
      <c r="E376" s="12">
        <v>0</v>
      </c>
      <c r="F376" s="12">
        <v>0</v>
      </c>
      <c r="G376" s="12" t="s">
        <v>367</v>
      </c>
    </row>
    <row r="377" spans="1:7" ht="15" customHeight="1" x14ac:dyDescent="0.3">
      <c r="A377" s="12" t="s">
        <v>201</v>
      </c>
      <c r="B377" s="12" t="s">
        <v>81</v>
      </c>
      <c r="C377" s="12">
        <v>1</v>
      </c>
      <c r="D377" s="12" t="s">
        <v>91</v>
      </c>
      <c r="E377" s="12">
        <v>1</v>
      </c>
      <c r="F377" s="12">
        <v>0</v>
      </c>
      <c r="G377" s="12" t="s">
        <v>367</v>
      </c>
    </row>
    <row r="378" spans="1:7" ht="15" customHeight="1" x14ac:dyDescent="0.3">
      <c r="A378" s="12" t="s">
        <v>201</v>
      </c>
      <c r="B378" s="12" t="s">
        <v>81</v>
      </c>
      <c r="C378" s="12">
        <v>1</v>
      </c>
      <c r="D378" s="12" t="s">
        <v>96</v>
      </c>
      <c r="E378" s="12">
        <v>1</v>
      </c>
      <c r="F378" s="12">
        <v>0</v>
      </c>
      <c r="G378" s="12" t="s">
        <v>367</v>
      </c>
    </row>
    <row r="379" spans="1:7" ht="15" customHeight="1" x14ac:dyDescent="0.3">
      <c r="A379" s="12" t="s">
        <v>201</v>
      </c>
      <c r="B379" s="12" t="s">
        <v>81</v>
      </c>
      <c r="C379" s="12">
        <v>1</v>
      </c>
      <c r="D379" s="12" t="s">
        <v>101</v>
      </c>
      <c r="E379" s="12">
        <v>1</v>
      </c>
      <c r="F379" s="12">
        <v>0</v>
      </c>
      <c r="G379" s="12" t="s">
        <v>367</v>
      </c>
    </row>
    <row r="380" spans="1:7" ht="15" customHeight="1" x14ac:dyDescent="0.3">
      <c r="A380" s="12" t="s">
        <v>201</v>
      </c>
      <c r="B380" s="12" t="s">
        <v>81</v>
      </c>
      <c r="C380" s="12">
        <v>1</v>
      </c>
      <c r="D380" s="12" t="s">
        <v>126</v>
      </c>
      <c r="E380" s="12">
        <v>1</v>
      </c>
      <c r="F380" s="12">
        <v>0</v>
      </c>
      <c r="G380" s="12" t="s">
        <v>367</v>
      </c>
    </row>
    <row r="381" spans="1:7" ht="15" customHeight="1" x14ac:dyDescent="0.3">
      <c r="A381" s="12" t="s">
        <v>201</v>
      </c>
      <c r="B381" s="12" t="s">
        <v>81</v>
      </c>
      <c r="C381" s="12">
        <v>1</v>
      </c>
      <c r="D381" s="12" t="s">
        <v>131</v>
      </c>
      <c r="E381" s="12">
        <v>1</v>
      </c>
      <c r="F381" s="12">
        <v>0</v>
      </c>
      <c r="G381" s="12" t="s">
        <v>367</v>
      </c>
    </row>
    <row r="382" spans="1:7" ht="15" customHeight="1" x14ac:dyDescent="0.3">
      <c r="A382" s="12" t="s">
        <v>201</v>
      </c>
      <c r="B382" s="12" t="s">
        <v>81</v>
      </c>
      <c r="C382" s="12">
        <v>1</v>
      </c>
      <c r="D382" s="12" t="s">
        <v>136</v>
      </c>
      <c r="E382" s="12">
        <v>1</v>
      </c>
      <c r="F382" s="12">
        <v>0</v>
      </c>
      <c r="G382" s="12" t="s">
        <v>367</v>
      </c>
    </row>
    <row r="383" spans="1:7" ht="15" customHeight="1" x14ac:dyDescent="0.3">
      <c r="A383" s="12" t="s">
        <v>201</v>
      </c>
      <c r="B383" s="12" t="s">
        <v>81</v>
      </c>
      <c r="C383" s="12">
        <v>1</v>
      </c>
      <c r="D383" s="12" t="s">
        <v>161</v>
      </c>
      <c r="E383" s="12">
        <v>1</v>
      </c>
      <c r="F383" s="12">
        <v>0</v>
      </c>
      <c r="G383" s="12" t="s">
        <v>367</v>
      </c>
    </row>
    <row r="384" spans="1:7" ht="15" customHeight="1" x14ac:dyDescent="0.3">
      <c r="A384" s="12" t="s">
        <v>201</v>
      </c>
      <c r="B384" s="12" t="s">
        <v>81</v>
      </c>
      <c r="C384" s="12">
        <v>1</v>
      </c>
      <c r="D384" s="12" t="s">
        <v>166</v>
      </c>
      <c r="E384" s="12">
        <v>1</v>
      </c>
      <c r="F384" s="12">
        <v>0</v>
      </c>
      <c r="G384" s="12" t="s">
        <v>367</v>
      </c>
    </row>
    <row r="385" spans="1:7" ht="15" customHeight="1" x14ac:dyDescent="0.3">
      <c r="A385" s="12" t="s">
        <v>201</v>
      </c>
      <c r="B385" s="12" t="s">
        <v>81</v>
      </c>
      <c r="C385" s="12">
        <v>1</v>
      </c>
      <c r="D385" s="12" t="s">
        <v>181</v>
      </c>
      <c r="E385" s="12">
        <v>1</v>
      </c>
      <c r="F385" s="12">
        <v>0</v>
      </c>
      <c r="G385" s="12" t="s">
        <v>367</v>
      </c>
    </row>
    <row r="386" spans="1:7" ht="15" customHeight="1" x14ac:dyDescent="0.3">
      <c r="A386" s="12" t="s">
        <v>201</v>
      </c>
      <c r="B386" s="12" t="s">
        <v>91</v>
      </c>
      <c r="C386" s="12">
        <v>1</v>
      </c>
      <c r="D386" s="12" t="s">
        <v>96</v>
      </c>
      <c r="E386" s="12">
        <v>1</v>
      </c>
      <c r="F386" s="12">
        <v>0</v>
      </c>
      <c r="G386" s="12" t="s">
        <v>367</v>
      </c>
    </row>
    <row r="387" spans="1:7" ht="15" customHeight="1" x14ac:dyDescent="0.3">
      <c r="A387" s="12" t="s">
        <v>201</v>
      </c>
      <c r="B387" s="12" t="s">
        <v>91</v>
      </c>
      <c r="C387" s="12">
        <v>1</v>
      </c>
      <c r="D387" s="12" t="s">
        <v>101</v>
      </c>
      <c r="E387" s="12">
        <v>1</v>
      </c>
      <c r="F387" s="12">
        <v>0</v>
      </c>
      <c r="G387" s="12" t="s">
        <v>367</v>
      </c>
    </row>
    <row r="388" spans="1:7" ht="15" customHeight="1" x14ac:dyDescent="0.3">
      <c r="A388" s="12" t="s">
        <v>201</v>
      </c>
      <c r="B388" s="12" t="s">
        <v>91</v>
      </c>
      <c r="C388" s="12">
        <v>1</v>
      </c>
      <c r="D388" s="12" t="s">
        <v>126</v>
      </c>
      <c r="E388" s="12">
        <v>1</v>
      </c>
      <c r="F388" s="12">
        <v>0</v>
      </c>
      <c r="G388" s="12" t="s">
        <v>367</v>
      </c>
    </row>
    <row r="389" spans="1:7" ht="15" customHeight="1" x14ac:dyDescent="0.3">
      <c r="A389" s="12" t="s">
        <v>201</v>
      </c>
      <c r="B389" s="12" t="s">
        <v>91</v>
      </c>
      <c r="C389" s="12">
        <v>1</v>
      </c>
      <c r="D389" s="12" t="s">
        <v>131</v>
      </c>
      <c r="E389" s="12">
        <v>1</v>
      </c>
      <c r="F389" s="12">
        <v>0</v>
      </c>
      <c r="G389" s="12" t="s">
        <v>367</v>
      </c>
    </row>
    <row r="390" spans="1:7" ht="15" customHeight="1" x14ac:dyDescent="0.3">
      <c r="A390" s="12" t="s">
        <v>201</v>
      </c>
      <c r="B390" s="12" t="s">
        <v>91</v>
      </c>
      <c r="C390" s="12">
        <v>1</v>
      </c>
      <c r="D390" s="12" t="s">
        <v>136</v>
      </c>
      <c r="E390" s="12">
        <v>1</v>
      </c>
      <c r="F390" s="12">
        <v>0</v>
      </c>
      <c r="G390" s="12" t="s">
        <v>367</v>
      </c>
    </row>
    <row r="391" spans="1:7" ht="15" customHeight="1" x14ac:dyDescent="0.3">
      <c r="A391" s="12" t="s">
        <v>201</v>
      </c>
      <c r="B391" s="12" t="s">
        <v>91</v>
      </c>
      <c r="C391" s="12">
        <v>1</v>
      </c>
      <c r="D391" s="12" t="s">
        <v>161</v>
      </c>
      <c r="E391" s="12">
        <v>1</v>
      </c>
      <c r="F391" s="12">
        <v>0</v>
      </c>
      <c r="G391" s="12" t="s">
        <v>367</v>
      </c>
    </row>
    <row r="392" spans="1:7" ht="15" customHeight="1" x14ac:dyDescent="0.3">
      <c r="A392" s="12" t="s">
        <v>201</v>
      </c>
      <c r="B392" s="12" t="s">
        <v>91</v>
      </c>
      <c r="C392" s="12">
        <v>1</v>
      </c>
      <c r="D392" s="12" t="s">
        <v>166</v>
      </c>
      <c r="E392" s="12">
        <v>1</v>
      </c>
      <c r="F392" s="12">
        <v>0</v>
      </c>
      <c r="G392" s="12" t="s">
        <v>367</v>
      </c>
    </row>
    <row r="393" spans="1:7" ht="15" customHeight="1" x14ac:dyDescent="0.3">
      <c r="A393" s="12" t="s">
        <v>201</v>
      </c>
      <c r="B393" s="12" t="s">
        <v>91</v>
      </c>
      <c r="C393" s="12">
        <v>1</v>
      </c>
      <c r="D393" s="12" t="s">
        <v>181</v>
      </c>
      <c r="E393" s="12">
        <v>1</v>
      </c>
      <c r="F393" s="12">
        <v>0</v>
      </c>
      <c r="G393" s="12" t="s">
        <v>367</v>
      </c>
    </row>
    <row r="394" spans="1:7" ht="15" customHeight="1" x14ac:dyDescent="0.3">
      <c r="A394" s="12" t="s">
        <v>201</v>
      </c>
      <c r="B394" s="12" t="s">
        <v>96</v>
      </c>
      <c r="C394" s="12">
        <v>1</v>
      </c>
      <c r="D394" s="12" t="s">
        <v>101</v>
      </c>
      <c r="E394" s="12">
        <v>1</v>
      </c>
      <c r="F394" s="12">
        <v>0</v>
      </c>
      <c r="G394" s="12" t="s">
        <v>367</v>
      </c>
    </row>
    <row r="395" spans="1:7" ht="15" customHeight="1" x14ac:dyDescent="0.3">
      <c r="A395" s="12" t="s">
        <v>201</v>
      </c>
      <c r="B395" s="12" t="s">
        <v>96</v>
      </c>
      <c r="C395" s="12">
        <v>1</v>
      </c>
      <c r="D395" s="12" t="s">
        <v>126</v>
      </c>
      <c r="E395" s="12">
        <v>1</v>
      </c>
      <c r="F395" s="12">
        <v>0</v>
      </c>
      <c r="G395" s="12" t="s">
        <v>367</v>
      </c>
    </row>
    <row r="396" spans="1:7" ht="15" customHeight="1" x14ac:dyDescent="0.3">
      <c r="A396" s="12" t="s">
        <v>201</v>
      </c>
      <c r="B396" s="12" t="s">
        <v>96</v>
      </c>
      <c r="C396" s="12">
        <v>1</v>
      </c>
      <c r="D396" s="12" t="s">
        <v>131</v>
      </c>
      <c r="E396" s="12">
        <v>1</v>
      </c>
      <c r="F396" s="12">
        <v>0</v>
      </c>
      <c r="G396" s="12" t="s">
        <v>367</v>
      </c>
    </row>
    <row r="397" spans="1:7" ht="15" customHeight="1" x14ac:dyDescent="0.3">
      <c r="A397" s="12" t="s">
        <v>201</v>
      </c>
      <c r="B397" s="12" t="s">
        <v>96</v>
      </c>
      <c r="C397" s="12">
        <v>1</v>
      </c>
      <c r="D397" s="12" t="s">
        <v>136</v>
      </c>
      <c r="E397" s="12">
        <v>1</v>
      </c>
      <c r="F397" s="12">
        <v>0</v>
      </c>
      <c r="G397" s="12" t="s">
        <v>367</v>
      </c>
    </row>
    <row r="398" spans="1:7" ht="15" customHeight="1" x14ac:dyDescent="0.3">
      <c r="A398" s="12" t="s">
        <v>201</v>
      </c>
      <c r="B398" s="12" t="s">
        <v>96</v>
      </c>
      <c r="C398" s="12">
        <v>1</v>
      </c>
      <c r="D398" s="12" t="s">
        <v>161</v>
      </c>
      <c r="E398" s="12">
        <v>1</v>
      </c>
      <c r="F398" s="12">
        <v>0</v>
      </c>
      <c r="G398" s="12" t="s">
        <v>367</v>
      </c>
    </row>
    <row r="399" spans="1:7" ht="15" customHeight="1" x14ac:dyDescent="0.3">
      <c r="A399" s="12" t="s">
        <v>201</v>
      </c>
      <c r="B399" s="12" t="s">
        <v>96</v>
      </c>
      <c r="C399" s="12">
        <v>1</v>
      </c>
      <c r="D399" s="12" t="s">
        <v>166</v>
      </c>
      <c r="E399" s="12">
        <v>1</v>
      </c>
      <c r="F399" s="12">
        <v>0</v>
      </c>
      <c r="G399" s="12" t="s">
        <v>367</v>
      </c>
    </row>
    <row r="400" spans="1:7" ht="15" customHeight="1" x14ac:dyDescent="0.3">
      <c r="A400" s="12" t="s">
        <v>201</v>
      </c>
      <c r="B400" s="12" t="s">
        <v>96</v>
      </c>
      <c r="C400" s="12">
        <v>1</v>
      </c>
      <c r="D400" s="12" t="s">
        <v>181</v>
      </c>
      <c r="E400" s="12">
        <v>1</v>
      </c>
      <c r="F400" s="12">
        <v>0</v>
      </c>
      <c r="G400" s="12" t="s">
        <v>367</v>
      </c>
    </row>
    <row r="401" spans="1:7" ht="15" customHeight="1" x14ac:dyDescent="0.3">
      <c r="A401" s="12" t="s">
        <v>201</v>
      </c>
      <c r="B401" s="12" t="s">
        <v>101</v>
      </c>
      <c r="C401" s="12">
        <v>1</v>
      </c>
      <c r="D401" s="12" t="s">
        <v>126</v>
      </c>
      <c r="E401" s="12">
        <v>1</v>
      </c>
      <c r="F401" s="12">
        <v>0</v>
      </c>
      <c r="G401" s="12" t="s">
        <v>367</v>
      </c>
    </row>
    <row r="402" spans="1:7" ht="15" customHeight="1" x14ac:dyDescent="0.3">
      <c r="A402" s="12" t="s">
        <v>201</v>
      </c>
      <c r="B402" s="12" t="s">
        <v>101</v>
      </c>
      <c r="C402" s="12">
        <v>1</v>
      </c>
      <c r="D402" s="12" t="s">
        <v>131</v>
      </c>
      <c r="E402" s="12">
        <v>1</v>
      </c>
      <c r="F402" s="12">
        <v>0</v>
      </c>
      <c r="G402" s="12" t="s">
        <v>367</v>
      </c>
    </row>
    <row r="403" spans="1:7" ht="15" customHeight="1" x14ac:dyDescent="0.3">
      <c r="A403" s="12" t="s">
        <v>201</v>
      </c>
      <c r="B403" s="12" t="s">
        <v>101</v>
      </c>
      <c r="C403" s="12">
        <v>1</v>
      </c>
      <c r="D403" s="12" t="s">
        <v>136</v>
      </c>
      <c r="E403" s="12">
        <v>1</v>
      </c>
      <c r="F403" s="12">
        <v>0</v>
      </c>
      <c r="G403" s="12" t="s">
        <v>367</v>
      </c>
    </row>
    <row r="404" spans="1:7" ht="15" customHeight="1" x14ac:dyDescent="0.3">
      <c r="A404" s="12" t="s">
        <v>201</v>
      </c>
      <c r="B404" s="12" t="s">
        <v>101</v>
      </c>
      <c r="C404" s="12">
        <v>1</v>
      </c>
      <c r="D404" s="12" t="s">
        <v>161</v>
      </c>
      <c r="E404" s="12">
        <v>1</v>
      </c>
      <c r="F404" s="12">
        <v>0</v>
      </c>
      <c r="G404" s="12" t="s">
        <v>367</v>
      </c>
    </row>
    <row r="405" spans="1:7" ht="15" customHeight="1" x14ac:dyDescent="0.3">
      <c r="A405" s="12" t="s">
        <v>201</v>
      </c>
      <c r="B405" s="12" t="s">
        <v>101</v>
      </c>
      <c r="C405" s="12">
        <v>1</v>
      </c>
      <c r="D405" s="12" t="s">
        <v>166</v>
      </c>
      <c r="E405" s="12">
        <v>1</v>
      </c>
      <c r="F405" s="12">
        <v>0</v>
      </c>
      <c r="G405" s="12" t="s">
        <v>367</v>
      </c>
    </row>
    <row r="406" spans="1:7" ht="15" customHeight="1" x14ac:dyDescent="0.3">
      <c r="A406" s="12" t="s">
        <v>201</v>
      </c>
      <c r="B406" s="12" t="s">
        <v>101</v>
      </c>
      <c r="C406" s="12">
        <v>1</v>
      </c>
      <c r="D406" s="12" t="s">
        <v>181</v>
      </c>
      <c r="E406" s="12">
        <v>1</v>
      </c>
      <c r="F406" s="12">
        <v>0</v>
      </c>
      <c r="G406" s="12" t="s">
        <v>367</v>
      </c>
    </row>
    <row r="407" spans="1:7" ht="15" customHeight="1" x14ac:dyDescent="0.3">
      <c r="A407" s="12" t="s">
        <v>201</v>
      </c>
      <c r="B407" s="12" t="s">
        <v>106</v>
      </c>
      <c r="C407" s="12">
        <v>0</v>
      </c>
      <c r="D407" s="12" t="s">
        <v>116</v>
      </c>
      <c r="E407" s="12">
        <v>0</v>
      </c>
      <c r="F407" s="12">
        <v>0</v>
      </c>
      <c r="G407" s="12" t="s">
        <v>367</v>
      </c>
    </row>
    <row r="408" spans="1:7" ht="15" customHeight="1" x14ac:dyDescent="0.3">
      <c r="A408" s="12" t="s">
        <v>201</v>
      </c>
      <c r="B408" s="12" t="s">
        <v>106</v>
      </c>
      <c r="C408" s="12">
        <v>0</v>
      </c>
      <c r="D408" s="12" t="s">
        <v>141</v>
      </c>
      <c r="E408" s="12">
        <v>0</v>
      </c>
      <c r="F408" s="12">
        <v>0</v>
      </c>
      <c r="G408" s="12" t="s">
        <v>367</v>
      </c>
    </row>
    <row r="409" spans="1:7" ht="15" customHeight="1" x14ac:dyDescent="0.3">
      <c r="A409" s="12" t="s">
        <v>201</v>
      </c>
      <c r="B409" s="12" t="s">
        <v>106</v>
      </c>
      <c r="C409" s="12">
        <v>0</v>
      </c>
      <c r="D409" s="12" t="s">
        <v>146</v>
      </c>
      <c r="E409" s="12">
        <v>0</v>
      </c>
      <c r="F409" s="12">
        <v>0</v>
      </c>
      <c r="G409" s="12" t="s">
        <v>367</v>
      </c>
    </row>
    <row r="410" spans="1:7" ht="15" customHeight="1" x14ac:dyDescent="0.3">
      <c r="A410" s="12" t="s">
        <v>201</v>
      </c>
      <c r="B410" s="12" t="s">
        <v>106</v>
      </c>
      <c r="C410" s="12">
        <v>0</v>
      </c>
      <c r="D410" s="12" t="s">
        <v>156</v>
      </c>
      <c r="E410" s="12">
        <v>0</v>
      </c>
      <c r="F410" s="12">
        <v>0</v>
      </c>
      <c r="G410" s="12" t="s">
        <v>367</v>
      </c>
    </row>
    <row r="411" spans="1:7" ht="15" customHeight="1" x14ac:dyDescent="0.3">
      <c r="A411" s="12" t="s">
        <v>201</v>
      </c>
      <c r="B411" s="12" t="s">
        <v>106</v>
      </c>
      <c r="C411" s="12">
        <v>0</v>
      </c>
      <c r="D411" s="12" t="s">
        <v>171</v>
      </c>
      <c r="E411" s="12">
        <v>0</v>
      </c>
      <c r="F411" s="12">
        <v>0</v>
      </c>
      <c r="G411" s="12" t="s">
        <v>367</v>
      </c>
    </row>
    <row r="412" spans="1:7" ht="15" customHeight="1" x14ac:dyDescent="0.3">
      <c r="A412" s="12" t="s">
        <v>201</v>
      </c>
      <c r="B412" s="12" t="s">
        <v>106</v>
      </c>
      <c r="C412" s="12">
        <v>0</v>
      </c>
      <c r="D412" s="12" t="s">
        <v>176</v>
      </c>
      <c r="E412" s="12">
        <v>0</v>
      </c>
      <c r="F412" s="12">
        <v>0</v>
      </c>
      <c r="G412" s="12" t="s">
        <v>367</v>
      </c>
    </row>
    <row r="413" spans="1:7" ht="15" customHeight="1" x14ac:dyDescent="0.3">
      <c r="A413" s="12" t="s">
        <v>201</v>
      </c>
      <c r="B413" s="12" t="s">
        <v>116</v>
      </c>
      <c r="C413" s="12">
        <v>0</v>
      </c>
      <c r="D413" s="12" t="s">
        <v>141</v>
      </c>
      <c r="E413" s="12">
        <v>0</v>
      </c>
      <c r="F413" s="12">
        <v>0</v>
      </c>
      <c r="G413" s="12" t="s">
        <v>367</v>
      </c>
    </row>
    <row r="414" spans="1:7" ht="15" customHeight="1" x14ac:dyDescent="0.3">
      <c r="A414" s="12" t="s">
        <v>201</v>
      </c>
      <c r="B414" s="12" t="s">
        <v>116</v>
      </c>
      <c r="C414" s="12">
        <v>0</v>
      </c>
      <c r="D414" s="12" t="s">
        <v>146</v>
      </c>
      <c r="E414" s="12">
        <v>0</v>
      </c>
      <c r="F414" s="12">
        <v>0</v>
      </c>
      <c r="G414" s="12" t="s">
        <v>367</v>
      </c>
    </row>
    <row r="415" spans="1:7" ht="15" customHeight="1" x14ac:dyDescent="0.3">
      <c r="A415" s="12" t="s">
        <v>201</v>
      </c>
      <c r="B415" s="12" t="s">
        <v>116</v>
      </c>
      <c r="C415" s="12">
        <v>0</v>
      </c>
      <c r="D415" s="12" t="s">
        <v>156</v>
      </c>
      <c r="E415" s="12">
        <v>0</v>
      </c>
      <c r="F415" s="12">
        <v>0</v>
      </c>
      <c r="G415" s="12" t="s">
        <v>367</v>
      </c>
    </row>
    <row r="416" spans="1:7" ht="15" customHeight="1" x14ac:dyDescent="0.3">
      <c r="A416" s="12" t="s">
        <v>201</v>
      </c>
      <c r="B416" s="12" t="s">
        <v>116</v>
      </c>
      <c r="C416" s="12">
        <v>0</v>
      </c>
      <c r="D416" s="12" t="s">
        <v>171</v>
      </c>
      <c r="E416" s="12">
        <v>0</v>
      </c>
      <c r="F416" s="12">
        <v>0</v>
      </c>
      <c r="G416" s="12" t="s">
        <v>367</v>
      </c>
    </row>
    <row r="417" spans="1:7" ht="15" customHeight="1" x14ac:dyDescent="0.3">
      <c r="A417" s="12" t="s">
        <v>201</v>
      </c>
      <c r="B417" s="12" t="s">
        <v>116</v>
      </c>
      <c r="C417" s="12">
        <v>0</v>
      </c>
      <c r="D417" s="12" t="s">
        <v>176</v>
      </c>
      <c r="E417" s="12">
        <v>0</v>
      </c>
      <c r="F417" s="12">
        <v>0</v>
      </c>
      <c r="G417" s="12" t="s">
        <v>367</v>
      </c>
    </row>
    <row r="418" spans="1:7" ht="15" customHeight="1" x14ac:dyDescent="0.3">
      <c r="A418" s="12" t="s">
        <v>201</v>
      </c>
      <c r="B418" s="12" t="s">
        <v>121</v>
      </c>
      <c r="C418" s="12">
        <v>2</v>
      </c>
      <c r="D418" s="12" t="s">
        <v>186</v>
      </c>
      <c r="E418" s="12">
        <v>2</v>
      </c>
      <c r="F418" s="12">
        <v>0</v>
      </c>
      <c r="G418" s="12" t="s">
        <v>367</v>
      </c>
    </row>
    <row r="419" spans="1:7" ht="15" customHeight="1" x14ac:dyDescent="0.3">
      <c r="A419" s="12" t="s">
        <v>201</v>
      </c>
      <c r="B419" s="12" t="s">
        <v>126</v>
      </c>
      <c r="C419" s="12">
        <v>1</v>
      </c>
      <c r="D419" s="12" t="s">
        <v>131</v>
      </c>
      <c r="E419" s="12">
        <v>1</v>
      </c>
      <c r="F419" s="12">
        <v>0</v>
      </c>
      <c r="G419" s="12" t="s">
        <v>367</v>
      </c>
    </row>
    <row r="420" spans="1:7" ht="15" customHeight="1" x14ac:dyDescent="0.3">
      <c r="A420" s="12" t="s">
        <v>201</v>
      </c>
      <c r="B420" s="12" t="s">
        <v>126</v>
      </c>
      <c r="C420" s="12">
        <v>1</v>
      </c>
      <c r="D420" s="12" t="s">
        <v>136</v>
      </c>
      <c r="E420" s="12">
        <v>1</v>
      </c>
      <c r="F420" s="12">
        <v>0</v>
      </c>
      <c r="G420" s="12" t="s">
        <v>367</v>
      </c>
    </row>
    <row r="421" spans="1:7" ht="15" customHeight="1" x14ac:dyDescent="0.3">
      <c r="A421" s="12" t="s">
        <v>201</v>
      </c>
      <c r="B421" s="12" t="s">
        <v>126</v>
      </c>
      <c r="C421" s="12">
        <v>1</v>
      </c>
      <c r="D421" s="12" t="s">
        <v>161</v>
      </c>
      <c r="E421" s="12">
        <v>1</v>
      </c>
      <c r="F421" s="12">
        <v>0</v>
      </c>
      <c r="G421" s="12" t="s">
        <v>367</v>
      </c>
    </row>
    <row r="422" spans="1:7" ht="15" customHeight="1" x14ac:dyDescent="0.3">
      <c r="A422" s="12" t="s">
        <v>201</v>
      </c>
      <c r="B422" s="12" t="s">
        <v>126</v>
      </c>
      <c r="C422" s="12">
        <v>1</v>
      </c>
      <c r="D422" s="12" t="s">
        <v>166</v>
      </c>
      <c r="E422" s="12">
        <v>1</v>
      </c>
      <c r="F422" s="12">
        <v>0</v>
      </c>
      <c r="G422" s="12" t="s">
        <v>367</v>
      </c>
    </row>
    <row r="423" spans="1:7" ht="15" customHeight="1" x14ac:dyDescent="0.3">
      <c r="A423" s="12" t="s">
        <v>201</v>
      </c>
      <c r="B423" s="12" t="s">
        <v>126</v>
      </c>
      <c r="C423" s="12">
        <v>1</v>
      </c>
      <c r="D423" s="12" t="s">
        <v>181</v>
      </c>
      <c r="E423" s="12">
        <v>1</v>
      </c>
      <c r="F423" s="12">
        <v>0</v>
      </c>
      <c r="G423" s="12" t="s">
        <v>367</v>
      </c>
    </row>
    <row r="424" spans="1:7" ht="15" customHeight="1" x14ac:dyDescent="0.3">
      <c r="A424" s="12" t="s">
        <v>201</v>
      </c>
      <c r="B424" s="12" t="s">
        <v>131</v>
      </c>
      <c r="C424" s="12">
        <v>1</v>
      </c>
      <c r="D424" s="12" t="s">
        <v>136</v>
      </c>
      <c r="E424" s="12">
        <v>1</v>
      </c>
      <c r="F424" s="12">
        <v>0</v>
      </c>
      <c r="G424" s="12" t="s">
        <v>367</v>
      </c>
    </row>
    <row r="425" spans="1:7" ht="15" customHeight="1" x14ac:dyDescent="0.3">
      <c r="A425" s="12" t="s">
        <v>201</v>
      </c>
      <c r="B425" s="12" t="s">
        <v>131</v>
      </c>
      <c r="C425" s="12">
        <v>1</v>
      </c>
      <c r="D425" s="12" t="s">
        <v>161</v>
      </c>
      <c r="E425" s="12">
        <v>1</v>
      </c>
      <c r="F425" s="12">
        <v>0</v>
      </c>
      <c r="G425" s="12" t="s">
        <v>367</v>
      </c>
    </row>
    <row r="426" spans="1:7" ht="15" customHeight="1" x14ac:dyDescent="0.3">
      <c r="A426" s="12" t="s">
        <v>201</v>
      </c>
      <c r="B426" s="12" t="s">
        <v>131</v>
      </c>
      <c r="C426" s="12">
        <v>1</v>
      </c>
      <c r="D426" s="12" t="s">
        <v>166</v>
      </c>
      <c r="E426" s="12">
        <v>1</v>
      </c>
      <c r="F426" s="12">
        <v>0</v>
      </c>
      <c r="G426" s="12" t="s">
        <v>367</v>
      </c>
    </row>
    <row r="427" spans="1:7" ht="15" customHeight="1" x14ac:dyDescent="0.3">
      <c r="A427" s="12" t="s">
        <v>201</v>
      </c>
      <c r="B427" s="12" t="s">
        <v>131</v>
      </c>
      <c r="C427" s="12">
        <v>1</v>
      </c>
      <c r="D427" s="12" t="s">
        <v>181</v>
      </c>
      <c r="E427" s="12">
        <v>1</v>
      </c>
      <c r="F427" s="12">
        <v>0</v>
      </c>
      <c r="G427" s="12" t="s">
        <v>367</v>
      </c>
    </row>
    <row r="428" spans="1:7" ht="15" customHeight="1" x14ac:dyDescent="0.3">
      <c r="A428" s="12" t="s">
        <v>201</v>
      </c>
      <c r="B428" s="12" t="s">
        <v>136</v>
      </c>
      <c r="C428" s="12">
        <v>1</v>
      </c>
      <c r="D428" s="12" t="s">
        <v>161</v>
      </c>
      <c r="E428" s="12">
        <v>1</v>
      </c>
      <c r="F428" s="12">
        <v>0</v>
      </c>
      <c r="G428" s="12" t="s">
        <v>367</v>
      </c>
    </row>
    <row r="429" spans="1:7" ht="15" customHeight="1" x14ac:dyDescent="0.3">
      <c r="A429" s="12" t="s">
        <v>201</v>
      </c>
      <c r="B429" s="12" t="s">
        <v>136</v>
      </c>
      <c r="C429" s="12">
        <v>1</v>
      </c>
      <c r="D429" s="12" t="s">
        <v>166</v>
      </c>
      <c r="E429" s="12">
        <v>1</v>
      </c>
      <c r="F429" s="12">
        <v>0</v>
      </c>
      <c r="G429" s="12" t="s">
        <v>367</v>
      </c>
    </row>
    <row r="430" spans="1:7" ht="15" customHeight="1" x14ac:dyDescent="0.3">
      <c r="A430" s="12" t="s">
        <v>201</v>
      </c>
      <c r="B430" s="12" t="s">
        <v>136</v>
      </c>
      <c r="C430" s="12">
        <v>1</v>
      </c>
      <c r="D430" s="12" t="s">
        <v>181</v>
      </c>
      <c r="E430" s="12">
        <v>1</v>
      </c>
      <c r="F430" s="12">
        <v>0</v>
      </c>
      <c r="G430" s="12" t="s">
        <v>367</v>
      </c>
    </row>
    <row r="431" spans="1:7" ht="15" customHeight="1" x14ac:dyDescent="0.3">
      <c r="A431" s="12" t="s">
        <v>201</v>
      </c>
      <c r="B431" s="12" t="s">
        <v>141</v>
      </c>
      <c r="C431" s="12">
        <v>0</v>
      </c>
      <c r="D431" s="12" t="s">
        <v>146</v>
      </c>
      <c r="E431" s="12">
        <v>0</v>
      </c>
      <c r="F431" s="12">
        <v>0</v>
      </c>
      <c r="G431" s="12" t="s">
        <v>367</v>
      </c>
    </row>
    <row r="432" spans="1:7" ht="15" customHeight="1" x14ac:dyDescent="0.3">
      <c r="A432" s="12" t="s">
        <v>201</v>
      </c>
      <c r="B432" s="12" t="s">
        <v>141</v>
      </c>
      <c r="C432" s="12">
        <v>0</v>
      </c>
      <c r="D432" s="12" t="s">
        <v>156</v>
      </c>
      <c r="E432" s="12">
        <v>0</v>
      </c>
      <c r="F432" s="12">
        <v>0</v>
      </c>
      <c r="G432" s="12" t="s">
        <v>367</v>
      </c>
    </row>
    <row r="433" spans="1:7" ht="15" customHeight="1" x14ac:dyDescent="0.3">
      <c r="A433" s="12" t="s">
        <v>201</v>
      </c>
      <c r="B433" s="12" t="s">
        <v>141</v>
      </c>
      <c r="C433" s="12">
        <v>0</v>
      </c>
      <c r="D433" s="12" t="s">
        <v>171</v>
      </c>
      <c r="E433" s="12">
        <v>0</v>
      </c>
      <c r="F433" s="12">
        <v>0</v>
      </c>
      <c r="G433" s="12" t="s">
        <v>367</v>
      </c>
    </row>
    <row r="434" spans="1:7" ht="15" customHeight="1" x14ac:dyDescent="0.3">
      <c r="A434" s="12" t="s">
        <v>201</v>
      </c>
      <c r="B434" s="12" t="s">
        <v>141</v>
      </c>
      <c r="C434" s="12">
        <v>0</v>
      </c>
      <c r="D434" s="12" t="s">
        <v>176</v>
      </c>
      <c r="E434" s="12">
        <v>0</v>
      </c>
      <c r="F434" s="12">
        <v>0</v>
      </c>
      <c r="G434" s="12" t="s">
        <v>367</v>
      </c>
    </row>
    <row r="435" spans="1:7" ht="15" customHeight="1" x14ac:dyDescent="0.3">
      <c r="A435" s="12" t="s">
        <v>201</v>
      </c>
      <c r="B435" s="12" t="s">
        <v>146</v>
      </c>
      <c r="C435" s="12">
        <v>0</v>
      </c>
      <c r="D435" s="12" t="s">
        <v>156</v>
      </c>
      <c r="E435" s="12">
        <v>0</v>
      </c>
      <c r="F435" s="12">
        <v>0</v>
      </c>
      <c r="G435" s="12" t="s">
        <v>367</v>
      </c>
    </row>
    <row r="436" spans="1:7" ht="15" customHeight="1" x14ac:dyDescent="0.3">
      <c r="A436" s="12" t="s">
        <v>201</v>
      </c>
      <c r="B436" s="12" t="s">
        <v>146</v>
      </c>
      <c r="C436" s="12">
        <v>0</v>
      </c>
      <c r="D436" s="12" t="s">
        <v>171</v>
      </c>
      <c r="E436" s="12">
        <v>0</v>
      </c>
      <c r="F436" s="12">
        <v>0</v>
      </c>
      <c r="G436" s="12" t="s">
        <v>367</v>
      </c>
    </row>
    <row r="437" spans="1:7" ht="15" customHeight="1" x14ac:dyDescent="0.3">
      <c r="A437" s="12" t="s">
        <v>201</v>
      </c>
      <c r="B437" s="12" t="s">
        <v>146</v>
      </c>
      <c r="C437" s="12">
        <v>0</v>
      </c>
      <c r="D437" s="12" t="s">
        <v>176</v>
      </c>
      <c r="E437" s="12">
        <v>0</v>
      </c>
      <c r="F437" s="12">
        <v>0</v>
      </c>
      <c r="G437" s="12" t="s">
        <v>367</v>
      </c>
    </row>
    <row r="438" spans="1:7" ht="15" customHeight="1" x14ac:dyDescent="0.3">
      <c r="A438" s="12" t="s">
        <v>201</v>
      </c>
      <c r="B438" s="12" t="s">
        <v>156</v>
      </c>
      <c r="C438" s="12">
        <v>0</v>
      </c>
      <c r="D438" s="12" t="s">
        <v>171</v>
      </c>
      <c r="E438" s="12">
        <v>0</v>
      </c>
      <c r="F438" s="12">
        <v>0</v>
      </c>
      <c r="G438" s="12" t="s">
        <v>367</v>
      </c>
    </row>
    <row r="439" spans="1:7" ht="15" customHeight="1" x14ac:dyDescent="0.3">
      <c r="A439" s="12" t="s">
        <v>201</v>
      </c>
      <c r="B439" s="12" t="s">
        <v>156</v>
      </c>
      <c r="C439" s="12">
        <v>0</v>
      </c>
      <c r="D439" s="12" t="s">
        <v>176</v>
      </c>
      <c r="E439" s="12">
        <v>0</v>
      </c>
      <c r="F439" s="12">
        <v>0</v>
      </c>
      <c r="G439" s="12" t="s">
        <v>367</v>
      </c>
    </row>
    <row r="440" spans="1:7" ht="15" customHeight="1" x14ac:dyDescent="0.3">
      <c r="A440" s="12" t="s">
        <v>201</v>
      </c>
      <c r="B440" s="12" t="s">
        <v>161</v>
      </c>
      <c r="C440" s="12">
        <v>1</v>
      </c>
      <c r="D440" s="12" t="s">
        <v>166</v>
      </c>
      <c r="E440" s="12">
        <v>1</v>
      </c>
      <c r="F440" s="12">
        <v>0</v>
      </c>
      <c r="G440" s="12" t="s">
        <v>367</v>
      </c>
    </row>
    <row r="441" spans="1:7" ht="15" customHeight="1" x14ac:dyDescent="0.3">
      <c r="A441" s="12" t="s">
        <v>201</v>
      </c>
      <c r="B441" s="12" t="s">
        <v>161</v>
      </c>
      <c r="C441" s="12">
        <v>1</v>
      </c>
      <c r="D441" s="12" t="s">
        <v>181</v>
      </c>
      <c r="E441" s="12">
        <v>1</v>
      </c>
      <c r="F441" s="12">
        <v>0</v>
      </c>
      <c r="G441" s="12" t="s">
        <v>367</v>
      </c>
    </row>
    <row r="442" spans="1:7" ht="15" customHeight="1" x14ac:dyDescent="0.3">
      <c r="A442" s="12" t="s">
        <v>201</v>
      </c>
      <c r="B442" s="12" t="s">
        <v>166</v>
      </c>
      <c r="C442" s="12">
        <v>1</v>
      </c>
      <c r="D442" s="12" t="s">
        <v>181</v>
      </c>
      <c r="E442" s="12">
        <v>1</v>
      </c>
      <c r="F442" s="12">
        <v>0</v>
      </c>
      <c r="G442" s="12" t="s">
        <v>367</v>
      </c>
    </row>
    <row r="443" spans="1:7" ht="15" customHeight="1" x14ac:dyDescent="0.3">
      <c r="A443" s="12" t="s">
        <v>201</v>
      </c>
      <c r="B443" s="12" t="s">
        <v>171</v>
      </c>
      <c r="C443" s="12">
        <v>0</v>
      </c>
      <c r="D443" s="12" t="s">
        <v>176</v>
      </c>
      <c r="E443" s="12">
        <v>0</v>
      </c>
      <c r="F443" s="12">
        <v>0</v>
      </c>
      <c r="G443" s="12" t="s">
        <v>367</v>
      </c>
    </row>
    <row r="444" spans="1:7" ht="15" customHeight="1" x14ac:dyDescent="0.3">
      <c r="A444" s="12" t="s">
        <v>202</v>
      </c>
      <c r="B444" s="12" t="s">
        <v>31</v>
      </c>
      <c r="C444" s="12">
        <v>12</v>
      </c>
      <c r="D444" s="12" t="s">
        <v>86</v>
      </c>
      <c r="E444" s="12">
        <v>12</v>
      </c>
      <c r="F444" s="12">
        <v>0</v>
      </c>
      <c r="G444" s="12" t="s">
        <v>367</v>
      </c>
    </row>
    <row r="445" spans="1:7" ht="15" customHeight="1" x14ac:dyDescent="0.3">
      <c r="A445" s="12" t="s">
        <v>202</v>
      </c>
      <c r="B445" s="12" t="s">
        <v>31</v>
      </c>
      <c r="C445" s="12">
        <v>12</v>
      </c>
      <c r="D445" s="12" t="s">
        <v>166</v>
      </c>
      <c r="E445" s="12">
        <v>12</v>
      </c>
      <c r="F445" s="12">
        <v>0</v>
      </c>
      <c r="G445" s="12" t="s">
        <v>367</v>
      </c>
    </row>
    <row r="446" spans="1:7" ht="15" customHeight="1" x14ac:dyDescent="0.3">
      <c r="A446" s="12" t="s">
        <v>202</v>
      </c>
      <c r="B446" s="12" t="s">
        <v>36</v>
      </c>
      <c r="C446" s="12">
        <v>11</v>
      </c>
      <c r="D446" s="12" t="s">
        <v>126</v>
      </c>
      <c r="E446" s="12">
        <v>11</v>
      </c>
      <c r="F446" s="12">
        <v>0</v>
      </c>
      <c r="G446" s="12" t="s">
        <v>367</v>
      </c>
    </row>
    <row r="447" spans="1:7" ht="15" customHeight="1" x14ac:dyDescent="0.3">
      <c r="A447" s="12" t="s">
        <v>202</v>
      </c>
      <c r="B447" s="12" t="s">
        <v>36</v>
      </c>
      <c r="C447" s="12">
        <v>11</v>
      </c>
      <c r="D447" s="12" t="s">
        <v>141</v>
      </c>
      <c r="E447" s="12">
        <v>11</v>
      </c>
      <c r="F447" s="12">
        <v>0</v>
      </c>
      <c r="G447" s="12" t="s">
        <v>367</v>
      </c>
    </row>
    <row r="448" spans="1:7" ht="15" customHeight="1" x14ac:dyDescent="0.3">
      <c r="A448" s="12" t="s">
        <v>202</v>
      </c>
      <c r="B448" s="12" t="s">
        <v>41</v>
      </c>
      <c r="C448" s="12">
        <v>10</v>
      </c>
      <c r="D448" s="12" t="s">
        <v>56</v>
      </c>
      <c r="E448" s="12">
        <v>10</v>
      </c>
      <c r="F448" s="12">
        <v>0</v>
      </c>
      <c r="G448" s="12" t="s">
        <v>367</v>
      </c>
    </row>
    <row r="449" spans="1:7" ht="15" customHeight="1" x14ac:dyDescent="0.3">
      <c r="A449" s="12" t="s">
        <v>202</v>
      </c>
      <c r="B449" s="12" t="s">
        <v>41</v>
      </c>
      <c r="C449" s="12">
        <v>10</v>
      </c>
      <c r="D449" s="12" t="s">
        <v>61</v>
      </c>
      <c r="E449" s="12">
        <v>10</v>
      </c>
      <c r="F449" s="12">
        <v>0</v>
      </c>
      <c r="G449" s="12" t="s">
        <v>367</v>
      </c>
    </row>
    <row r="450" spans="1:7" ht="15" customHeight="1" x14ac:dyDescent="0.3">
      <c r="A450" s="12" t="s">
        <v>202</v>
      </c>
      <c r="B450" s="12" t="s">
        <v>46</v>
      </c>
      <c r="C450" s="12">
        <v>9</v>
      </c>
      <c r="D450" s="12" t="s">
        <v>51</v>
      </c>
      <c r="E450" s="12">
        <v>9</v>
      </c>
      <c r="F450" s="12">
        <v>0</v>
      </c>
      <c r="G450" s="12" t="s">
        <v>367</v>
      </c>
    </row>
    <row r="451" spans="1:7" ht="15" customHeight="1" x14ac:dyDescent="0.3">
      <c r="A451" s="12" t="s">
        <v>202</v>
      </c>
      <c r="B451" s="12" t="s">
        <v>46</v>
      </c>
      <c r="C451" s="12">
        <v>9</v>
      </c>
      <c r="D451" s="12" t="s">
        <v>66</v>
      </c>
      <c r="E451" s="12">
        <v>9</v>
      </c>
      <c r="F451" s="12">
        <v>0</v>
      </c>
      <c r="G451" s="12" t="s">
        <v>367</v>
      </c>
    </row>
    <row r="452" spans="1:7" ht="15" customHeight="1" x14ac:dyDescent="0.3">
      <c r="A452" s="12" t="s">
        <v>202</v>
      </c>
      <c r="B452" s="12" t="s">
        <v>46</v>
      </c>
      <c r="C452" s="12">
        <v>9</v>
      </c>
      <c r="D452" s="12" t="s">
        <v>121</v>
      </c>
      <c r="E452" s="12">
        <v>9</v>
      </c>
      <c r="F452" s="12">
        <v>0</v>
      </c>
      <c r="G452" s="12" t="s">
        <v>367</v>
      </c>
    </row>
    <row r="453" spans="1:7" ht="15" customHeight="1" x14ac:dyDescent="0.3">
      <c r="A453" s="12" t="s">
        <v>202</v>
      </c>
      <c r="B453" s="12" t="s">
        <v>46</v>
      </c>
      <c r="C453" s="12">
        <v>9</v>
      </c>
      <c r="D453" s="12" t="s">
        <v>176</v>
      </c>
      <c r="E453" s="12">
        <v>9</v>
      </c>
      <c r="F453" s="12">
        <v>0</v>
      </c>
      <c r="G453" s="12" t="s">
        <v>367</v>
      </c>
    </row>
    <row r="454" spans="1:7" ht="15" customHeight="1" x14ac:dyDescent="0.3">
      <c r="A454" s="12" t="s">
        <v>202</v>
      </c>
      <c r="B454" s="12" t="s">
        <v>46</v>
      </c>
      <c r="C454" s="12">
        <v>9</v>
      </c>
      <c r="D454" s="12" t="s">
        <v>181</v>
      </c>
      <c r="E454" s="12">
        <v>9</v>
      </c>
      <c r="F454" s="12">
        <v>0</v>
      </c>
      <c r="G454" s="12" t="s">
        <v>367</v>
      </c>
    </row>
    <row r="455" spans="1:7" ht="15" customHeight="1" x14ac:dyDescent="0.3">
      <c r="A455" s="12" t="s">
        <v>202</v>
      </c>
      <c r="B455" s="12" t="s">
        <v>51</v>
      </c>
      <c r="C455" s="12">
        <v>9</v>
      </c>
      <c r="D455" s="12" t="s">
        <v>66</v>
      </c>
      <c r="E455" s="12">
        <v>9</v>
      </c>
      <c r="F455" s="12">
        <v>0</v>
      </c>
      <c r="G455" s="12" t="s">
        <v>367</v>
      </c>
    </row>
    <row r="456" spans="1:7" ht="15" customHeight="1" x14ac:dyDescent="0.3">
      <c r="A456" s="12" t="s">
        <v>202</v>
      </c>
      <c r="B456" s="12" t="s">
        <v>51</v>
      </c>
      <c r="C456" s="12">
        <v>9</v>
      </c>
      <c r="D456" s="12" t="s">
        <v>121</v>
      </c>
      <c r="E456" s="12">
        <v>9</v>
      </c>
      <c r="F456" s="12">
        <v>0</v>
      </c>
      <c r="G456" s="12" t="s">
        <v>367</v>
      </c>
    </row>
    <row r="457" spans="1:7" ht="15" customHeight="1" x14ac:dyDescent="0.3">
      <c r="A457" s="12" t="s">
        <v>202</v>
      </c>
      <c r="B457" s="12" t="s">
        <v>51</v>
      </c>
      <c r="C457" s="12">
        <v>9</v>
      </c>
      <c r="D457" s="12" t="s">
        <v>176</v>
      </c>
      <c r="E457" s="12">
        <v>9</v>
      </c>
      <c r="F457" s="12">
        <v>0</v>
      </c>
      <c r="G457" s="12" t="s">
        <v>367</v>
      </c>
    </row>
    <row r="458" spans="1:7" ht="15" customHeight="1" x14ac:dyDescent="0.3">
      <c r="A458" s="12" t="s">
        <v>202</v>
      </c>
      <c r="B458" s="12" t="s">
        <v>51</v>
      </c>
      <c r="C458" s="12">
        <v>9</v>
      </c>
      <c r="D458" s="12" t="s">
        <v>181</v>
      </c>
      <c r="E458" s="12">
        <v>9</v>
      </c>
      <c r="F458" s="12">
        <v>0</v>
      </c>
      <c r="G458" s="12" t="s">
        <v>367</v>
      </c>
    </row>
    <row r="459" spans="1:7" ht="15" customHeight="1" x14ac:dyDescent="0.3">
      <c r="A459" s="12" t="s">
        <v>202</v>
      </c>
      <c r="B459" s="12" t="s">
        <v>56</v>
      </c>
      <c r="C459" s="12">
        <v>10</v>
      </c>
      <c r="D459" s="12" t="s">
        <v>61</v>
      </c>
      <c r="E459" s="12">
        <v>10</v>
      </c>
      <c r="F459" s="12">
        <v>0</v>
      </c>
      <c r="G459" s="12" t="s">
        <v>367</v>
      </c>
    </row>
    <row r="460" spans="1:7" ht="15" customHeight="1" x14ac:dyDescent="0.3">
      <c r="A460" s="12" t="s">
        <v>202</v>
      </c>
      <c r="B460" s="12" t="s">
        <v>66</v>
      </c>
      <c r="C460" s="12">
        <v>9</v>
      </c>
      <c r="D460" s="12" t="s">
        <v>121</v>
      </c>
      <c r="E460" s="12">
        <v>9</v>
      </c>
      <c r="F460" s="12">
        <v>0</v>
      </c>
      <c r="G460" s="12" t="s">
        <v>367</v>
      </c>
    </row>
    <row r="461" spans="1:7" ht="15" customHeight="1" x14ac:dyDescent="0.3">
      <c r="A461" s="12" t="s">
        <v>202</v>
      </c>
      <c r="B461" s="12" t="s">
        <v>66</v>
      </c>
      <c r="C461" s="12">
        <v>9</v>
      </c>
      <c r="D461" s="12" t="s">
        <v>176</v>
      </c>
      <c r="E461" s="12">
        <v>9</v>
      </c>
      <c r="F461" s="12">
        <v>0</v>
      </c>
      <c r="G461" s="12" t="s">
        <v>367</v>
      </c>
    </row>
    <row r="462" spans="1:7" ht="15" customHeight="1" x14ac:dyDescent="0.3">
      <c r="A462" s="12" t="s">
        <v>202</v>
      </c>
      <c r="B462" s="12" t="s">
        <v>66</v>
      </c>
      <c r="C462" s="12">
        <v>9</v>
      </c>
      <c r="D462" s="12" t="s">
        <v>181</v>
      </c>
      <c r="E462" s="12">
        <v>9</v>
      </c>
      <c r="F462" s="12">
        <v>0</v>
      </c>
      <c r="G462" s="12" t="s">
        <v>367</v>
      </c>
    </row>
    <row r="463" spans="1:7" ht="15" customHeight="1" x14ac:dyDescent="0.3">
      <c r="A463" s="12" t="s">
        <v>202</v>
      </c>
      <c r="B463" s="12" t="s">
        <v>71</v>
      </c>
      <c r="C463" s="12">
        <v>7</v>
      </c>
      <c r="D463" s="12" t="s">
        <v>76</v>
      </c>
      <c r="E463" s="12">
        <v>7</v>
      </c>
      <c r="F463" s="12">
        <v>0</v>
      </c>
      <c r="G463" s="12" t="s">
        <v>367</v>
      </c>
    </row>
    <row r="464" spans="1:7" ht="15" customHeight="1" x14ac:dyDescent="0.3">
      <c r="A464" s="12" t="s">
        <v>202</v>
      </c>
      <c r="B464" s="12" t="s">
        <v>71</v>
      </c>
      <c r="C464" s="12">
        <v>7</v>
      </c>
      <c r="D464" s="12" t="s">
        <v>96</v>
      </c>
      <c r="E464" s="12">
        <v>7</v>
      </c>
      <c r="F464" s="12">
        <v>0</v>
      </c>
      <c r="G464" s="12" t="s">
        <v>367</v>
      </c>
    </row>
    <row r="465" spans="1:7" ht="15" customHeight="1" x14ac:dyDescent="0.3">
      <c r="A465" s="12" t="s">
        <v>202</v>
      </c>
      <c r="B465" s="12" t="s">
        <v>71</v>
      </c>
      <c r="C465" s="12">
        <v>7</v>
      </c>
      <c r="D465" s="12" t="s">
        <v>111</v>
      </c>
      <c r="E465" s="12">
        <v>7</v>
      </c>
      <c r="F465" s="12">
        <v>0</v>
      </c>
      <c r="G465" s="12" t="s">
        <v>367</v>
      </c>
    </row>
    <row r="466" spans="1:7" ht="15" customHeight="1" x14ac:dyDescent="0.3">
      <c r="A466" s="12" t="s">
        <v>202</v>
      </c>
      <c r="B466" s="12" t="s">
        <v>76</v>
      </c>
      <c r="C466" s="12">
        <v>7</v>
      </c>
      <c r="D466" s="12" t="s">
        <v>96</v>
      </c>
      <c r="E466" s="12">
        <v>7</v>
      </c>
      <c r="F466" s="12">
        <v>0</v>
      </c>
      <c r="G466" s="12" t="s">
        <v>367</v>
      </c>
    </row>
    <row r="467" spans="1:7" ht="15" customHeight="1" x14ac:dyDescent="0.3">
      <c r="A467" s="12" t="s">
        <v>202</v>
      </c>
      <c r="B467" s="12" t="s">
        <v>76</v>
      </c>
      <c r="C467" s="12">
        <v>7</v>
      </c>
      <c r="D467" s="12" t="s">
        <v>111</v>
      </c>
      <c r="E467" s="12">
        <v>7</v>
      </c>
      <c r="F467" s="12">
        <v>0</v>
      </c>
      <c r="G467" s="12" t="s">
        <v>367</v>
      </c>
    </row>
    <row r="468" spans="1:7" ht="15" customHeight="1" x14ac:dyDescent="0.3">
      <c r="A468" s="12" t="s">
        <v>202</v>
      </c>
      <c r="B468" s="12" t="s">
        <v>81</v>
      </c>
      <c r="C468" s="12">
        <v>8</v>
      </c>
      <c r="D468" s="12" t="s">
        <v>131</v>
      </c>
      <c r="E468" s="12">
        <v>8</v>
      </c>
      <c r="F468" s="12">
        <v>0</v>
      </c>
      <c r="G468" s="12" t="s">
        <v>367</v>
      </c>
    </row>
    <row r="469" spans="1:7" ht="15" customHeight="1" x14ac:dyDescent="0.3">
      <c r="A469" s="12" t="s">
        <v>202</v>
      </c>
      <c r="B469" s="12" t="s">
        <v>81</v>
      </c>
      <c r="C469" s="12">
        <v>8</v>
      </c>
      <c r="D469" s="12" t="s">
        <v>171</v>
      </c>
      <c r="E469" s="12">
        <v>8</v>
      </c>
      <c r="F469" s="12">
        <v>0</v>
      </c>
      <c r="G469" s="12" t="s">
        <v>367</v>
      </c>
    </row>
    <row r="470" spans="1:7" ht="15" customHeight="1" x14ac:dyDescent="0.3">
      <c r="A470" s="12" t="s">
        <v>202</v>
      </c>
      <c r="B470" s="12" t="s">
        <v>86</v>
      </c>
      <c r="C470" s="12">
        <v>12</v>
      </c>
      <c r="D470" s="12" t="s">
        <v>166</v>
      </c>
      <c r="E470" s="12">
        <v>12</v>
      </c>
      <c r="F470" s="12">
        <v>0</v>
      </c>
      <c r="G470" s="12" t="s">
        <v>367</v>
      </c>
    </row>
    <row r="471" spans="1:7" ht="15" customHeight="1" x14ac:dyDescent="0.3">
      <c r="A471" s="12" t="s">
        <v>202</v>
      </c>
      <c r="B471" s="12" t="s">
        <v>91</v>
      </c>
      <c r="C471" s="12">
        <v>5</v>
      </c>
      <c r="D471" s="12" t="s">
        <v>116</v>
      </c>
      <c r="E471" s="12">
        <v>5</v>
      </c>
      <c r="F471" s="12">
        <v>0</v>
      </c>
      <c r="G471" s="12" t="s">
        <v>367</v>
      </c>
    </row>
    <row r="472" spans="1:7" ht="15" customHeight="1" x14ac:dyDescent="0.3">
      <c r="A472" s="12" t="s">
        <v>202</v>
      </c>
      <c r="B472" s="12" t="s">
        <v>96</v>
      </c>
      <c r="C472" s="12">
        <v>7</v>
      </c>
      <c r="D472" s="12" t="s">
        <v>111</v>
      </c>
      <c r="E472" s="12">
        <v>7</v>
      </c>
      <c r="F472" s="12">
        <v>0</v>
      </c>
      <c r="G472" s="12" t="s">
        <v>367</v>
      </c>
    </row>
    <row r="473" spans="1:7" ht="15" customHeight="1" x14ac:dyDescent="0.3">
      <c r="A473" s="12" t="s">
        <v>202</v>
      </c>
      <c r="B473" s="12" t="s">
        <v>101</v>
      </c>
      <c r="C473" s="12">
        <v>13</v>
      </c>
      <c r="D473" s="12" t="s">
        <v>151</v>
      </c>
      <c r="E473" s="12">
        <v>13</v>
      </c>
      <c r="F473" s="12">
        <v>0</v>
      </c>
      <c r="G473" s="12" t="s">
        <v>367</v>
      </c>
    </row>
    <row r="474" spans="1:7" ht="15" customHeight="1" x14ac:dyDescent="0.3">
      <c r="A474" s="12" t="s">
        <v>202</v>
      </c>
      <c r="B474" s="12" t="s">
        <v>101</v>
      </c>
      <c r="C474" s="12">
        <v>13</v>
      </c>
      <c r="D474" s="12" t="s">
        <v>161</v>
      </c>
      <c r="E474" s="12">
        <v>13</v>
      </c>
      <c r="F474" s="12">
        <v>0</v>
      </c>
      <c r="G474" s="12" t="s">
        <v>367</v>
      </c>
    </row>
    <row r="475" spans="1:7" ht="15" customHeight="1" x14ac:dyDescent="0.3">
      <c r="A475" s="12" t="s">
        <v>202</v>
      </c>
      <c r="B475" s="12" t="s">
        <v>106</v>
      </c>
      <c r="C475" s="12">
        <v>4</v>
      </c>
      <c r="D475" s="12" t="s">
        <v>136</v>
      </c>
      <c r="E475" s="12">
        <v>4</v>
      </c>
      <c r="F475" s="12">
        <v>0</v>
      </c>
      <c r="G475" s="12" t="s">
        <v>367</v>
      </c>
    </row>
    <row r="476" spans="1:7" ht="15" customHeight="1" x14ac:dyDescent="0.3">
      <c r="A476" s="12" t="s">
        <v>202</v>
      </c>
      <c r="B476" s="12" t="s">
        <v>106</v>
      </c>
      <c r="C476" s="12">
        <v>4</v>
      </c>
      <c r="D476" s="12" t="s">
        <v>146</v>
      </c>
      <c r="E476" s="12">
        <v>4</v>
      </c>
      <c r="F476" s="12">
        <v>0</v>
      </c>
      <c r="G476" s="12" t="s">
        <v>367</v>
      </c>
    </row>
    <row r="477" spans="1:7" ht="15" customHeight="1" x14ac:dyDescent="0.3">
      <c r="A477" s="12" t="s">
        <v>202</v>
      </c>
      <c r="B477" s="12" t="s">
        <v>121</v>
      </c>
      <c r="C477" s="12">
        <v>9</v>
      </c>
      <c r="D477" s="12" t="s">
        <v>176</v>
      </c>
      <c r="E477" s="12">
        <v>9</v>
      </c>
      <c r="F477" s="12">
        <v>0</v>
      </c>
      <c r="G477" s="12" t="s">
        <v>367</v>
      </c>
    </row>
    <row r="478" spans="1:7" ht="15" customHeight="1" x14ac:dyDescent="0.3">
      <c r="A478" s="12" t="s">
        <v>202</v>
      </c>
      <c r="B478" s="12" t="s">
        <v>121</v>
      </c>
      <c r="C478" s="12">
        <v>9</v>
      </c>
      <c r="D478" s="12" t="s">
        <v>181</v>
      </c>
      <c r="E478" s="12">
        <v>9</v>
      </c>
      <c r="F478" s="12">
        <v>0</v>
      </c>
      <c r="G478" s="12" t="s">
        <v>367</v>
      </c>
    </row>
    <row r="479" spans="1:7" ht="15" customHeight="1" x14ac:dyDescent="0.3">
      <c r="A479" s="12" t="s">
        <v>202</v>
      </c>
      <c r="B479" s="12" t="s">
        <v>126</v>
      </c>
      <c r="C479" s="12">
        <v>11</v>
      </c>
      <c r="D479" s="12" t="s">
        <v>141</v>
      </c>
      <c r="E479" s="12">
        <v>11</v>
      </c>
      <c r="F479" s="12">
        <v>0</v>
      </c>
      <c r="G479" s="12" t="s">
        <v>367</v>
      </c>
    </row>
    <row r="480" spans="1:7" ht="15" customHeight="1" x14ac:dyDescent="0.3">
      <c r="A480" s="12" t="s">
        <v>202</v>
      </c>
      <c r="B480" s="12" t="s">
        <v>131</v>
      </c>
      <c r="C480" s="12">
        <v>8</v>
      </c>
      <c r="D480" s="12" t="s">
        <v>171</v>
      </c>
      <c r="E480" s="12">
        <v>8</v>
      </c>
      <c r="F480" s="12">
        <v>0</v>
      </c>
      <c r="G480" s="12" t="s">
        <v>367</v>
      </c>
    </row>
    <row r="481" spans="1:7" ht="15" customHeight="1" x14ac:dyDescent="0.3">
      <c r="A481" s="12" t="s">
        <v>202</v>
      </c>
      <c r="B481" s="12" t="s">
        <v>136</v>
      </c>
      <c r="C481" s="12">
        <v>4</v>
      </c>
      <c r="D481" s="12" t="s">
        <v>146</v>
      </c>
      <c r="E481" s="12">
        <v>4</v>
      </c>
      <c r="F481" s="12">
        <v>0</v>
      </c>
      <c r="G481" s="12" t="s">
        <v>367</v>
      </c>
    </row>
    <row r="482" spans="1:7" ht="15" customHeight="1" x14ac:dyDescent="0.3">
      <c r="A482" s="12" t="s">
        <v>202</v>
      </c>
      <c r="B482" s="12" t="s">
        <v>151</v>
      </c>
      <c r="C482" s="12">
        <v>13</v>
      </c>
      <c r="D482" s="12" t="s">
        <v>161</v>
      </c>
      <c r="E482" s="12">
        <v>13</v>
      </c>
      <c r="F482" s="12">
        <v>0</v>
      </c>
      <c r="G482" s="12" t="s">
        <v>367</v>
      </c>
    </row>
    <row r="483" spans="1:7" ht="15" customHeight="1" x14ac:dyDescent="0.3">
      <c r="A483" s="12" t="s">
        <v>202</v>
      </c>
      <c r="B483" s="12" t="s">
        <v>176</v>
      </c>
      <c r="C483" s="12">
        <v>9</v>
      </c>
      <c r="D483" s="12" t="s">
        <v>181</v>
      </c>
      <c r="E483" s="12">
        <v>9</v>
      </c>
      <c r="F483" s="12">
        <v>0</v>
      </c>
      <c r="G483" s="12" t="s">
        <v>367</v>
      </c>
    </row>
    <row r="484" spans="1:7" ht="15" customHeight="1" x14ac:dyDescent="0.3">
      <c r="A484" s="12" t="s">
        <v>203</v>
      </c>
      <c r="B484" s="12" t="s">
        <v>31</v>
      </c>
      <c r="C484" s="12">
        <v>102780</v>
      </c>
      <c r="D484" s="12" t="s">
        <v>81</v>
      </c>
      <c r="E484" s="12">
        <v>101915</v>
      </c>
      <c r="F484" s="12">
        <v>865</v>
      </c>
      <c r="G484" s="12"/>
    </row>
    <row r="485" spans="1:7" ht="15" customHeight="1" x14ac:dyDescent="0.3">
      <c r="A485" s="12" t="s">
        <v>203</v>
      </c>
      <c r="B485" s="12" t="s">
        <v>31</v>
      </c>
      <c r="C485" s="12">
        <v>102780</v>
      </c>
      <c r="D485" s="12" t="s">
        <v>96</v>
      </c>
      <c r="E485" s="12">
        <v>102321</v>
      </c>
      <c r="F485" s="12">
        <v>459</v>
      </c>
      <c r="G485" s="12"/>
    </row>
    <row r="486" spans="1:7" ht="15" customHeight="1" x14ac:dyDescent="0.3">
      <c r="A486" s="12" t="s">
        <v>203</v>
      </c>
      <c r="B486" s="12" t="s">
        <v>31</v>
      </c>
      <c r="C486" s="12">
        <v>102780</v>
      </c>
      <c r="D486" s="12" t="s">
        <v>126</v>
      </c>
      <c r="E486" s="12">
        <v>102733</v>
      </c>
      <c r="F486" s="12">
        <v>47</v>
      </c>
      <c r="G486" s="12"/>
    </row>
    <row r="487" spans="1:7" ht="15" customHeight="1" x14ac:dyDescent="0.3">
      <c r="A487" s="12" t="s">
        <v>203</v>
      </c>
      <c r="B487" s="12" t="s">
        <v>36</v>
      </c>
      <c r="C487" s="12">
        <v>100077</v>
      </c>
      <c r="D487" s="12" t="s">
        <v>61</v>
      </c>
      <c r="E487" s="12">
        <v>100119</v>
      </c>
      <c r="F487" s="12">
        <v>42</v>
      </c>
      <c r="G487" s="12"/>
    </row>
    <row r="488" spans="1:7" ht="15" customHeight="1" x14ac:dyDescent="0.3">
      <c r="A488" s="12" t="s">
        <v>203</v>
      </c>
      <c r="B488" s="12" t="s">
        <v>41</v>
      </c>
      <c r="C488" s="12">
        <v>77622</v>
      </c>
      <c r="D488" s="12" t="s">
        <v>66</v>
      </c>
      <c r="E488" s="12">
        <v>77500</v>
      </c>
      <c r="F488" s="12">
        <v>122</v>
      </c>
      <c r="G488" s="12"/>
    </row>
    <row r="489" spans="1:7" ht="15" customHeight="1" x14ac:dyDescent="0.3">
      <c r="A489" s="12" t="s">
        <v>203</v>
      </c>
      <c r="B489" s="12" t="s">
        <v>46</v>
      </c>
      <c r="C489" s="12">
        <v>107601</v>
      </c>
      <c r="D489" s="12" t="s">
        <v>71</v>
      </c>
      <c r="E489" s="12">
        <v>106304</v>
      </c>
      <c r="F489" s="12">
        <v>1297</v>
      </c>
      <c r="G489" s="12"/>
    </row>
    <row r="490" spans="1:7" ht="15" customHeight="1" x14ac:dyDescent="0.3">
      <c r="A490" s="12" t="s">
        <v>203</v>
      </c>
      <c r="B490" s="12" t="s">
        <v>56</v>
      </c>
      <c r="C490" s="12">
        <v>80126</v>
      </c>
      <c r="D490" s="12" t="s">
        <v>91</v>
      </c>
      <c r="E490" s="12">
        <v>79560</v>
      </c>
      <c r="F490" s="12">
        <v>566</v>
      </c>
      <c r="G490" s="12"/>
    </row>
    <row r="491" spans="1:7" ht="15" customHeight="1" x14ac:dyDescent="0.3">
      <c r="A491" s="12" t="s">
        <v>203</v>
      </c>
      <c r="B491" s="12" t="s">
        <v>56</v>
      </c>
      <c r="C491" s="12">
        <v>80126</v>
      </c>
      <c r="D491" s="12" t="s">
        <v>111</v>
      </c>
      <c r="E491" s="12">
        <v>81500</v>
      </c>
      <c r="F491" s="12">
        <v>1374</v>
      </c>
      <c r="G491" s="12"/>
    </row>
    <row r="492" spans="1:7" ht="15" customHeight="1" x14ac:dyDescent="0.3">
      <c r="A492" s="12" t="s">
        <v>203</v>
      </c>
      <c r="B492" s="12" t="s">
        <v>66</v>
      </c>
      <c r="C492" s="12">
        <v>77500</v>
      </c>
      <c r="D492" s="12" t="s">
        <v>146</v>
      </c>
      <c r="E492" s="12">
        <v>76057</v>
      </c>
      <c r="F492" s="12">
        <v>1443</v>
      </c>
      <c r="G492" s="12"/>
    </row>
    <row r="493" spans="1:7" ht="15" customHeight="1" x14ac:dyDescent="0.3">
      <c r="A493" s="12" t="s">
        <v>203</v>
      </c>
      <c r="B493" s="12" t="s">
        <v>81</v>
      </c>
      <c r="C493" s="12">
        <v>101915</v>
      </c>
      <c r="D493" s="12" t="s">
        <v>96</v>
      </c>
      <c r="E493" s="12">
        <v>102321</v>
      </c>
      <c r="F493" s="12">
        <v>406</v>
      </c>
      <c r="G493" s="12"/>
    </row>
    <row r="494" spans="1:7" ht="15" customHeight="1" x14ac:dyDescent="0.3">
      <c r="A494" s="12" t="s">
        <v>203</v>
      </c>
      <c r="B494" s="12" t="s">
        <v>81</v>
      </c>
      <c r="C494" s="12">
        <v>101915</v>
      </c>
      <c r="D494" s="12" t="s">
        <v>126</v>
      </c>
      <c r="E494" s="12">
        <v>102733</v>
      </c>
      <c r="F494" s="12">
        <v>818</v>
      </c>
      <c r="G494" s="12"/>
    </row>
    <row r="495" spans="1:7" ht="15" customHeight="1" x14ac:dyDescent="0.3">
      <c r="A495" s="12" t="s">
        <v>203</v>
      </c>
      <c r="B495" s="12" t="s">
        <v>96</v>
      </c>
      <c r="C495" s="12">
        <v>102321</v>
      </c>
      <c r="D495" s="12" t="s">
        <v>126</v>
      </c>
      <c r="E495" s="12">
        <v>102733</v>
      </c>
      <c r="F495" s="12">
        <v>412</v>
      </c>
      <c r="G495" s="12"/>
    </row>
    <row r="496" spans="1:7" ht="15" customHeight="1" x14ac:dyDescent="0.3">
      <c r="A496" s="12" t="s">
        <v>203</v>
      </c>
      <c r="B496" s="12" t="s">
        <v>101</v>
      </c>
      <c r="C496" s="12">
        <v>65326</v>
      </c>
      <c r="D496" s="12" t="s">
        <v>161</v>
      </c>
      <c r="E496" s="12">
        <v>64038</v>
      </c>
      <c r="F496" s="12">
        <v>1288</v>
      </c>
      <c r="G496" s="12"/>
    </row>
    <row r="497" spans="1:7" ht="15" customHeight="1" x14ac:dyDescent="0.3">
      <c r="A497" s="12" t="s">
        <v>203</v>
      </c>
      <c r="B497" s="12" t="s">
        <v>106</v>
      </c>
      <c r="C497" s="12">
        <v>88548</v>
      </c>
      <c r="D497" s="12" t="s">
        <v>116</v>
      </c>
      <c r="E497" s="12">
        <v>88043</v>
      </c>
      <c r="F497" s="12">
        <v>505</v>
      </c>
      <c r="G497" s="12"/>
    </row>
    <row r="498" spans="1:7" ht="15" customHeight="1" x14ac:dyDescent="0.3">
      <c r="A498" s="12" t="s">
        <v>203</v>
      </c>
      <c r="B498" s="12" t="s">
        <v>121</v>
      </c>
      <c r="C498" s="12">
        <v>70138</v>
      </c>
      <c r="D498" s="12" t="s">
        <v>176</v>
      </c>
      <c r="E498" s="12">
        <v>69250</v>
      </c>
      <c r="F498" s="12">
        <v>888</v>
      </c>
      <c r="G498" s="12"/>
    </row>
    <row r="499" spans="1:7" ht="15" customHeight="1" x14ac:dyDescent="0.3">
      <c r="A499" s="12" t="s">
        <v>203</v>
      </c>
      <c r="B499" s="12" t="s">
        <v>131</v>
      </c>
      <c r="C499" s="12">
        <v>53599</v>
      </c>
      <c r="D499" s="12" t="s">
        <v>151</v>
      </c>
      <c r="E499" s="12">
        <v>54000</v>
      </c>
      <c r="F499" s="12">
        <v>401</v>
      </c>
      <c r="G499" s="12"/>
    </row>
    <row r="500" spans="1:7" ht="15" customHeight="1" x14ac:dyDescent="0.3">
      <c r="A500" s="12" t="s">
        <v>203</v>
      </c>
      <c r="B500" s="12" t="s">
        <v>131</v>
      </c>
      <c r="C500" s="12">
        <v>53599</v>
      </c>
      <c r="D500" s="12" t="s">
        <v>186</v>
      </c>
      <c r="E500" s="12">
        <v>52626</v>
      </c>
      <c r="F500" s="12">
        <v>973</v>
      </c>
      <c r="G500" s="12"/>
    </row>
    <row r="501" spans="1:7" ht="15" customHeight="1" x14ac:dyDescent="0.3">
      <c r="A501" s="12" t="s">
        <v>203</v>
      </c>
      <c r="B501" s="12" t="s">
        <v>136</v>
      </c>
      <c r="C501" s="12">
        <v>75005</v>
      </c>
      <c r="D501" s="12" t="s">
        <v>146</v>
      </c>
      <c r="E501" s="12">
        <v>76057</v>
      </c>
      <c r="F501" s="12">
        <v>1052</v>
      </c>
      <c r="G501" s="12"/>
    </row>
    <row r="502" spans="1:7" ht="15" customHeight="1" x14ac:dyDescent="0.3">
      <c r="A502" s="12" t="s">
        <v>203</v>
      </c>
      <c r="B502" s="12" t="s">
        <v>141</v>
      </c>
      <c r="C502" s="12">
        <v>51444</v>
      </c>
      <c r="D502" s="12" t="s">
        <v>156</v>
      </c>
      <c r="E502" s="12">
        <v>50183</v>
      </c>
      <c r="F502" s="12">
        <v>1261</v>
      </c>
      <c r="G502" s="12"/>
    </row>
    <row r="503" spans="1:7" ht="15" customHeight="1" x14ac:dyDescent="0.3">
      <c r="A503" s="12" t="s">
        <v>203</v>
      </c>
      <c r="B503" s="12" t="s">
        <v>141</v>
      </c>
      <c r="C503" s="12">
        <v>51444</v>
      </c>
      <c r="D503" s="12" t="s">
        <v>186</v>
      </c>
      <c r="E503" s="12">
        <v>52626</v>
      </c>
      <c r="F503" s="12">
        <v>1182</v>
      </c>
      <c r="G503" s="12"/>
    </row>
    <row r="504" spans="1:7" ht="15" customHeight="1" x14ac:dyDescent="0.3">
      <c r="A504" s="12" t="s">
        <v>203</v>
      </c>
      <c r="B504" s="12" t="s">
        <v>151</v>
      </c>
      <c r="C504" s="12">
        <v>54000</v>
      </c>
      <c r="D504" s="12" t="s">
        <v>186</v>
      </c>
      <c r="E504" s="12">
        <v>52626</v>
      </c>
      <c r="F504" s="12">
        <v>1374</v>
      </c>
      <c r="G504" s="12"/>
    </row>
    <row r="505" spans="1:7" ht="15" customHeight="1" x14ac:dyDescent="0.3">
      <c r="A505" s="12" t="s">
        <v>203</v>
      </c>
      <c r="B505" s="12" t="s">
        <v>161</v>
      </c>
      <c r="C505" s="12">
        <v>64038</v>
      </c>
      <c r="D505" s="12" t="s">
        <v>171</v>
      </c>
      <c r="E505" s="12">
        <v>62621</v>
      </c>
      <c r="F505" s="12">
        <v>1417</v>
      </c>
      <c r="G505" s="12"/>
    </row>
    <row r="506" spans="1:7" ht="15" customHeight="1" x14ac:dyDescent="0.3">
      <c r="A506" s="12" t="s">
        <v>204</v>
      </c>
      <c r="B506" s="12" t="s">
        <v>31</v>
      </c>
      <c r="C506" s="12">
        <v>1922</v>
      </c>
      <c r="D506" s="12" t="s">
        <v>56</v>
      </c>
      <c r="E506" s="12">
        <v>1923</v>
      </c>
      <c r="F506" s="12">
        <v>1</v>
      </c>
      <c r="G506" s="12"/>
    </row>
    <row r="507" spans="1:7" ht="15" customHeight="1" x14ac:dyDescent="0.3">
      <c r="A507" s="12" t="s">
        <v>204</v>
      </c>
      <c r="B507" s="12" t="s">
        <v>31</v>
      </c>
      <c r="C507" s="12">
        <v>1922</v>
      </c>
      <c r="D507" s="12" t="s">
        <v>66</v>
      </c>
      <c r="E507" s="12">
        <v>1923</v>
      </c>
      <c r="F507" s="12">
        <v>1</v>
      </c>
      <c r="G507" s="12"/>
    </row>
    <row r="508" spans="1:7" ht="15" customHeight="1" x14ac:dyDescent="0.3">
      <c r="A508" s="12" t="s">
        <v>204</v>
      </c>
      <c r="B508" s="12" t="s">
        <v>31</v>
      </c>
      <c r="C508" s="12">
        <v>1922</v>
      </c>
      <c r="D508" s="12" t="s">
        <v>76</v>
      </c>
      <c r="E508" s="12">
        <v>1923</v>
      </c>
      <c r="F508" s="12">
        <v>1</v>
      </c>
      <c r="G508" s="12"/>
    </row>
    <row r="509" spans="1:7" ht="15" customHeight="1" x14ac:dyDescent="0.3">
      <c r="A509" s="12" t="s">
        <v>204</v>
      </c>
      <c r="B509" s="12" t="s">
        <v>31</v>
      </c>
      <c r="C509" s="12">
        <v>1922</v>
      </c>
      <c r="D509" s="12" t="s">
        <v>81</v>
      </c>
      <c r="E509" s="12">
        <v>1921</v>
      </c>
      <c r="F509" s="12">
        <v>1</v>
      </c>
      <c r="G509" s="12"/>
    </row>
    <row r="510" spans="1:7" ht="15" customHeight="1" x14ac:dyDescent="0.3">
      <c r="A510" s="12" t="s">
        <v>204</v>
      </c>
      <c r="B510" s="12" t="s">
        <v>31</v>
      </c>
      <c r="C510" s="12">
        <v>1922</v>
      </c>
      <c r="D510" s="12" t="s">
        <v>136</v>
      </c>
      <c r="E510" s="12">
        <v>1923</v>
      </c>
      <c r="F510" s="12">
        <v>1</v>
      </c>
      <c r="G510" s="12"/>
    </row>
    <row r="511" spans="1:7" ht="15" customHeight="1" x14ac:dyDescent="0.3">
      <c r="A511" s="12" t="s">
        <v>204</v>
      </c>
      <c r="B511" s="12" t="s">
        <v>36</v>
      </c>
      <c r="C511" s="12">
        <v>1929</v>
      </c>
      <c r="D511" s="12" t="s">
        <v>41</v>
      </c>
      <c r="E511" s="12">
        <v>1930</v>
      </c>
      <c r="F511" s="12">
        <v>1</v>
      </c>
      <c r="G511" s="12"/>
    </row>
    <row r="512" spans="1:7" ht="15" customHeight="1" x14ac:dyDescent="0.3">
      <c r="A512" s="12" t="s">
        <v>204</v>
      </c>
      <c r="B512" s="12" t="s">
        <v>36</v>
      </c>
      <c r="C512" s="12">
        <v>1929</v>
      </c>
      <c r="D512" s="12" t="s">
        <v>86</v>
      </c>
      <c r="E512" s="12">
        <v>1929</v>
      </c>
      <c r="F512" s="12">
        <v>0</v>
      </c>
      <c r="G512" s="12" t="s">
        <v>367</v>
      </c>
    </row>
    <row r="513" spans="1:7" ht="15" customHeight="1" x14ac:dyDescent="0.3">
      <c r="A513" s="12" t="s">
        <v>204</v>
      </c>
      <c r="B513" s="12" t="s">
        <v>36</v>
      </c>
      <c r="C513" s="12">
        <v>1929</v>
      </c>
      <c r="D513" s="12" t="s">
        <v>106</v>
      </c>
      <c r="E513" s="12">
        <v>1930</v>
      </c>
      <c r="F513" s="12">
        <v>1</v>
      </c>
      <c r="G513" s="12"/>
    </row>
    <row r="514" spans="1:7" ht="15" customHeight="1" x14ac:dyDescent="0.3">
      <c r="A514" s="12" t="s">
        <v>204</v>
      </c>
      <c r="B514" s="12" t="s">
        <v>36</v>
      </c>
      <c r="C514" s="12">
        <v>1929</v>
      </c>
      <c r="D514" s="12" t="s">
        <v>176</v>
      </c>
      <c r="E514" s="12">
        <v>1929</v>
      </c>
      <c r="F514" s="12">
        <v>0</v>
      </c>
      <c r="G514" s="12" t="s">
        <v>367</v>
      </c>
    </row>
    <row r="515" spans="1:7" ht="15" customHeight="1" x14ac:dyDescent="0.3">
      <c r="A515" s="12" t="s">
        <v>204</v>
      </c>
      <c r="B515" s="12" t="s">
        <v>36</v>
      </c>
      <c r="C515" s="12">
        <v>1929</v>
      </c>
      <c r="D515" s="12" t="s">
        <v>181</v>
      </c>
      <c r="E515" s="12">
        <v>1930</v>
      </c>
      <c r="F515" s="12">
        <v>1</v>
      </c>
      <c r="G515" s="12"/>
    </row>
    <row r="516" spans="1:7" ht="15" customHeight="1" x14ac:dyDescent="0.3">
      <c r="A516" s="12" t="s">
        <v>204</v>
      </c>
      <c r="B516" s="12" t="s">
        <v>41</v>
      </c>
      <c r="C516" s="12">
        <v>1930</v>
      </c>
      <c r="D516" s="12" t="s">
        <v>86</v>
      </c>
      <c r="E516" s="12">
        <v>1929</v>
      </c>
      <c r="F516" s="12">
        <v>1</v>
      </c>
      <c r="G516" s="12"/>
    </row>
    <row r="517" spans="1:7" ht="15" customHeight="1" x14ac:dyDescent="0.3">
      <c r="A517" s="12" t="s">
        <v>204</v>
      </c>
      <c r="B517" s="12" t="s">
        <v>41</v>
      </c>
      <c r="C517" s="12">
        <v>1930</v>
      </c>
      <c r="D517" s="12" t="s">
        <v>106</v>
      </c>
      <c r="E517" s="12">
        <v>1930</v>
      </c>
      <c r="F517" s="12">
        <v>0</v>
      </c>
      <c r="G517" s="12" t="s">
        <v>367</v>
      </c>
    </row>
    <row r="518" spans="1:7" ht="15" customHeight="1" x14ac:dyDescent="0.3">
      <c r="A518" s="12" t="s">
        <v>204</v>
      </c>
      <c r="B518" s="12" t="s">
        <v>41</v>
      </c>
      <c r="C518" s="12">
        <v>1930</v>
      </c>
      <c r="D518" s="12" t="s">
        <v>176</v>
      </c>
      <c r="E518" s="12">
        <v>1929</v>
      </c>
      <c r="F518" s="12">
        <v>1</v>
      </c>
      <c r="G518" s="12"/>
    </row>
    <row r="519" spans="1:7" ht="15" customHeight="1" x14ac:dyDescent="0.3">
      <c r="A519" s="12" t="s">
        <v>204</v>
      </c>
      <c r="B519" s="12" t="s">
        <v>41</v>
      </c>
      <c r="C519" s="12">
        <v>1930</v>
      </c>
      <c r="D519" s="12" t="s">
        <v>181</v>
      </c>
      <c r="E519" s="12">
        <v>1930</v>
      </c>
      <c r="F519" s="12">
        <v>0</v>
      </c>
      <c r="G519" s="12" t="s">
        <v>367</v>
      </c>
    </row>
    <row r="520" spans="1:7" ht="15" customHeight="1" x14ac:dyDescent="0.3">
      <c r="A520" s="12" t="s">
        <v>204</v>
      </c>
      <c r="B520" s="12" t="s">
        <v>46</v>
      </c>
      <c r="C520" s="12">
        <v>1927</v>
      </c>
      <c r="D520" s="12" t="s">
        <v>126</v>
      </c>
      <c r="E520" s="12">
        <v>1927</v>
      </c>
      <c r="F520" s="12">
        <v>0</v>
      </c>
      <c r="G520" s="12" t="s">
        <v>367</v>
      </c>
    </row>
    <row r="521" spans="1:7" ht="15" customHeight="1" x14ac:dyDescent="0.3">
      <c r="A521" s="12" t="s">
        <v>204</v>
      </c>
      <c r="B521" s="12" t="s">
        <v>46</v>
      </c>
      <c r="C521" s="12">
        <v>1927</v>
      </c>
      <c r="D521" s="12" t="s">
        <v>171</v>
      </c>
      <c r="E521" s="12">
        <v>1926</v>
      </c>
      <c r="F521" s="12">
        <v>1</v>
      </c>
      <c r="G521" s="12"/>
    </row>
    <row r="522" spans="1:7" ht="15" customHeight="1" x14ac:dyDescent="0.3">
      <c r="A522" s="12" t="s">
        <v>204</v>
      </c>
      <c r="B522" s="12" t="s">
        <v>56</v>
      </c>
      <c r="C522" s="12">
        <v>1923</v>
      </c>
      <c r="D522" s="12" t="s">
        <v>61</v>
      </c>
      <c r="E522" s="12">
        <v>1924</v>
      </c>
      <c r="F522" s="12">
        <v>1</v>
      </c>
      <c r="G522" s="12"/>
    </row>
    <row r="523" spans="1:7" ht="15" customHeight="1" x14ac:dyDescent="0.3">
      <c r="A523" s="12" t="s">
        <v>204</v>
      </c>
      <c r="B523" s="12" t="s">
        <v>56</v>
      </c>
      <c r="C523" s="12">
        <v>1923</v>
      </c>
      <c r="D523" s="12" t="s">
        <v>66</v>
      </c>
      <c r="E523" s="12">
        <v>1923</v>
      </c>
      <c r="F523" s="12">
        <v>0</v>
      </c>
      <c r="G523" s="12" t="s">
        <v>367</v>
      </c>
    </row>
    <row r="524" spans="1:7" ht="15" customHeight="1" x14ac:dyDescent="0.3">
      <c r="A524" s="12" t="s">
        <v>204</v>
      </c>
      <c r="B524" s="12" t="s">
        <v>56</v>
      </c>
      <c r="C524" s="12">
        <v>1923</v>
      </c>
      <c r="D524" s="12" t="s">
        <v>76</v>
      </c>
      <c r="E524" s="12">
        <v>1923</v>
      </c>
      <c r="F524" s="12">
        <v>0</v>
      </c>
      <c r="G524" s="12" t="s">
        <v>367</v>
      </c>
    </row>
    <row r="525" spans="1:7" ht="15" customHeight="1" x14ac:dyDescent="0.3">
      <c r="A525" s="12" t="s">
        <v>204</v>
      </c>
      <c r="B525" s="12" t="s">
        <v>56</v>
      </c>
      <c r="C525" s="12">
        <v>1923</v>
      </c>
      <c r="D525" s="12" t="s">
        <v>96</v>
      </c>
      <c r="E525" s="12">
        <v>1924</v>
      </c>
      <c r="F525" s="12">
        <v>1</v>
      </c>
      <c r="G525" s="12"/>
    </row>
    <row r="526" spans="1:7" ht="15" customHeight="1" x14ac:dyDescent="0.3">
      <c r="A526" s="12" t="s">
        <v>204</v>
      </c>
      <c r="B526" s="12" t="s">
        <v>56</v>
      </c>
      <c r="C526" s="12">
        <v>1923</v>
      </c>
      <c r="D526" s="12" t="s">
        <v>136</v>
      </c>
      <c r="E526" s="12">
        <v>1923</v>
      </c>
      <c r="F526" s="12">
        <v>0</v>
      </c>
      <c r="G526" s="12" t="s">
        <v>367</v>
      </c>
    </row>
    <row r="527" spans="1:7" ht="15" customHeight="1" x14ac:dyDescent="0.3">
      <c r="A527" s="12" t="s">
        <v>204</v>
      </c>
      <c r="B527" s="12" t="s">
        <v>56</v>
      </c>
      <c r="C527" s="12">
        <v>1923</v>
      </c>
      <c r="D527" s="12" t="s">
        <v>156</v>
      </c>
      <c r="E527" s="12">
        <v>1924</v>
      </c>
      <c r="F527" s="12">
        <v>1</v>
      </c>
      <c r="G527" s="12"/>
    </row>
    <row r="528" spans="1:7" ht="15" customHeight="1" x14ac:dyDescent="0.3">
      <c r="A528" s="12" t="s">
        <v>204</v>
      </c>
      <c r="B528" s="12" t="s">
        <v>61</v>
      </c>
      <c r="C528" s="12">
        <v>1924</v>
      </c>
      <c r="D528" s="12" t="s">
        <v>66</v>
      </c>
      <c r="E528" s="12">
        <v>1923</v>
      </c>
      <c r="F528" s="12">
        <v>1</v>
      </c>
      <c r="G528" s="12"/>
    </row>
    <row r="529" spans="1:7" ht="15" customHeight="1" x14ac:dyDescent="0.3">
      <c r="A529" s="12" t="s">
        <v>204</v>
      </c>
      <c r="B529" s="12" t="s">
        <v>61</v>
      </c>
      <c r="C529" s="12">
        <v>1924</v>
      </c>
      <c r="D529" s="12" t="s">
        <v>76</v>
      </c>
      <c r="E529" s="12">
        <v>1923</v>
      </c>
      <c r="F529" s="12">
        <v>1</v>
      </c>
      <c r="G529" s="12"/>
    </row>
    <row r="530" spans="1:7" ht="15" customHeight="1" x14ac:dyDescent="0.3">
      <c r="A530" s="12" t="s">
        <v>204</v>
      </c>
      <c r="B530" s="12" t="s">
        <v>61</v>
      </c>
      <c r="C530" s="12">
        <v>1924</v>
      </c>
      <c r="D530" s="12" t="s">
        <v>96</v>
      </c>
      <c r="E530" s="12">
        <v>1924</v>
      </c>
      <c r="F530" s="12">
        <v>0</v>
      </c>
      <c r="G530" s="12" t="s">
        <v>367</v>
      </c>
    </row>
    <row r="531" spans="1:7" ht="15" customHeight="1" x14ac:dyDescent="0.3">
      <c r="A531" s="12" t="s">
        <v>204</v>
      </c>
      <c r="B531" s="12" t="s">
        <v>61</v>
      </c>
      <c r="C531" s="12">
        <v>1924</v>
      </c>
      <c r="D531" s="12" t="s">
        <v>136</v>
      </c>
      <c r="E531" s="12">
        <v>1923</v>
      </c>
      <c r="F531" s="12">
        <v>1</v>
      </c>
      <c r="G531" s="12"/>
    </row>
    <row r="532" spans="1:7" ht="15" customHeight="1" x14ac:dyDescent="0.3">
      <c r="A532" s="12" t="s">
        <v>204</v>
      </c>
      <c r="B532" s="12" t="s">
        <v>61</v>
      </c>
      <c r="C532" s="12">
        <v>1924</v>
      </c>
      <c r="D532" s="12" t="s">
        <v>156</v>
      </c>
      <c r="E532" s="12">
        <v>1924</v>
      </c>
      <c r="F532" s="12">
        <v>0</v>
      </c>
      <c r="G532" s="12" t="s">
        <v>367</v>
      </c>
    </row>
    <row r="533" spans="1:7" ht="15" customHeight="1" x14ac:dyDescent="0.3">
      <c r="A533" s="12" t="s">
        <v>204</v>
      </c>
      <c r="B533" s="12" t="s">
        <v>66</v>
      </c>
      <c r="C533" s="12">
        <v>1923</v>
      </c>
      <c r="D533" s="12" t="s">
        <v>76</v>
      </c>
      <c r="E533" s="12">
        <v>1923</v>
      </c>
      <c r="F533" s="12">
        <v>0</v>
      </c>
      <c r="G533" s="12" t="s">
        <v>367</v>
      </c>
    </row>
    <row r="534" spans="1:7" ht="15" customHeight="1" x14ac:dyDescent="0.3">
      <c r="A534" s="12" t="s">
        <v>204</v>
      </c>
      <c r="B534" s="12" t="s">
        <v>66</v>
      </c>
      <c r="C534" s="12">
        <v>1923</v>
      </c>
      <c r="D534" s="12" t="s">
        <v>96</v>
      </c>
      <c r="E534" s="12">
        <v>1924</v>
      </c>
      <c r="F534" s="12">
        <v>1</v>
      </c>
      <c r="G534" s="12"/>
    </row>
    <row r="535" spans="1:7" ht="15" customHeight="1" x14ac:dyDescent="0.3">
      <c r="A535" s="12" t="s">
        <v>204</v>
      </c>
      <c r="B535" s="12" t="s">
        <v>66</v>
      </c>
      <c r="C535" s="12">
        <v>1923</v>
      </c>
      <c r="D535" s="12" t="s">
        <v>136</v>
      </c>
      <c r="E535" s="12">
        <v>1923</v>
      </c>
      <c r="F535" s="12">
        <v>0</v>
      </c>
      <c r="G535" s="12" t="s">
        <v>367</v>
      </c>
    </row>
    <row r="536" spans="1:7" ht="15" customHeight="1" x14ac:dyDescent="0.3">
      <c r="A536" s="12" t="s">
        <v>204</v>
      </c>
      <c r="B536" s="12" t="s">
        <v>66</v>
      </c>
      <c r="C536" s="12">
        <v>1923</v>
      </c>
      <c r="D536" s="12" t="s">
        <v>156</v>
      </c>
      <c r="E536" s="12">
        <v>1924</v>
      </c>
      <c r="F536" s="12">
        <v>1</v>
      </c>
      <c r="G536" s="12"/>
    </row>
    <row r="537" spans="1:7" ht="15" customHeight="1" x14ac:dyDescent="0.3">
      <c r="A537" s="12" t="s">
        <v>204</v>
      </c>
      <c r="B537" s="12" t="s">
        <v>71</v>
      </c>
      <c r="C537" s="12">
        <v>1960</v>
      </c>
      <c r="D537" s="12" t="s">
        <v>186</v>
      </c>
      <c r="E537" s="12">
        <v>1960</v>
      </c>
      <c r="F537" s="12">
        <v>0</v>
      </c>
      <c r="G537" s="12" t="s">
        <v>367</v>
      </c>
    </row>
    <row r="538" spans="1:7" ht="15" customHeight="1" x14ac:dyDescent="0.3">
      <c r="A538" s="12" t="s">
        <v>204</v>
      </c>
      <c r="B538" s="12" t="s">
        <v>76</v>
      </c>
      <c r="C538" s="12">
        <v>1923</v>
      </c>
      <c r="D538" s="12" t="s">
        <v>96</v>
      </c>
      <c r="E538" s="12">
        <v>1924</v>
      </c>
      <c r="F538" s="12">
        <v>1</v>
      </c>
      <c r="G538" s="12"/>
    </row>
    <row r="539" spans="1:7" ht="15" customHeight="1" x14ac:dyDescent="0.3">
      <c r="A539" s="12" t="s">
        <v>204</v>
      </c>
      <c r="B539" s="12" t="s">
        <v>76</v>
      </c>
      <c r="C539" s="12">
        <v>1923</v>
      </c>
      <c r="D539" s="12" t="s">
        <v>136</v>
      </c>
      <c r="E539" s="12">
        <v>1923</v>
      </c>
      <c r="F539" s="12">
        <v>0</v>
      </c>
      <c r="G539" s="12" t="s">
        <v>367</v>
      </c>
    </row>
    <row r="540" spans="1:7" ht="15" customHeight="1" x14ac:dyDescent="0.3">
      <c r="A540" s="12" t="s">
        <v>204</v>
      </c>
      <c r="B540" s="12" t="s">
        <v>76</v>
      </c>
      <c r="C540" s="12">
        <v>1923</v>
      </c>
      <c r="D540" s="12" t="s">
        <v>156</v>
      </c>
      <c r="E540" s="12">
        <v>1924</v>
      </c>
      <c r="F540" s="12">
        <v>1</v>
      </c>
      <c r="G540" s="12"/>
    </row>
    <row r="541" spans="1:7" ht="15" customHeight="1" x14ac:dyDescent="0.3">
      <c r="A541" s="12" t="s">
        <v>204</v>
      </c>
      <c r="B541" s="12" t="s">
        <v>81</v>
      </c>
      <c r="C541" s="12">
        <v>1921</v>
      </c>
      <c r="D541" s="12" t="s">
        <v>121</v>
      </c>
      <c r="E541" s="12">
        <v>1920</v>
      </c>
      <c r="F541" s="12">
        <v>1</v>
      </c>
      <c r="G541" s="12"/>
    </row>
    <row r="542" spans="1:7" ht="15" customHeight="1" x14ac:dyDescent="0.3">
      <c r="A542" s="12" t="s">
        <v>204</v>
      </c>
      <c r="B542" s="12" t="s">
        <v>86</v>
      </c>
      <c r="C542" s="12">
        <v>1929</v>
      </c>
      <c r="D542" s="12" t="s">
        <v>106</v>
      </c>
      <c r="E542" s="12">
        <v>1930</v>
      </c>
      <c r="F542" s="12">
        <v>1</v>
      </c>
      <c r="G542" s="12"/>
    </row>
    <row r="543" spans="1:7" ht="15" customHeight="1" x14ac:dyDescent="0.3">
      <c r="A543" s="12" t="s">
        <v>204</v>
      </c>
      <c r="B543" s="12" t="s">
        <v>86</v>
      </c>
      <c r="C543" s="12">
        <v>1929</v>
      </c>
      <c r="D543" s="12" t="s">
        <v>176</v>
      </c>
      <c r="E543" s="12">
        <v>1929</v>
      </c>
      <c r="F543" s="12">
        <v>0</v>
      </c>
      <c r="G543" s="12" t="s">
        <v>367</v>
      </c>
    </row>
    <row r="544" spans="1:7" ht="15" customHeight="1" x14ac:dyDescent="0.3">
      <c r="A544" s="12" t="s">
        <v>204</v>
      </c>
      <c r="B544" s="12" t="s">
        <v>86</v>
      </c>
      <c r="C544" s="12">
        <v>1929</v>
      </c>
      <c r="D544" s="12" t="s">
        <v>181</v>
      </c>
      <c r="E544" s="12">
        <v>1930</v>
      </c>
      <c r="F544" s="12">
        <v>1</v>
      </c>
      <c r="G544" s="12"/>
    </row>
    <row r="545" spans="1:7" ht="15" customHeight="1" x14ac:dyDescent="0.3">
      <c r="A545" s="12" t="s">
        <v>204</v>
      </c>
      <c r="B545" s="12" t="s">
        <v>96</v>
      </c>
      <c r="C545" s="12">
        <v>1924</v>
      </c>
      <c r="D545" s="12" t="s">
        <v>136</v>
      </c>
      <c r="E545" s="12">
        <v>1923</v>
      </c>
      <c r="F545" s="12">
        <v>1</v>
      </c>
      <c r="G545" s="12"/>
    </row>
    <row r="546" spans="1:7" ht="15" customHeight="1" x14ac:dyDescent="0.3">
      <c r="A546" s="12" t="s">
        <v>204</v>
      </c>
      <c r="B546" s="12" t="s">
        <v>96</v>
      </c>
      <c r="C546" s="12">
        <v>1924</v>
      </c>
      <c r="D546" s="12" t="s">
        <v>156</v>
      </c>
      <c r="E546" s="12">
        <v>1924</v>
      </c>
      <c r="F546" s="12">
        <v>0</v>
      </c>
      <c r="G546" s="12" t="s">
        <v>367</v>
      </c>
    </row>
    <row r="547" spans="1:7" ht="15" customHeight="1" x14ac:dyDescent="0.3">
      <c r="A547" s="12" t="s">
        <v>204</v>
      </c>
      <c r="B547" s="12" t="s">
        <v>106</v>
      </c>
      <c r="C547" s="12">
        <v>1930</v>
      </c>
      <c r="D547" s="12" t="s">
        <v>176</v>
      </c>
      <c r="E547" s="12">
        <v>1929</v>
      </c>
      <c r="F547" s="12">
        <v>1</v>
      </c>
      <c r="G547" s="12"/>
    </row>
    <row r="548" spans="1:7" ht="15" customHeight="1" x14ac:dyDescent="0.3">
      <c r="A548" s="12" t="s">
        <v>204</v>
      </c>
      <c r="B548" s="12" t="s">
        <v>106</v>
      </c>
      <c r="C548" s="12">
        <v>1930</v>
      </c>
      <c r="D548" s="12" t="s">
        <v>181</v>
      </c>
      <c r="E548" s="12">
        <v>1930</v>
      </c>
      <c r="F548" s="12">
        <v>0</v>
      </c>
      <c r="G548" s="12" t="s">
        <v>367</v>
      </c>
    </row>
    <row r="549" spans="1:7" ht="15" customHeight="1" x14ac:dyDescent="0.3">
      <c r="A549" s="12" t="s">
        <v>204</v>
      </c>
      <c r="B549" s="12" t="s">
        <v>126</v>
      </c>
      <c r="C549" s="12">
        <v>1927</v>
      </c>
      <c r="D549" s="12" t="s">
        <v>171</v>
      </c>
      <c r="E549" s="12">
        <v>1926</v>
      </c>
      <c r="F549" s="12">
        <v>1</v>
      </c>
      <c r="G549" s="12"/>
    </row>
    <row r="550" spans="1:7" ht="15" customHeight="1" x14ac:dyDescent="0.3">
      <c r="A550" s="12" t="s">
        <v>204</v>
      </c>
      <c r="B550" s="12" t="s">
        <v>136</v>
      </c>
      <c r="C550" s="12">
        <v>1923</v>
      </c>
      <c r="D550" s="12" t="s">
        <v>156</v>
      </c>
      <c r="E550" s="12">
        <v>1924</v>
      </c>
      <c r="F550" s="12">
        <v>1</v>
      </c>
      <c r="G550" s="12"/>
    </row>
    <row r="551" spans="1:7" ht="15" customHeight="1" x14ac:dyDescent="0.3">
      <c r="A551" s="12" t="s">
        <v>204</v>
      </c>
      <c r="B551" s="12" t="s">
        <v>176</v>
      </c>
      <c r="C551" s="12">
        <v>1929</v>
      </c>
      <c r="D551" s="12" t="s">
        <v>181</v>
      </c>
      <c r="E551" s="12">
        <v>1930</v>
      </c>
      <c r="F551" s="12">
        <v>1</v>
      </c>
      <c r="G551" s="12"/>
    </row>
    <row r="552" spans="1:7" ht="15" customHeight="1" x14ac:dyDescent="0.3">
      <c r="A552" s="12" t="s">
        <v>205</v>
      </c>
      <c r="B552" s="12" t="s">
        <v>36</v>
      </c>
      <c r="C552" s="12">
        <v>40.799999999999997</v>
      </c>
      <c r="D552" s="12" t="s">
        <v>81</v>
      </c>
      <c r="E552" s="12">
        <v>38.700000000000003</v>
      </c>
      <c r="F552" s="12">
        <v>2.1</v>
      </c>
      <c r="G552" s="12"/>
    </row>
    <row r="553" spans="1:7" ht="15" customHeight="1" x14ac:dyDescent="0.3">
      <c r="A553" s="12" t="s">
        <v>205</v>
      </c>
      <c r="B553" s="12" t="s">
        <v>36</v>
      </c>
      <c r="C553" s="12">
        <v>40.799999999999997</v>
      </c>
      <c r="D553" s="12" t="s">
        <v>86</v>
      </c>
      <c r="E553" s="12">
        <v>41.6</v>
      </c>
      <c r="F553" s="12">
        <v>0.8</v>
      </c>
      <c r="G553" s="12"/>
    </row>
    <row r="554" spans="1:7" ht="15" customHeight="1" x14ac:dyDescent="0.3">
      <c r="A554" s="12" t="s">
        <v>205</v>
      </c>
      <c r="B554" s="12" t="s">
        <v>36</v>
      </c>
      <c r="C554" s="12">
        <v>40.799999999999997</v>
      </c>
      <c r="D554" s="12" t="s">
        <v>91</v>
      </c>
      <c r="E554" s="12">
        <v>44.2</v>
      </c>
      <c r="F554" s="12">
        <v>3.4</v>
      </c>
      <c r="G554" s="12"/>
    </row>
    <row r="555" spans="1:7" ht="15" customHeight="1" x14ac:dyDescent="0.3">
      <c r="A555" s="12" t="s">
        <v>205</v>
      </c>
      <c r="B555" s="12" t="s">
        <v>36</v>
      </c>
      <c r="C555" s="12">
        <v>40.799999999999997</v>
      </c>
      <c r="D555" s="12" t="s">
        <v>96</v>
      </c>
      <c r="E555" s="12">
        <v>40</v>
      </c>
      <c r="F555" s="12">
        <v>0.8</v>
      </c>
      <c r="G555" s="12"/>
    </row>
    <row r="556" spans="1:7" ht="15" customHeight="1" x14ac:dyDescent="0.3">
      <c r="A556" s="12" t="s">
        <v>205</v>
      </c>
      <c r="B556" s="12" t="s">
        <v>36</v>
      </c>
      <c r="C556" s="12">
        <v>40.799999999999997</v>
      </c>
      <c r="D556" s="12" t="s">
        <v>156</v>
      </c>
      <c r="E556" s="12">
        <v>38</v>
      </c>
      <c r="F556" s="12">
        <v>2.8</v>
      </c>
      <c r="G556" s="12"/>
    </row>
    <row r="557" spans="1:7" ht="15" customHeight="1" x14ac:dyDescent="0.3">
      <c r="A557" s="12" t="s">
        <v>205</v>
      </c>
      <c r="B557" s="12" t="s">
        <v>36</v>
      </c>
      <c r="C557" s="12">
        <v>40.799999999999997</v>
      </c>
      <c r="D557" s="12" t="s">
        <v>166</v>
      </c>
      <c r="E557" s="12">
        <v>41</v>
      </c>
      <c r="F557" s="12">
        <v>0.2</v>
      </c>
      <c r="G557" s="12"/>
    </row>
    <row r="558" spans="1:7" ht="15" customHeight="1" x14ac:dyDescent="0.3">
      <c r="A558" s="12" t="s">
        <v>205</v>
      </c>
      <c r="B558" s="12" t="s">
        <v>41</v>
      </c>
      <c r="C558" s="12">
        <v>13.2</v>
      </c>
      <c r="D558" s="12" t="s">
        <v>181</v>
      </c>
      <c r="E558" s="12">
        <v>13.1</v>
      </c>
      <c r="F558" s="12">
        <v>0.1</v>
      </c>
      <c r="G558" s="12"/>
    </row>
    <row r="559" spans="1:7" ht="15" customHeight="1" x14ac:dyDescent="0.3">
      <c r="A559" s="12" t="s">
        <v>205</v>
      </c>
      <c r="B559" s="12" t="s">
        <v>46</v>
      </c>
      <c r="C559" s="12">
        <v>52.9</v>
      </c>
      <c r="D559" s="12" t="s">
        <v>61</v>
      </c>
      <c r="E559" s="12">
        <v>53.1</v>
      </c>
      <c r="F559" s="12">
        <v>0.2</v>
      </c>
      <c r="G559" s="12"/>
    </row>
    <row r="560" spans="1:7" ht="15" customHeight="1" x14ac:dyDescent="0.3">
      <c r="A560" s="12" t="s">
        <v>205</v>
      </c>
      <c r="B560" s="12" t="s">
        <v>46</v>
      </c>
      <c r="C560" s="12">
        <v>52.9</v>
      </c>
      <c r="D560" s="12" t="s">
        <v>66</v>
      </c>
      <c r="E560" s="12">
        <v>49</v>
      </c>
      <c r="F560" s="12">
        <v>3.9</v>
      </c>
      <c r="G560" s="12"/>
    </row>
    <row r="561" spans="1:7" ht="15" customHeight="1" x14ac:dyDescent="0.3">
      <c r="A561" s="12" t="s">
        <v>205</v>
      </c>
      <c r="B561" s="12" t="s">
        <v>46</v>
      </c>
      <c r="C561" s="12">
        <v>52.9</v>
      </c>
      <c r="D561" s="12" t="s">
        <v>71</v>
      </c>
      <c r="E561" s="12">
        <v>48.5</v>
      </c>
      <c r="F561" s="12">
        <v>4.4000000000000004</v>
      </c>
      <c r="G561" s="12"/>
    </row>
    <row r="562" spans="1:7" ht="15" customHeight="1" x14ac:dyDescent="0.3">
      <c r="A562" s="12" t="s">
        <v>205</v>
      </c>
      <c r="B562" s="12" t="s">
        <v>46</v>
      </c>
      <c r="C562" s="12">
        <v>52.9</v>
      </c>
      <c r="D562" s="12" t="s">
        <v>106</v>
      </c>
      <c r="E562" s="12">
        <v>55.2</v>
      </c>
      <c r="F562" s="12">
        <v>2.2999999999999998</v>
      </c>
      <c r="G562" s="12"/>
    </row>
    <row r="563" spans="1:7" ht="15" customHeight="1" x14ac:dyDescent="0.3">
      <c r="A563" s="12" t="s">
        <v>205</v>
      </c>
      <c r="B563" s="12" t="s">
        <v>46</v>
      </c>
      <c r="C563" s="12">
        <v>52.9</v>
      </c>
      <c r="D563" s="12" t="s">
        <v>121</v>
      </c>
      <c r="E563" s="12">
        <v>52.5</v>
      </c>
      <c r="F563" s="12">
        <v>0.4</v>
      </c>
      <c r="G563" s="12"/>
    </row>
    <row r="564" spans="1:7" ht="15" customHeight="1" x14ac:dyDescent="0.3">
      <c r="A564" s="12" t="s">
        <v>205</v>
      </c>
      <c r="B564" s="12" t="s">
        <v>46</v>
      </c>
      <c r="C564" s="12">
        <v>52.9</v>
      </c>
      <c r="D564" s="12" t="s">
        <v>136</v>
      </c>
      <c r="E564" s="12">
        <v>51.3</v>
      </c>
      <c r="F564" s="12">
        <v>1.6</v>
      </c>
      <c r="G564" s="12"/>
    </row>
    <row r="565" spans="1:7" ht="15" customHeight="1" x14ac:dyDescent="0.3">
      <c r="A565" s="12" t="s">
        <v>205</v>
      </c>
      <c r="B565" s="12" t="s">
        <v>46</v>
      </c>
      <c r="C565" s="12">
        <v>52.9</v>
      </c>
      <c r="D565" s="12" t="s">
        <v>146</v>
      </c>
      <c r="E565" s="12">
        <v>51.7</v>
      </c>
      <c r="F565" s="12">
        <v>1.2</v>
      </c>
      <c r="G565" s="12"/>
    </row>
    <row r="566" spans="1:7" ht="15" customHeight="1" x14ac:dyDescent="0.3">
      <c r="A566" s="12" t="s">
        <v>205</v>
      </c>
      <c r="B566" s="12" t="s">
        <v>46</v>
      </c>
      <c r="C566" s="12">
        <v>52.9</v>
      </c>
      <c r="D566" s="12" t="s">
        <v>186</v>
      </c>
      <c r="E566" s="12">
        <v>48.4</v>
      </c>
      <c r="F566" s="12">
        <v>4.5</v>
      </c>
      <c r="G566" s="12"/>
    </row>
    <row r="567" spans="1:7" ht="15" customHeight="1" x14ac:dyDescent="0.3">
      <c r="A567" s="12" t="s">
        <v>205</v>
      </c>
      <c r="B567" s="12" t="s">
        <v>51</v>
      </c>
      <c r="C567" s="12">
        <v>25.8</v>
      </c>
      <c r="D567" s="12" t="s">
        <v>76</v>
      </c>
      <c r="E567" s="12">
        <v>24</v>
      </c>
      <c r="F567" s="12">
        <v>1.8</v>
      </c>
      <c r="G567" s="12"/>
    </row>
    <row r="568" spans="1:7" ht="15" customHeight="1" x14ac:dyDescent="0.3">
      <c r="A568" s="12" t="s">
        <v>205</v>
      </c>
      <c r="B568" s="12" t="s">
        <v>51</v>
      </c>
      <c r="C568" s="12">
        <v>25.8</v>
      </c>
      <c r="D568" s="12" t="s">
        <v>151</v>
      </c>
      <c r="E568" s="12">
        <v>24</v>
      </c>
      <c r="F568" s="12">
        <v>1.8</v>
      </c>
      <c r="G568" s="12"/>
    </row>
    <row r="569" spans="1:7" ht="15" customHeight="1" x14ac:dyDescent="0.3">
      <c r="A569" s="12" t="s">
        <v>205</v>
      </c>
      <c r="B569" s="12" t="s">
        <v>51</v>
      </c>
      <c r="C569" s="12">
        <v>25.8</v>
      </c>
      <c r="D569" s="12" t="s">
        <v>161</v>
      </c>
      <c r="E569" s="12">
        <v>24.7</v>
      </c>
      <c r="F569" s="12">
        <v>1.1000000000000001</v>
      </c>
      <c r="G569" s="12"/>
    </row>
    <row r="570" spans="1:7" ht="15" customHeight="1" x14ac:dyDescent="0.3">
      <c r="A570" s="12" t="s">
        <v>205</v>
      </c>
      <c r="B570" s="12" t="s">
        <v>56</v>
      </c>
      <c r="C570" s="12">
        <v>32</v>
      </c>
      <c r="D570" s="12" t="s">
        <v>111</v>
      </c>
      <c r="E570" s="12">
        <v>29</v>
      </c>
      <c r="F570" s="12">
        <v>3</v>
      </c>
      <c r="G570" s="12"/>
    </row>
    <row r="571" spans="1:7" ht="15" customHeight="1" x14ac:dyDescent="0.3">
      <c r="A571" s="12" t="s">
        <v>205</v>
      </c>
      <c r="B571" s="12" t="s">
        <v>56</v>
      </c>
      <c r="C571" s="12">
        <v>32</v>
      </c>
      <c r="D571" s="12" t="s">
        <v>116</v>
      </c>
      <c r="E571" s="12">
        <v>33</v>
      </c>
      <c r="F571" s="12">
        <v>1</v>
      </c>
      <c r="G571" s="12"/>
    </row>
    <row r="572" spans="1:7" ht="15" customHeight="1" x14ac:dyDescent="0.3">
      <c r="A572" s="12" t="s">
        <v>205</v>
      </c>
      <c r="B572" s="12" t="s">
        <v>56</v>
      </c>
      <c r="C572" s="12">
        <v>32</v>
      </c>
      <c r="D572" s="12" t="s">
        <v>141</v>
      </c>
      <c r="E572" s="12">
        <v>35</v>
      </c>
      <c r="F572" s="12">
        <v>3</v>
      </c>
      <c r="G572" s="12"/>
    </row>
    <row r="573" spans="1:7" ht="15" customHeight="1" x14ac:dyDescent="0.3">
      <c r="A573" s="12" t="s">
        <v>205</v>
      </c>
      <c r="B573" s="12" t="s">
        <v>56</v>
      </c>
      <c r="C573" s="12">
        <v>32</v>
      </c>
      <c r="D573" s="12" t="s">
        <v>171</v>
      </c>
      <c r="E573" s="12">
        <v>32</v>
      </c>
      <c r="F573" s="12">
        <v>0</v>
      </c>
      <c r="G573" s="12" t="s">
        <v>367</v>
      </c>
    </row>
    <row r="574" spans="1:7" ht="15" customHeight="1" x14ac:dyDescent="0.3">
      <c r="A574" s="12" t="s">
        <v>205</v>
      </c>
      <c r="B574" s="12" t="s">
        <v>56</v>
      </c>
      <c r="C574" s="12">
        <v>32</v>
      </c>
      <c r="D574" s="12" t="s">
        <v>176</v>
      </c>
      <c r="E574" s="12">
        <v>31.4</v>
      </c>
      <c r="F574" s="12">
        <v>0.6</v>
      </c>
      <c r="G574" s="12"/>
    </row>
    <row r="575" spans="1:7" ht="15" customHeight="1" x14ac:dyDescent="0.3">
      <c r="A575" s="12" t="s">
        <v>205</v>
      </c>
      <c r="B575" s="12" t="s">
        <v>61</v>
      </c>
      <c r="C575" s="12">
        <v>53.1</v>
      </c>
      <c r="D575" s="12" t="s">
        <v>66</v>
      </c>
      <c r="E575" s="12">
        <v>49</v>
      </c>
      <c r="F575" s="12">
        <v>4.0999999999999996</v>
      </c>
      <c r="G575" s="12"/>
    </row>
    <row r="576" spans="1:7" ht="15" customHeight="1" x14ac:dyDescent="0.3">
      <c r="A576" s="12" t="s">
        <v>205</v>
      </c>
      <c r="B576" s="12" t="s">
        <v>61</v>
      </c>
      <c r="C576" s="12">
        <v>53.1</v>
      </c>
      <c r="D576" s="12" t="s">
        <v>71</v>
      </c>
      <c r="E576" s="12">
        <v>48.5</v>
      </c>
      <c r="F576" s="12">
        <v>4.5999999999999996</v>
      </c>
      <c r="G576" s="12"/>
    </row>
    <row r="577" spans="1:7" ht="15" customHeight="1" x14ac:dyDescent="0.3">
      <c r="A577" s="12" t="s">
        <v>205</v>
      </c>
      <c r="B577" s="12" t="s">
        <v>61</v>
      </c>
      <c r="C577" s="12">
        <v>53.1</v>
      </c>
      <c r="D577" s="12" t="s">
        <v>106</v>
      </c>
      <c r="E577" s="12">
        <v>55.2</v>
      </c>
      <c r="F577" s="12">
        <v>2.1</v>
      </c>
      <c r="G577" s="12"/>
    </row>
    <row r="578" spans="1:7" ht="15" customHeight="1" x14ac:dyDescent="0.3">
      <c r="A578" s="12" t="s">
        <v>205</v>
      </c>
      <c r="B578" s="12" t="s">
        <v>61</v>
      </c>
      <c r="C578" s="12">
        <v>53.1</v>
      </c>
      <c r="D578" s="12" t="s">
        <v>121</v>
      </c>
      <c r="E578" s="12">
        <v>52.5</v>
      </c>
      <c r="F578" s="12">
        <v>0.6</v>
      </c>
      <c r="G578" s="12"/>
    </row>
    <row r="579" spans="1:7" ht="15" customHeight="1" x14ac:dyDescent="0.3">
      <c r="A579" s="12" t="s">
        <v>205</v>
      </c>
      <c r="B579" s="12" t="s">
        <v>61</v>
      </c>
      <c r="C579" s="12">
        <v>53.1</v>
      </c>
      <c r="D579" s="12" t="s">
        <v>136</v>
      </c>
      <c r="E579" s="12">
        <v>51.3</v>
      </c>
      <c r="F579" s="12">
        <v>1.8</v>
      </c>
      <c r="G579" s="12"/>
    </row>
    <row r="580" spans="1:7" ht="15" customHeight="1" x14ac:dyDescent="0.3">
      <c r="A580" s="12" t="s">
        <v>205</v>
      </c>
      <c r="B580" s="12" t="s">
        <v>61</v>
      </c>
      <c r="C580" s="12">
        <v>53.1</v>
      </c>
      <c r="D580" s="12" t="s">
        <v>146</v>
      </c>
      <c r="E580" s="12">
        <v>51.7</v>
      </c>
      <c r="F580" s="12">
        <v>1.4</v>
      </c>
      <c r="G580" s="12"/>
    </row>
    <row r="581" spans="1:7" ht="15" customHeight="1" x14ac:dyDescent="0.3">
      <c r="A581" s="12" t="s">
        <v>205</v>
      </c>
      <c r="B581" s="12" t="s">
        <v>61</v>
      </c>
      <c r="C581" s="12">
        <v>53.1</v>
      </c>
      <c r="D581" s="12" t="s">
        <v>186</v>
      </c>
      <c r="E581" s="12">
        <v>48.4</v>
      </c>
      <c r="F581" s="12">
        <v>4.7</v>
      </c>
      <c r="G581" s="12"/>
    </row>
    <row r="582" spans="1:7" ht="15" customHeight="1" x14ac:dyDescent="0.3">
      <c r="A582" s="12" t="s">
        <v>205</v>
      </c>
      <c r="B582" s="12" t="s">
        <v>66</v>
      </c>
      <c r="C582" s="12">
        <v>49</v>
      </c>
      <c r="D582" s="12" t="s">
        <v>71</v>
      </c>
      <c r="E582" s="12">
        <v>48.5</v>
      </c>
      <c r="F582" s="12">
        <v>0.5</v>
      </c>
      <c r="G582" s="12"/>
    </row>
    <row r="583" spans="1:7" ht="15" customHeight="1" x14ac:dyDescent="0.3">
      <c r="A583" s="12" t="s">
        <v>205</v>
      </c>
      <c r="B583" s="12" t="s">
        <v>66</v>
      </c>
      <c r="C583" s="12">
        <v>49</v>
      </c>
      <c r="D583" s="12" t="s">
        <v>91</v>
      </c>
      <c r="E583" s="12">
        <v>44.2</v>
      </c>
      <c r="F583" s="12">
        <v>4.8</v>
      </c>
      <c r="G583" s="12"/>
    </row>
    <row r="584" spans="1:7" ht="15" customHeight="1" x14ac:dyDescent="0.3">
      <c r="A584" s="12" t="s">
        <v>205</v>
      </c>
      <c r="B584" s="12" t="s">
        <v>66</v>
      </c>
      <c r="C584" s="12">
        <v>49</v>
      </c>
      <c r="D584" s="12" t="s">
        <v>121</v>
      </c>
      <c r="E584" s="12">
        <v>52.5</v>
      </c>
      <c r="F584" s="12">
        <v>3.5</v>
      </c>
      <c r="G584" s="12"/>
    </row>
    <row r="585" spans="1:7" ht="15" customHeight="1" x14ac:dyDescent="0.3">
      <c r="A585" s="12" t="s">
        <v>205</v>
      </c>
      <c r="B585" s="12" t="s">
        <v>66</v>
      </c>
      <c r="C585" s="12">
        <v>49</v>
      </c>
      <c r="D585" s="12" t="s">
        <v>136</v>
      </c>
      <c r="E585" s="12">
        <v>51.3</v>
      </c>
      <c r="F585" s="12">
        <v>2.2999999999999998</v>
      </c>
      <c r="G585" s="12"/>
    </row>
    <row r="586" spans="1:7" ht="15" customHeight="1" x14ac:dyDescent="0.3">
      <c r="A586" s="12" t="s">
        <v>205</v>
      </c>
      <c r="B586" s="12" t="s">
        <v>66</v>
      </c>
      <c r="C586" s="12">
        <v>49</v>
      </c>
      <c r="D586" s="12" t="s">
        <v>146</v>
      </c>
      <c r="E586" s="12">
        <v>51.7</v>
      </c>
      <c r="F586" s="12">
        <v>2.7</v>
      </c>
      <c r="G586" s="12"/>
    </row>
    <row r="587" spans="1:7" ht="15" customHeight="1" x14ac:dyDescent="0.3">
      <c r="A587" s="12" t="s">
        <v>205</v>
      </c>
      <c r="B587" s="12" t="s">
        <v>66</v>
      </c>
      <c r="C587" s="12">
        <v>49</v>
      </c>
      <c r="D587" s="12" t="s">
        <v>186</v>
      </c>
      <c r="E587" s="12">
        <v>48.4</v>
      </c>
      <c r="F587" s="12">
        <v>0.6</v>
      </c>
      <c r="G587" s="12"/>
    </row>
    <row r="588" spans="1:7" ht="15" customHeight="1" x14ac:dyDescent="0.3">
      <c r="A588" s="12" t="s">
        <v>205</v>
      </c>
      <c r="B588" s="12" t="s">
        <v>71</v>
      </c>
      <c r="C588" s="12">
        <v>48.5</v>
      </c>
      <c r="D588" s="12" t="s">
        <v>91</v>
      </c>
      <c r="E588" s="12">
        <v>44.2</v>
      </c>
      <c r="F588" s="12">
        <v>4.3</v>
      </c>
      <c r="G588" s="12"/>
    </row>
    <row r="589" spans="1:7" ht="15" customHeight="1" x14ac:dyDescent="0.3">
      <c r="A589" s="12" t="s">
        <v>205</v>
      </c>
      <c r="B589" s="12" t="s">
        <v>71</v>
      </c>
      <c r="C589" s="12">
        <v>48.5</v>
      </c>
      <c r="D589" s="12" t="s">
        <v>121</v>
      </c>
      <c r="E589" s="12">
        <v>52.5</v>
      </c>
      <c r="F589" s="12">
        <v>4</v>
      </c>
      <c r="G589" s="12"/>
    </row>
    <row r="590" spans="1:7" ht="15" customHeight="1" x14ac:dyDescent="0.3">
      <c r="A590" s="12" t="s">
        <v>205</v>
      </c>
      <c r="B590" s="12" t="s">
        <v>71</v>
      </c>
      <c r="C590" s="12">
        <v>48.5</v>
      </c>
      <c r="D590" s="12" t="s">
        <v>136</v>
      </c>
      <c r="E590" s="12">
        <v>51.3</v>
      </c>
      <c r="F590" s="12">
        <v>2.8</v>
      </c>
      <c r="G590" s="12"/>
    </row>
    <row r="591" spans="1:7" ht="15" customHeight="1" x14ac:dyDescent="0.3">
      <c r="A591" s="12" t="s">
        <v>205</v>
      </c>
      <c r="B591" s="12" t="s">
        <v>71</v>
      </c>
      <c r="C591" s="12">
        <v>48.5</v>
      </c>
      <c r="D591" s="12" t="s">
        <v>146</v>
      </c>
      <c r="E591" s="12">
        <v>51.7</v>
      </c>
      <c r="F591" s="12">
        <v>3.2</v>
      </c>
      <c r="G591" s="12"/>
    </row>
    <row r="592" spans="1:7" ht="15" customHeight="1" x14ac:dyDescent="0.3">
      <c r="A592" s="12" t="s">
        <v>205</v>
      </c>
      <c r="B592" s="12" t="s">
        <v>71</v>
      </c>
      <c r="C592" s="12">
        <v>48.5</v>
      </c>
      <c r="D592" s="12" t="s">
        <v>186</v>
      </c>
      <c r="E592" s="12">
        <v>48.4</v>
      </c>
      <c r="F592" s="12">
        <v>0.1</v>
      </c>
      <c r="G592" s="12"/>
    </row>
    <row r="593" spans="1:7" ht="15" customHeight="1" x14ac:dyDescent="0.3">
      <c r="A593" s="12" t="s">
        <v>205</v>
      </c>
      <c r="B593" s="12" t="s">
        <v>76</v>
      </c>
      <c r="C593" s="12">
        <v>24</v>
      </c>
      <c r="D593" s="12" t="s">
        <v>151</v>
      </c>
      <c r="E593" s="12">
        <v>24</v>
      </c>
      <c r="F593" s="12">
        <v>0</v>
      </c>
      <c r="G593" s="12" t="s">
        <v>367</v>
      </c>
    </row>
    <row r="594" spans="1:7" ht="15" customHeight="1" x14ac:dyDescent="0.3">
      <c r="A594" s="12" t="s">
        <v>205</v>
      </c>
      <c r="B594" s="12" t="s">
        <v>76</v>
      </c>
      <c r="C594" s="12">
        <v>24</v>
      </c>
      <c r="D594" s="12" t="s">
        <v>161</v>
      </c>
      <c r="E594" s="12">
        <v>24.7</v>
      </c>
      <c r="F594" s="12">
        <v>0.7</v>
      </c>
      <c r="G594" s="12"/>
    </row>
    <row r="595" spans="1:7" ht="15" customHeight="1" x14ac:dyDescent="0.3">
      <c r="A595" s="12" t="s">
        <v>205</v>
      </c>
      <c r="B595" s="12" t="s">
        <v>81</v>
      </c>
      <c r="C595" s="12">
        <v>38.700000000000003</v>
      </c>
      <c r="D595" s="12" t="s">
        <v>86</v>
      </c>
      <c r="E595" s="12">
        <v>41.6</v>
      </c>
      <c r="F595" s="12">
        <v>2.9</v>
      </c>
      <c r="G595" s="12"/>
    </row>
    <row r="596" spans="1:7" ht="15" customHeight="1" x14ac:dyDescent="0.3">
      <c r="A596" s="12" t="s">
        <v>205</v>
      </c>
      <c r="B596" s="12" t="s">
        <v>81</v>
      </c>
      <c r="C596" s="12">
        <v>38.700000000000003</v>
      </c>
      <c r="D596" s="12" t="s">
        <v>96</v>
      </c>
      <c r="E596" s="12">
        <v>40</v>
      </c>
      <c r="F596" s="12">
        <v>1.3</v>
      </c>
      <c r="G596" s="12"/>
    </row>
    <row r="597" spans="1:7" ht="15" customHeight="1" x14ac:dyDescent="0.3">
      <c r="A597" s="12" t="s">
        <v>205</v>
      </c>
      <c r="B597" s="12" t="s">
        <v>81</v>
      </c>
      <c r="C597" s="12">
        <v>38.700000000000003</v>
      </c>
      <c r="D597" s="12" t="s">
        <v>141</v>
      </c>
      <c r="E597" s="12">
        <v>35</v>
      </c>
      <c r="F597" s="12">
        <v>3.7</v>
      </c>
      <c r="G597" s="12"/>
    </row>
    <row r="598" spans="1:7" ht="15" customHeight="1" x14ac:dyDescent="0.3">
      <c r="A598" s="12" t="s">
        <v>205</v>
      </c>
      <c r="B598" s="12" t="s">
        <v>81</v>
      </c>
      <c r="C598" s="12">
        <v>38.700000000000003</v>
      </c>
      <c r="D598" s="12" t="s">
        <v>156</v>
      </c>
      <c r="E598" s="12">
        <v>38</v>
      </c>
      <c r="F598" s="12">
        <v>0.7</v>
      </c>
      <c r="G598" s="12"/>
    </row>
    <row r="599" spans="1:7" ht="15" customHeight="1" x14ac:dyDescent="0.3">
      <c r="A599" s="12" t="s">
        <v>205</v>
      </c>
      <c r="B599" s="12" t="s">
        <v>81</v>
      </c>
      <c r="C599" s="12">
        <v>38.700000000000003</v>
      </c>
      <c r="D599" s="12" t="s">
        <v>166</v>
      </c>
      <c r="E599" s="12">
        <v>41</v>
      </c>
      <c r="F599" s="12">
        <v>2.2999999999999998</v>
      </c>
      <c r="G599" s="12"/>
    </row>
    <row r="600" spans="1:7" ht="15" customHeight="1" x14ac:dyDescent="0.3">
      <c r="A600" s="12" t="s">
        <v>205</v>
      </c>
      <c r="B600" s="12" t="s">
        <v>86</v>
      </c>
      <c r="C600" s="12">
        <v>41.6</v>
      </c>
      <c r="D600" s="12" t="s">
        <v>91</v>
      </c>
      <c r="E600" s="12">
        <v>44.2</v>
      </c>
      <c r="F600" s="12">
        <v>2.6</v>
      </c>
      <c r="G600" s="12"/>
    </row>
    <row r="601" spans="1:7" ht="15" customHeight="1" x14ac:dyDescent="0.3">
      <c r="A601" s="12" t="s">
        <v>205</v>
      </c>
      <c r="B601" s="12" t="s">
        <v>86</v>
      </c>
      <c r="C601" s="12">
        <v>41.6</v>
      </c>
      <c r="D601" s="12" t="s">
        <v>96</v>
      </c>
      <c r="E601" s="12">
        <v>40</v>
      </c>
      <c r="F601" s="12">
        <v>1.6</v>
      </c>
      <c r="G601" s="12"/>
    </row>
    <row r="602" spans="1:7" ht="15" customHeight="1" x14ac:dyDescent="0.3">
      <c r="A602" s="12" t="s">
        <v>205</v>
      </c>
      <c r="B602" s="12" t="s">
        <v>86</v>
      </c>
      <c r="C602" s="12">
        <v>41.6</v>
      </c>
      <c r="D602" s="12" t="s">
        <v>156</v>
      </c>
      <c r="E602" s="12">
        <v>38</v>
      </c>
      <c r="F602" s="12">
        <v>3.6</v>
      </c>
      <c r="G602" s="12"/>
    </row>
    <row r="603" spans="1:7" ht="15" customHeight="1" x14ac:dyDescent="0.3">
      <c r="A603" s="12" t="s">
        <v>205</v>
      </c>
      <c r="B603" s="12" t="s">
        <v>86</v>
      </c>
      <c r="C603" s="12">
        <v>41.6</v>
      </c>
      <c r="D603" s="12" t="s">
        <v>166</v>
      </c>
      <c r="E603" s="12">
        <v>41</v>
      </c>
      <c r="F603" s="12">
        <v>0.6</v>
      </c>
      <c r="G603" s="12"/>
    </row>
    <row r="604" spans="1:7" ht="15" customHeight="1" x14ac:dyDescent="0.3">
      <c r="A604" s="12" t="s">
        <v>205</v>
      </c>
      <c r="B604" s="12" t="s">
        <v>91</v>
      </c>
      <c r="C604" s="12">
        <v>44.2</v>
      </c>
      <c r="D604" s="12" t="s">
        <v>96</v>
      </c>
      <c r="E604" s="12">
        <v>40</v>
      </c>
      <c r="F604" s="12">
        <v>4.2</v>
      </c>
      <c r="G604" s="12"/>
    </row>
    <row r="605" spans="1:7" ht="15" customHeight="1" x14ac:dyDescent="0.3">
      <c r="A605" s="12" t="s">
        <v>205</v>
      </c>
      <c r="B605" s="12" t="s">
        <v>91</v>
      </c>
      <c r="C605" s="12">
        <v>44.2</v>
      </c>
      <c r="D605" s="12" t="s">
        <v>166</v>
      </c>
      <c r="E605" s="12">
        <v>41</v>
      </c>
      <c r="F605" s="12">
        <v>3.2</v>
      </c>
      <c r="G605" s="12"/>
    </row>
    <row r="606" spans="1:7" ht="15" customHeight="1" x14ac:dyDescent="0.3">
      <c r="A606" s="12" t="s">
        <v>205</v>
      </c>
      <c r="B606" s="12" t="s">
        <v>91</v>
      </c>
      <c r="C606" s="12">
        <v>44.2</v>
      </c>
      <c r="D606" s="12" t="s">
        <v>186</v>
      </c>
      <c r="E606" s="12">
        <v>48.4</v>
      </c>
      <c r="F606" s="12">
        <v>4.2</v>
      </c>
      <c r="G606" s="12"/>
    </row>
    <row r="607" spans="1:7" ht="15" customHeight="1" x14ac:dyDescent="0.3">
      <c r="A607" s="12" t="s">
        <v>205</v>
      </c>
      <c r="B607" s="12" t="s">
        <v>96</v>
      </c>
      <c r="C607" s="12">
        <v>40</v>
      </c>
      <c r="D607" s="12" t="s">
        <v>156</v>
      </c>
      <c r="E607" s="12">
        <v>38</v>
      </c>
      <c r="F607" s="12">
        <v>2</v>
      </c>
      <c r="G607" s="12"/>
    </row>
    <row r="608" spans="1:7" ht="15" customHeight="1" x14ac:dyDescent="0.3">
      <c r="A608" s="12" t="s">
        <v>205</v>
      </c>
      <c r="B608" s="12" t="s">
        <v>96</v>
      </c>
      <c r="C608" s="12">
        <v>40</v>
      </c>
      <c r="D608" s="12" t="s">
        <v>166</v>
      </c>
      <c r="E608" s="12">
        <v>41</v>
      </c>
      <c r="F608" s="12">
        <v>1</v>
      </c>
      <c r="G608" s="12"/>
    </row>
    <row r="609" spans="1:7" ht="15" customHeight="1" x14ac:dyDescent="0.3">
      <c r="A609" s="12" t="s">
        <v>205</v>
      </c>
      <c r="B609" s="12" t="s">
        <v>106</v>
      </c>
      <c r="C609" s="12">
        <v>55.2</v>
      </c>
      <c r="D609" s="12" t="s">
        <v>121</v>
      </c>
      <c r="E609" s="12">
        <v>52.5</v>
      </c>
      <c r="F609" s="12">
        <v>2.7</v>
      </c>
      <c r="G609" s="12"/>
    </row>
    <row r="610" spans="1:7" ht="15" customHeight="1" x14ac:dyDescent="0.3">
      <c r="A610" s="12" t="s">
        <v>205</v>
      </c>
      <c r="B610" s="12" t="s">
        <v>106</v>
      </c>
      <c r="C610" s="12">
        <v>55.2</v>
      </c>
      <c r="D610" s="12" t="s">
        <v>136</v>
      </c>
      <c r="E610" s="12">
        <v>51.3</v>
      </c>
      <c r="F610" s="12">
        <v>3.9</v>
      </c>
      <c r="G610" s="12"/>
    </row>
    <row r="611" spans="1:7" ht="15" customHeight="1" x14ac:dyDescent="0.3">
      <c r="A611" s="12" t="s">
        <v>205</v>
      </c>
      <c r="B611" s="12" t="s">
        <v>106</v>
      </c>
      <c r="C611" s="12">
        <v>55.2</v>
      </c>
      <c r="D611" s="12" t="s">
        <v>146</v>
      </c>
      <c r="E611" s="12">
        <v>51.7</v>
      </c>
      <c r="F611" s="12">
        <v>3.5</v>
      </c>
      <c r="G611" s="12"/>
    </row>
    <row r="612" spans="1:7" ht="15" customHeight="1" x14ac:dyDescent="0.3">
      <c r="A612" s="12" t="s">
        <v>205</v>
      </c>
      <c r="B612" s="12" t="s">
        <v>111</v>
      </c>
      <c r="C612" s="12">
        <v>29</v>
      </c>
      <c r="D612" s="12" t="s">
        <v>171</v>
      </c>
      <c r="E612" s="12">
        <v>32</v>
      </c>
      <c r="F612" s="12">
        <v>3</v>
      </c>
      <c r="G612" s="12"/>
    </row>
    <row r="613" spans="1:7" ht="15" customHeight="1" x14ac:dyDescent="0.3">
      <c r="A613" s="12" t="s">
        <v>205</v>
      </c>
      <c r="B613" s="12" t="s">
        <v>111</v>
      </c>
      <c r="C613" s="12">
        <v>29</v>
      </c>
      <c r="D613" s="12" t="s">
        <v>176</v>
      </c>
      <c r="E613" s="12">
        <v>31.4</v>
      </c>
      <c r="F613" s="12">
        <v>2.4</v>
      </c>
      <c r="G613" s="12"/>
    </row>
    <row r="614" spans="1:7" ht="15" customHeight="1" x14ac:dyDescent="0.3">
      <c r="A614" s="12" t="s">
        <v>205</v>
      </c>
      <c r="B614" s="12" t="s">
        <v>116</v>
      </c>
      <c r="C614" s="12">
        <v>33</v>
      </c>
      <c r="D614" s="12" t="s">
        <v>141</v>
      </c>
      <c r="E614" s="12">
        <v>35</v>
      </c>
      <c r="F614" s="12">
        <v>2</v>
      </c>
      <c r="G614" s="12"/>
    </row>
    <row r="615" spans="1:7" ht="15" customHeight="1" x14ac:dyDescent="0.3">
      <c r="A615" s="12" t="s">
        <v>205</v>
      </c>
      <c r="B615" s="12" t="s">
        <v>116</v>
      </c>
      <c r="C615" s="12">
        <v>33</v>
      </c>
      <c r="D615" s="12" t="s">
        <v>171</v>
      </c>
      <c r="E615" s="12">
        <v>32</v>
      </c>
      <c r="F615" s="12">
        <v>1</v>
      </c>
      <c r="G615" s="12"/>
    </row>
    <row r="616" spans="1:7" ht="15" customHeight="1" x14ac:dyDescent="0.3">
      <c r="A616" s="12" t="s">
        <v>205</v>
      </c>
      <c r="B616" s="12" t="s">
        <v>116</v>
      </c>
      <c r="C616" s="12">
        <v>33</v>
      </c>
      <c r="D616" s="12" t="s">
        <v>176</v>
      </c>
      <c r="E616" s="12">
        <v>31.4</v>
      </c>
      <c r="F616" s="12">
        <v>1.6</v>
      </c>
      <c r="G616" s="12"/>
    </row>
    <row r="617" spans="1:7" ht="15" customHeight="1" x14ac:dyDescent="0.3">
      <c r="A617" s="12" t="s">
        <v>205</v>
      </c>
      <c r="B617" s="12" t="s">
        <v>121</v>
      </c>
      <c r="C617" s="12">
        <v>52.5</v>
      </c>
      <c r="D617" s="12" t="s">
        <v>136</v>
      </c>
      <c r="E617" s="12">
        <v>51.3</v>
      </c>
      <c r="F617" s="12">
        <v>1.2</v>
      </c>
      <c r="G617" s="12"/>
    </row>
    <row r="618" spans="1:7" ht="15" customHeight="1" x14ac:dyDescent="0.3">
      <c r="A618" s="12" t="s">
        <v>205</v>
      </c>
      <c r="B618" s="12" t="s">
        <v>121</v>
      </c>
      <c r="C618" s="12">
        <v>52.5</v>
      </c>
      <c r="D618" s="12" t="s">
        <v>146</v>
      </c>
      <c r="E618" s="12">
        <v>51.7</v>
      </c>
      <c r="F618" s="12">
        <v>0.8</v>
      </c>
      <c r="G618" s="12"/>
    </row>
    <row r="619" spans="1:7" ht="15" customHeight="1" x14ac:dyDescent="0.3">
      <c r="A619" s="12" t="s">
        <v>205</v>
      </c>
      <c r="B619" s="12" t="s">
        <v>121</v>
      </c>
      <c r="C619" s="12">
        <v>52.5</v>
      </c>
      <c r="D619" s="12" t="s">
        <v>186</v>
      </c>
      <c r="E619" s="12">
        <v>48.4</v>
      </c>
      <c r="F619" s="12">
        <v>4.0999999999999996</v>
      </c>
      <c r="G619" s="12"/>
    </row>
    <row r="620" spans="1:7" ht="15" customHeight="1" x14ac:dyDescent="0.3">
      <c r="A620" s="12" t="s">
        <v>205</v>
      </c>
      <c r="B620" s="12" t="s">
        <v>126</v>
      </c>
      <c r="C620" s="12">
        <v>79.099999999999994</v>
      </c>
      <c r="D620" s="12" t="s">
        <v>131</v>
      </c>
      <c r="E620" s="12">
        <v>80.099999999999994</v>
      </c>
      <c r="F620" s="12">
        <v>1</v>
      </c>
      <c r="G620" s="12"/>
    </row>
    <row r="621" spans="1:7" ht="15" customHeight="1" x14ac:dyDescent="0.3">
      <c r="A621" s="12" t="s">
        <v>205</v>
      </c>
      <c r="B621" s="12" t="s">
        <v>136</v>
      </c>
      <c r="C621" s="12">
        <v>51.3</v>
      </c>
      <c r="D621" s="12" t="s">
        <v>146</v>
      </c>
      <c r="E621" s="12">
        <v>51.7</v>
      </c>
      <c r="F621" s="12">
        <v>0.4</v>
      </c>
      <c r="G621" s="12"/>
    </row>
    <row r="622" spans="1:7" ht="15" customHeight="1" x14ac:dyDescent="0.3">
      <c r="A622" s="12" t="s">
        <v>205</v>
      </c>
      <c r="B622" s="12" t="s">
        <v>136</v>
      </c>
      <c r="C622" s="12">
        <v>51.3</v>
      </c>
      <c r="D622" s="12" t="s">
        <v>186</v>
      </c>
      <c r="E622" s="12">
        <v>48.4</v>
      </c>
      <c r="F622" s="12">
        <v>2.9</v>
      </c>
      <c r="G622" s="12"/>
    </row>
    <row r="623" spans="1:7" ht="15" customHeight="1" x14ac:dyDescent="0.3">
      <c r="A623" s="12" t="s">
        <v>205</v>
      </c>
      <c r="B623" s="12" t="s">
        <v>141</v>
      </c>
      <c r="C623" s="12">
        <v>35</v>
      </c>
      <c r="D623" s="12" t="s">
        <v>156</v>
      </c>
      <c r="E623" s="12">
        <v>38</v>
      </c>
      <c r="F623" s="12">
        <v>3</v>
      </c>
      <c r="G623" s="12"/>
    </row>
    <row r="624" spans="1:7" ht="15" customHeight="1" x14ac:dyDescent="0.3">
      <c r="A624" s="12" t="s">
        <v>205</v>
      </c>
      <c r="B624" s="12" t="s">
        <v>141</v>
      </c>
      <c r="C624" s="12">
        <v>35</v>
      </c>
      <c r="D624" s="12" t="s">
        <v>171</v>
      </c>
      <c r="E624" s="12">
        <v>32</v>
      </c>
      <c r="F624" s="12">
        <v>3</v>
      </c>
      <c r="G624" s="12"/>
    </row>
    <row r="625" spans="1:7" ht="15" customHeight="1" x14ac:dyDescent="0.3">
      <c r="A625" s="12" t="s">
        <v>205</v>
      </c>
      <c r="B625" s="12" t="s">
        <v>146</v>
      </c>
      <c r="C625" s="12">
        <v>51.7</v>
      </c>
      <c r="D625" s="12" t="s">
        <v>186</v>
      </c>
      <c r="E625" s="12">
        <v>48.4</v>
      </c>
      <c r="F625" s="12">
        <v>3.3</v>
      </c>
      <c r="G625" s="12"/>
    </row>
    <row r="626" spans="1:7" ht="15" customHeight="1" x14ac:dyDescent="0.3">
      <c r="A626" s="12" t="s">
        <v>205</v>
      </c>
      <c r="B626" s="12" t="s">
        <v>151</v>
      </c>
      <c r="C626" s="12">
        <v>24</v>
      </c>
      <c r="D626" s="12" t="s">
        <v>161</v>
      </c>
      <c r="E626" s="12">
        <v>24.7</v>
      </c>
      <c r="F626" s="12">
        <v>0.7</v>
      </c>
      <c r="G626" s="12"/>
    </row>
    <row r="627" spans="1:7" ht="15" customHeight="1" x14ac:dyDescent="0.3">
      <c r="A627" s="12" t="s">
        <v>205</v>
      </c>
      <c r="B627" s="12" t="s">
        <v>156</v>
      </c>
      <c r="C627" s="12">
        <v>38</v>
      </c>
      <c r="D627" s="12" t="s">
        <v>166</v>
      </c>
      <c r="E627" s="12">
        <v>41</v>
      </c>
      <c r="F627" s="12">
        <v>3</v>
      </c>
      <c r="G627" s="12"/>
    </row>
    <row r="628" spans="1:7" ht="15" customHeight="1" x14ac:dyDescent="0.3">
      <c r="A628" s="12" t="s">
        <v>205</v>
      </c>
      <c r="B628" s="12" t="s">
        <v>171</v>
      </c>
      <c r="C628" s="12">
        <v>32</v>
      </c>
      <c r="D628" s="12" t="s">
        <v>176</v>
      </c>
      <c r="E628" s="12">
        <v>31.4</v>
      </c>
      <c r="F628" s="12">
        <v>0.6</v>
      </c>
      <c r="G628" s="12"/>
    </row>
    <row r="629" spans="1:7" ht="15" customHeight="1" x14ac:dyDescent="0.3">
      <c r="A629" s="12" t="s">
        <v>206</v>
      </c>
      <c r="B629" s="12" t="s">
        <v>31</v>
      </c>
      <c r="C629" s="12">
        <v>913</v>
      </c>
      <c r="D629" s="12" t="s">
        <v>61</v>
      </c>
      <c r="E629" s="12">
        <v>980</v>
      </c>
      <c r="F629" s="12">
        <v>67</v>
      </c>
      <c r="G629" s="12"/>
    </row>
    <row r="630" spans="1:7" ht="15" customHeight="1" x14ac:dyDescent="0.3">
      <c r="A630" s="12" t="s">
        <v>206</v>
      </c>
      <c r="B630" s="12" t="s">
        <v>31</v>
      </c>
      <c r="C630" s="12">
        <v>913</v>
      </c>
      <c r="D630" s="12" t="s">
        <v>181</v>
      </c>
      <c r="E630" s="12">
        <v>978</v>
      </c>
      <c r="F630" s="12">
        <v>65</v>
      </c>
      <c r="G630" s="12"/>
    </row>
    <row r="631" spans="1:7" ht="15" customHeight="1" x14ac:dyDescent="0.3">
      <c r="A631" s="12" t="s">
        <v>206</v>
      </c>
      <c r="B631" s="12" t="s">
        <v>36</v>
      </c>
      <c r="C631" s="12">
        <v>111</v>
      </c>
      <c r="D631" s="12" t="s">
        <v>41</v>
      </c>
      <c r="E631" s="12">
        <v>103</v>
      </c>
      <c r="F631" s="12">
        <v>8</v>
      </c>
      <c r="G631" s="12"/>
    </row>
    <row r="632" spans="1:7" ht="15" customHeight="1" x14ac:dyDescent="0.3">
      <c r="A632" s="12" t="s">
        <v>206</v>
      </c>
      <c r="B632" s="12" t="s">
        <v>36</v>
      </c>
      <c r="C632" s="12">
        <v>111</v>
      </c>
      <c r="D632" s="12" t="s">
        <v>46</v>
      </c>
      <c r="E632" s="12">
        <v>122</v>
      </c>
      <c r="F632" s="12">
        <v>11</v>
      </c>
      <c r="G632" s="12"/>
    </row>
    <row r="633" spans="1:7" ht="15" customHeight="1" x14ac:dyDescent="0.3">
      <c r="A633" s="12" t="s">
        <v>206</v>
      </c>
      <c r="B633" s="12" t="s">
        <v>36</v>
      </c>
      <c r="C633" s="12">
        <v>111</v>
      </c>
      <c r="D633" s="12" t="s">
        <v>156</v>
      </c>
      <c r="E633" s="12">
        <v>105</v>
      </c>
      <c r="F633" s="12">
        <v>6</v>
      </c>
      <c r="G633" s="12"/>
    </row>
    <row r="634" spans="1:7" ht="15" customHeight="1" x14ac:dyDescent="0.3">
      <c r="A634" s="12" t="s">
        <v>206</v>
      </c>
      <c r="B634" s="12" t="s">
        <v>41</v>
      </c>
      <c r="C634" s="12">
        <v>103</v>
      </c>
      <c r="D634" s="12" t="s">
        <v>156</v>
      </c>
      <c r="E634" s="12">
        <v>105</v>
      </c>
      <c r="F634" s="12">
        <v>2</v>
      </c>
      <c r="G634" s="12"/>
    </row>
    <row r="635" spans="1:7" ht="15" customHeight="1" x14ac:dyDescent="0.3">
      <c r="A635" s="12" t="s">
        <v>206</v>
      </c>
      <c r="B635" s="12" t="s">
        <v>46</v>
      </c>
      <c r="C635" s="12">
        <v>122</v>
      </c>
      <c r="D635" s="12" t="s">
        <v>56</v>
      </c>
      <c r="E635" s="12">
        <v>131</v>
      </c>
      <c r="F635" s="12">
        <v>9</v>
      </c>
      <c r="G635" s="12"/>
    </row>
    <row r="636" spans="1:7" ht="15" customHeight="1" x14ac:dyDescent="0.3">
      <c r="A636" s="12" t="s">
        <v>206</v>
      </c>
      <c r="B636" s="12" t="s">
        <v>46</v>
      </c>
      <c r="C636" s="12">
        <v>122</v>
      </c>
      <c r="D636" s="12" t="s">
        <v>86</v>
      </c>
      <c r="E636" s="12">
        <v>129</v>
      </c>
      <c r="F636" s="12">
        <v>7</v>
      </c>
      <c r="G636" s="12"/>
    </row>
    <row r="637" spans="1:7" ht="15" customHeight="1" x14ac:dyDescent="0.3">
      <c r="A637" s="12" t="s">
        <v>206</v>
      </c>
      <c r="B637" s="12" t="s">
        <v>46</v>
      </c>
      <c r="C637" s="12">
        <v>122</v>
      </c>
      <c r="D637" s="12" t="s">
        <v>126</v>
      </c>
      <c r="E637" s="12">
        <v>125</v>
      </c>
      <c r="F637" s="12">
        <v>3</v>
      </c>
      <c r="G637" s="12"/>
    </row>
    <row r="638" spans="1:7" ht="15" customHeight="1" x14ac:dyDescent="0.3">
      <c r="A638" s="12" t="s">
        <v>206</v>
      </c>
      <c r="B638" s="12" t="s">
        <v>46</v>
      </c>
      <c r="C638" s="12">
        <v>122</v>
      </c>
      <c r="D638" s="12" t="s">
        <v>171</v>
      </c>
      <c r="E638" s="12">
        <v>128</v>
      </c>
      <c r="F638" s="12">
        <v>6</v>
      </c>
      <c r="G638" s="12"/>
    </row>
    <row r="639" spans="1:7" ht="15" customHeight="1" x14ac:dyDescent="0.3">
      <c r="A639" s="12" t="s">
        <v>206</v>
      </c>
      <c r="B639" s="12" t="s">
        <v>51</v>
      </c>
      <c r="C639" s="12">
        <v>236</v>
      </c>
      <c r="D639" s="12" t="s">
        <v>96</v>
      </c>
      <c r="E639" s="12">
        <v>220</v>
      </c>
      <c r="F639" s="12">
        <v>16</v>
      </c>
      <c r="G639" s="12"/>
    </row>
    <row r="640" spans="1:7" ht="15" customHeight="1" x14ac:dyDescent="0.3">
      <c r="A640" s="12" t="s">
        <v>206</v>
      </c>
      <c r="B640" s="12" t="s">
        <v>56</v>
      </c>
      <c r="C640" s="12">
        <v>131</v>
      </c>
      <c r="D640" s="12" t="s">
        <v>86</v>
      </c>
      <c r="E640" s="12">
        <v>129</v>
      </c>
      <c r="F640" s="12">
        <v>2</v>
      </c>
      <c r="G640" s="12"/>
    </row>
    <row r="641" spans="1:7" ht="15" customHeight="1" x14ac:dyDescent="0.3">
      <c r="A641" s="12" t="s">
        <v>206</v>
      </c>
      <c r="B641" s="12" t="s">
        <v>56</v>
      </c>
      <c r="C641" s="12">
        <v>131</v>
      </c>
      <c r="D641" s="12" t="s">
        <v>106</v>
      </c>
      <c r="E641" s="12">
        <v>145</v>
      </c>
      <c r="F641" s="12">
        <v>14</v>
      </c>
      <c r="G641" s="12"/>
    </row>
    <row r="642" spans="1:7" ht="15" customHeight="1" x14ac:dyDescent="0.3">
      <c r="A642" s="12" t="s">
        <v>206</v>
      </c>
      <c r="B642" s="12" t="s">
        <v>56</v>
      </c>
      <c r="C642" s="12">
        <v>131</v>
      </c>
      <c r="D642" s="12" t="s">
        <v>126</v>
      </c>
      <c r="E642" s="12">
        <v>125</v>
      </c>
      <c r="F642" s="12">
        <v>6</v>
      </c>
      <c r="G642" s="12"/>
    </row>
    <row r="643" spans="1:7" ht="15" customHeight="1" x14ac:dyDescent="0.3">
      <c r="A643" s="12" t="s">
        <v>206</v>
      </c>
      <c r="B643" s="12" t="s">
        <v>56</v>
      </c>
      <c r="C643" s="12">
        <v>131</v>
      </c>
      <c r="D643" s="12" t="s">
        <v>171</v>
      </c>
      <c r="E643" s="12">
        <v>128</v>
      </c>
      <c r="F643" s="12">
        <v>3</v>
      </c>
      <c r="G643" s="12"/>
    </row>
    <row r="644" spans="1:7" ht="15" customHeight="1" x14ac:dyDescent="0.3">
      <c r="A644" s="12" t="s">
        <v>206</v>
      </c>
      <c r="B644" s="12" t="s">
        <v>61</v>
      </c>
      <c r="C644" s="12">
        <v>980</v>
      </c>
      <c r="D644" s="12" t="s">
        <v>181</v>
      </c>
      <c r="E644" s="12">
        <v>978</v>
      </c>
      <c r="F644" s="12">
        <v>2</v>
      </c>
      <c r="G644" s="12"/>
    </row>
    <row r="645" spans="1:7" ht="15" customHeight="1" x14ac:dyDescent="0.3">
      <c r="A645" s="12" t="s">
        <v>206</v>
      </c>
      <c r="B645" s="12" t="s">
        <v>76</v>
      </c>
      <c r="C645" s="12">
        <v>295</v>
      </c>
      <c r="D645" s="12" t="s">
        <v>146</v>
      </c>
      <c r="E645" s="12">
        <v>280</v>
      </c>
      <c r="F645" s="12">
        <v>15</v>
      </c>
      <c r="G645" s="12"/>
    </row>
    <row r="646" spans="1:7" ht="15" customHeight="1" x14ac:dyDescent="0.3">
      <c r="A646" s="12" t="s">
        <v>206</v>
      </c>
      <c r="B646" s="12" t="s">
        <v>76</v>
      </c>
      <c r="C646" s="12">
        <v>295</v>
      </c>
      <c r="D646" s="12" t="s">
        <v>166</v>
      </c>
      <c r="E646" s="12">
        <v>267</v>
      </c>
      <c r="F646" s="12">
        <v>28</v>
      </c>
      <c r="G646" s="12"/>
    </row>
    <row r="647" spans="1:7" ht="15" customHeight="1" x14ac:dyDescent="0.3">
      <c r="A647" s="12" t="s">
        <v>206</v>
      </c>
      <c r="B647" s="12" t="s">
        <v>81</v>
      </c>
      <c r="C647" s="12">
        <v>198</v>
      </c>
      <c r="D647" s="12" t="s">
        <v>91</v>
      </c>
      <c r="E647" s="12">
        <v>202</v>
      </c>
      <c r="F647" s="12">
        <v>4</v>
      </c>
      <c r="G647" s="12"/>
    </row>
    <row r="648" spans="1:7" ht="15" customHeight="1" x14ac:dyDescent="0.3">
      <c r="A648" s="12" t="s">
        <v>206</v>
      </c>
      <c r="B648" s="12" t="s">
        <v>81</v>
      </c>
      <c r="C648" s="12">
        <v>198</v>
      </c>
      <c r="D648" s="12" t="s">
        <v>131</v>
      </c>
      <c r="E648" s="12">
        <v>189</v>
      </c>
      <c r="F648" s="12">
        <v>9</v>
      </c>
      <c r="G648" s="12"/>
    </row>
    <row r="649" spans="1:7" ht="15" customHeight="1" x14ac:dyDescent="0.3">
      <c r="A649" s="12" t="s">
        <v>206</v>
      </c>
      <c r="B649" s="12" t="s">
        <v>81</v>
      </c>
      <c r="C649" s="12">
        <v>198</v>
      </c>
      <c r="D649" s="12" t="s">
        <v>141</v>
      </c>
      <c r="E649" s="12">
        <v>210</v>
      </c>
      <c r="F649" s="12">
        <v>12</v>
      </c>
      <c r="G649" s="12"/>
    </row>
    <row r="650" spans="1:7" ht="15" customHeight="1" x14ac:dyDescent="0.3">
      <c r="A650" s="12" t="s">
        <v>206</v>
      </c>
      <c r="B650" s="12" t="s">
        <v>86</v>
      </c>
      <c r="C650" s="12">
        <v>129</v>
      </c>
      <c r="D650" s="12" t="s">
        <v>126</v>
      </c>
      <c r="E650" s="12">
        <v>125</v>
      </c>
      <c r="F650" s="12">
        <v>4</v>
      </c>
      <c r="G650" s="12"/>
    </row>
    <row r="651" spans="1:7" ht="15" customHeight="1" x14ac:dyDescent="0.3">
      <c r="A651" s="12" t="s">
        <v>206</v>
      </c>
      <c r="B651" s="12" t="s">
        <v>86</v>
      </c>
      <c r="C651" s="12">
        <v>129</v>
      </c>
      <c r="D651" s="12" t="s">
        <v>171</v>
      </c>
      <c r="E651" s="12">
        <v>128</v>
      </c>
      <c r="F651" s="12">
        <v>1</v>
      </c>
      <c r="G651" s="12"/>
    </row>
    <row r="652" spans="1:7" ht="15" customHeight="1" x14ac:dyDescent="0.3">
      <c r="A652" s="12" t="s">
        <v>206</v>
      </c>
      <c r="B652" s="12" t="s">
        <v>91</v>
      </c>
      <c r="C652" s="12">
        <v>202</v>
      </c>
      <c r="D652" s="12" t="s">
        <v>96</v>
      </c>
      <c r="E652" s="12">
        <v>220</v>
      </c>
      <c r="F652" s="12">
        <v>18</v>
      </c>
      <c r="G652" s="12"/>
    </row>
    <row r="653" spans="1:7" ht="15" customHeight="1" x14ac:dyDescent="0.3">
      <c r="A653" s="12" t="s">
        <v>206</v>
      </c>
      <c r="B653" s="12" t="s">
        <v>91</v>
      </c>
      <c r="C653" s="12">
        <v>202</v>
      </c>
      <c r="D653" s="12" t="s">
        <v>131</v>
      </c>
      <c r="E653" s="12">
        <v>189</v>
      </c>
      <c r="F653" s="12">
        <v>13</v>
      </c>
      <c r="G653" s="12"/>
    </row>
    <row r="654" spans="1:7" ht="15" customHeight="1" x14ac:dyDescent="0.3">
      <c r="A654" s="12" t="s">
        <v>206</v>
      </c>
      <c r="B654" s="12" t="s">
        <v>91</v>
      </c>
      <c r="C654" s="12">
        <v>202</v>
      </c>
      <c r="D654" s="12" t="s">
        <v>141</v>
      </c>
      <c r="E654" s="12">
        <v>210</v>
      </c>
      <c r="F654" s="12">
        <v>8</v>
      </c>
      <c r="G654" s="12"/>
    </row>
    <row r="655" spans="1:7" ht="15" customHeight="1" x14ac:dyDescent="0.3">
      <c r="A655" s="12" t="s">
        <v>206</v>
      </c>
      <c r="B655" s="12" t="s">
        <v>96</v>
      </c>
      <c r="C655" s="12">
        <v>220</v>
      </c>
      <c r="D655" s="12" t="s">
        <v>141</v>
      </c>
      <c r="E655" s="12">
        <v>210</v>
      </c>
      <c r="F655" s="12">
        <v>10</v>
      </c>
      <c r="G655" s="12"/>
    </row>
    <row r="656" spans="1:7" ht="15" customHeight="1" x14ac:dyDescent="0.3">
      <c r="A656" s="12" t="s">
        <v>206</v>
      </c>
      <c r="B656" s="12" t="s">
        <v>101</v>
      </c>
      <c r="C656" s="12">
        <v>49</v>
      </c>
      <c r="D656" s="12" t="s">
        <v>136</v>
      </c>
      <c r="E656" s="12">
        <v>47</v>
      </c>
      <c r="F656" s="12">
        <v>2</v>
      </c>
      <c r="G656" s="12"/>
    </row>
    <row r="657" spans="1:7" ht="15" customHeight="1" x14ac:dyDescent="0.3">
      <c r="A657" s="12" t="s">
        <v>206</v>
      </c>
      <c r="B657" s="12" t="s">
        <v>116</v>
      </c>
      <c r="C657" s="12">
        <v>81</v>
      </c>
      <c r="D657" s="12" t="s">
        <v>176</v>
      </c>
      <c r="E657" s="12">
        <v>75</v>
      </c>
      <c r="F657" s="12">
        <v>6</v>
      </c>
      <c r="G657" s="12"/>
    </row>
    <row r="658" spans="1:7" ht="15" customHeight="1" x14ac:dyDescent="0.3">
      <c r="A658" s="12" t="s">
        <v>206</v>
      </c>
      <c r="B658" s="12" t="s">
        <v>116</v>
      </c>
      <c r="C658" s="12">
        <v>81</v>
      </c>
      <c r="D658" s="12" t="s">
        <v>186</v>
      </c>
      <c r="E658" s="12">
        <v>80</v>
      </c>
      <c r="F658" s="12">
        <v>1</v>
      </c>
      <c r="G658" s="12"/>
    </row>
    <row r="659" spans="1:7" ht="15" customHeight="1" x14ac:dyDescent="0.3">
      <c r="A659" s="12" t="s">
        <v>206</v>
      </c>
      <c r="B659" s="12" t="s">
        <v>126</v>
      </c>
      <c r="C659" s="12">
        <v>125</v>
      </c>
      <c r="D659" s="12" t="s">
        <v>171</v>
      </c>
      <c r="E659" s="12">
        <v>128</v>
      </c>
      <c r="F659" s="12">
        <v>3</v>
      </c>
      <c r="G659" s="12"/>
    </row>
    <row r="660" spans="1:7" ht="15" customHeight="1" x14ac:dyDescent="0.3">
      <c r="A660" s="12" t="s">
        <v>206</v>
      </c>
      <c r="B660" s="12" t="s">
        <v>131</v>
      </c>
      <c r="C660" s="12">
        <v>189</v>
      </c>
      <c r="D660" s="12" t="s">
        <v>151</v>
      </c>
      <c r="E660" s="12">
        <v>178</v>
      </c>
      <c r="F660" s="12">
        <v>11</v>
      </c>
      <c r="G660" s="12"/>
    </row>
    <row r="661" spans="1:7" ht="15" customHeight="1" x14ac:dyDescent="0.3">
      <c r="A661" s="12" t="s">
        <v>206</v>
      </c>
      <c r="B661" s="12" t="s">
        <v>146</v>
      </c>
      <c r="C661" s="12">
        <v>280</v>
      </c>
      <c r="D661" s="12" t="s">
        <v>166</v>
      </c>
      <c r="E661" s="12">
        <v>267</v>
      </c>
      <c r="F661" s="12">
        <v>13</v>
      </c>
      <c r="G661" s="12"/>
    </row>
    <row r="662" spans="1:7" ht="15" customHeight="1" x14ac:dyDescent="0.3">
      <c r="A662" s="12" t="s">
        <v>206</v>
      </c>
      <c r="B662" s="12" t="s">
        <v>176</v>
      </c>
      <c r="C662" s="12">
        <v>75</v>
      </c>
      <c r="D662" s="12" t="s">
        <v>186</v>
      </c>
      <c r="E662" s="12">
        <v>80</v>
      </c>
      <c r="F662" s="12">
        <v>5</v>
      </c>
      <c r="G662" s="12"/>
    </row>
    <row r="663" spans="1:7" ht="15" customHeight="1" x14ac:dyDescent="0.3">
      <c r="A663" s="12" t="s">
        <v>207</v>
      </c>
      <c r="B663" s="12" t="s">
        <v>31</v>
      </c>
      <c r="C663" s="12">
        <v>11</v>
      </c>
      <c r="D663" s="12" t="s">
        <v>126</v>
      </c>
      <c r="E663" s="12">
        <v>11</v>
      </c>
      <c r="F663" s="12">
        <v>0</v>
      </c>
      <c r="G663" s="12" t="s">
        <v>367</v>
      </c>
    </row>
    <row r="664" spans="1:7" ht="15" customHeight="1" x14ac:dyDescent="0.3">
      <c r="A664" s="12" t="s">
        <v>207</v>
      </c>
      <c r="B664" s="12" t="s">
        <v>41</v>
      </c>
      <c r="C664" s="12">
        <v>5</v>
      </c>
      <c r="D664" s="12" t="s">
        <v>46</v>
      </c>
      <c r="E664" s="12">
        <v>5</v>
      </c>
      <c r="F664" s="12">
        <v>0</v>
      </c>
      <c r="G664" s="12" t="s">
        <v>367</v>
      </c>
    </row>
    <row r="665" spans="1:7" ht="15" customHeight="1" x14ac:dyDescent="0.3">
      <c r="A665" s="12" t="s">
        <v>207</v>
      </c>
      <c r="B665" s="12" t="s">
        <v>41</v>
      </c>
      <c r="C665" s="12">
        <v>5</v>
      </c>
      <c r="D665" s="12" t="s">
        <v>56</v>
      </c>
      <c r="E665" s="12">
        <v>5</v>
      </c>
      <c r="F665" s="12">
        <v>0</v>
      </c>
      <c r="G665" s="12" t="s">
        <v>367</v>
      </c>
    </row>
    <row r="666" spans="1:7" ht="15" customHeight="1" x14ac:dyDescent="0.3">
      <c r="A666" s="12" t="s">
        <v>207</v>
      </c>
      <c r="B666" s="12" t="s">
        <v>41</v>
      </c>
      <c r="C666" s="12">
        <v>5</v>
      </c>
      <c r="D666" s="12" t="s">
        <v>81</v>
      </c>
      <c r="E666" s="12">
        <v>5</v>
      </c>
      <c r="F666" s="12">
        <v>0</v>
      </c>
      <c r="G666" s="12" t="s">
        <v>367</v>
      </c>
    </row>
    <row r="667" spans="1:7" ht="15" customHeight="1" x14ac:dyDescent="0.3">
      <c r="A667" s="12" t="s">
        <v>207</v>
      </c>
      <c r="B667" s="12" t="s">
        <v>46</v>
      </c>
      <c r="C667" s="12">
        <v>5</v>
      </c>
      <c r="D667" s="12" t="s">
        <v>56</v>
      </c>
      <c r="E667" s="12">
        <v>5</v>
      </c>
      <c r="F667" s="12">
        <v>0</v>
      </c>
      <c r="G667" s="12" t="s">
        <v>367</v>
      </c>
    </row>
    <row r="668" spans="1:7" ht="15" customHeight="1" x14ac:dyDescent="0.3">
      <c r="A668" s="12" t="s">
        <v>207</v>
      </c>
      <c r="B668" s="12" t="s">
        <v>46</v>
      </c>
      <c r="C668" s="12">
        <v>5</v>
      </c>
      <c r="D668" s="12" t="s">
        <v>81</v>
      </c>
      <c r="E668" s="12">
        <v>5</v>
      </c>
      <c r="F668" s="12">
        <v>0</v>
      </c>
      <c r="G668" s="12" t="s">
        <v>367</v>
      </c>
    </row>
    <row r="669" spans="1:7" ht="15" customHeight="1" x14ac:dyDescent="0.3">
      <c r="A669" s="12" t="s">
        <v>207</v>
      </c>
      <c r="B669" s="12" t="s">
        <v>51</v>
      </c>
      <c r="C669" s="12">
        <v>1</v>
      </c>
      <c r="D669" s="12" t="s">
        <v>76</v>
      </c>
      <c r="E669" s="12">
        <v>1</v>
      </c>
      <c r="F669" s="12">
        <v>0</v>
      </c>
      <c r="G669" s="12" t="s">
        <v>367</v>
      </c>
    </row>
    <row r="670" spans="1:7" ht="15" customHeight="1" x14ac:dyDescent="0.3">
      <c r="A670" s="12" t="s">
        <v>207</v>
      </c>
      <c r="B670" s="12" t="s">
        <v>51</v>
      </c>
      <c r="C670" s="12">
        <v>1</v>
      </c>
      <c r="D670" s="12" t="s">
        <v>91</v>
      </c>
      <c r="E670" s="12">
        <v>1</v>
      </c>
      <c r="F670" s="12">
        <v>0</v>
      </c>
      <c r="G670" s="12" t="s">
        <v>367</v>
      </c>
    </row>
    <row r="671" spans="1:7" ht="15" customHeight="1" x14ac:dyDescent="0.3">
      <c r="A671" s="12" t="s">
        <v>207</v>
      </c>
      <c r="B671" s="12" t="s">
        <v>51</v>
      </c>
      <c r="C671" s="12">
        <v>1</v>
      </c>
      <c r="D671" s="12" t="s">
        <v>181</v>
      </c>
      <c r="E671" s="12">
        <v>1</v>
      </c>
      <c r="F671" s="12">
        <v>0</v>
      </c>
      <c r="G671" s="12" t="s">
        <v>367</v>
      </c>
    </row>
    <row r="672" spans="1:7" ht="15" customHeight="1" x14ac:dyDescent="0.3">
      <c r="A672" s="12" t="s">
        <v>207</v>
      </c>
      <c r="B672" s="12" t="s">
        <v>56</v>
      </c>
      <c r="C672" s="12">
        <v>5</v>
      </c>
      <c r="D672" s="12" t="s">
        <v>81</v>
      </c>
      <c r="E672" s="12">
        <v>5</v>
      </c>
      <c r="F672" s="12">
        <v>0</v>
      </c>
      <c r="G672" s="12" t="s">
        <v>367</v>
      </c>
    </row>
    <row r="673" spans="1:7" ht="15" customHeight="1" x14ac:dyDescent="0.3">
      <c r="A673" s="12" t="s">
        <v>207</v>
      </c>
      <c r="B673" s="12" t="s">
        <v>61</v>
      </c>
      <c r="C673" s="12">
        <v>6</v>
      </c>
      <c r="D673" s="12" t="s">
        <v>106</v>
      </c>
      <c r="E673" s="12">
        <v>6</v>
      </c>
      <c r="F673" s="12">
        <v>0</v>
      </c>
      <c r="G673" s="12" t="s">
        <v>367</v>
      </c>
    </row>
    <row r="674" spans="1:7" ht="15" customHeight="1" x14ac:dyDescent="0.3">
      <c r="A674" s="12" t="s">
        <v>207</v>
      </c>
      <c r="B674" s="12" t="s">
        <v>61</v>
      </c>
      <c r="C674" s="12">
        <v>6</v>
      </c>
      <c r="D674" s="12" t="s">
        <v>171</v>
      </c>
      <c r="E674" s="12">
        <v>6</v>
      </c>
      <c r="F674" s="12">
        <v>0</v>
      </c>
      <c r="G674" s="12" t="s">
        <v>367</v>
      </c>
    </row>
    <row r="675" spans="1:7" ht="15" customHeight="1" x14ac:dyDescent="0.3">
      <c r="A675" s="12" t="s">
        <v>207</v>
      </c>
      <c r="B675" s="12" t="s">
        <v>61</v>
      </c>
      <c r="C675" s="12">
        <v>6</v>
      </c>
      <c r="D675" s="12" t="s">
        <v>176</v>
      </c>
      <c r="E675" s="12">
        <v>6</v>
      </c>
      <c r="F675" s="12">
        <v>0</v>
      </c>
      <c r="G675" s="12" t="s">
        <v>367</v>
      </c>
    </row>
    <row r="676" spans="1:7" ht="15" customHeight="1" x14ac:dyDescent="0.3">
      <c r="A676" s="12" t="s">
        <v>207</v>
      </c>
      <c r="B676" s="12" t="s">
        <v>66</v>
      </c>
      <c r="C676" s="12">
        <v>3</v>
      </c>
      <c r="D676" s="12" t="s">
        <v>141</v>
      </c>
      <c r="E676" s="12">
        <v>3</v>
      </c>
      <c r="F676" s="12">
        <v>0</v>
      </c>
      <c r="G676" s="12" t="s">
        <v>367</v>
      </c>
    </row>
    <row r="677" spans="1:7" ht="15" customHeight="1" x14ac:dyDescent="0.3">
      <c r="A677" s="12" t="s">
        <v>207</v>
      </c>
      <c r="B677" s="12" t="s">
        <v>71</v>
      </c>
      <c r="C677" s="12">
        <v>8</v>
      </c>
      <c r="D677" s="12" t="s">
        <v>86</v>
      </c>
      <c r="E677" s="12">
        <v>8</v>
      </c>
      <c r="F677" s="12">
        <v>0</v>
      </c>
      <c r="G677" s="12" t="s">
        <v>367</v>
      </c>
    </row>
    <row r="678" spans="1:7" ht="15" customHeight="1" x14ac:dyDescent="0.3">
      <c r="A678" s="12" t="s">
        <v>207</v>
      </c>
      <c r="B678" s="12" t="s">
        <v>71</v>
      </c>
      <c r="C678" s="12">
        <v>8</v>
      </c>
      <c r="D678" s="12" t="s">
        <v>111</v>
      </c>
      <c r="E678" s="12">
        <v>8</v>
      </c>
      <c r="F678" s="12">
        <v>0</v>
      </c>
      <c r="G678" s="12" t="s">
        <v>367</v>
      </c>
    </row>
    <row r="679" spans="1:7" ht="15" customHeight="1" x14ac:dyDescent="0.3">
      <c r="A679" s="12" t="s">
        <v>207</v>
      </c>
      <c r="B679" s="12" t="s">
        <v>71</v>
      </c>
      <c r="C679" s="12">
        <v>8</v>
      </c>
      <c r="D679" s="12" t="s">
        <v>166</v>
      </c>
      <c r="E679" s="12">
        <v>8</v>
      </c>
      <c r="F679" s="12">
        <v>0</v>
      </c>
      <c r="G679" s="12" t="s">
        <v>367</v>
      </c>
    </row>
    <row r="680" spans="1:7" ht="15" customHeight="1" x14ac:dyDescent="0.3">
      <c r="A680" s="12" t="s">
        <v>207</v>
      </c>
      <c r="B680" s="12" t="s">
        <v>71</v>
      </c>
      <c r="C680" s="12">
        <v>8</v>
      </c>
      <c r="D680" s="12" t="s">
        <v>186</v>
      </c>
      <c r="E680" s="12">
        <v>8</v>
      </c>
      <c r="F680" s="12">
        <v>0</v>
      </c>
      <c r="G680" s="12" t="s">
        <v>367</v>
      </c>
    </row>
    <row r="681" spans="1:7" ht="15" customHeight="1" x14ac:dyDescent="0.3">
      <c r="A681" s="12" t="s">
        <v>207</v>
      </c>
      <c r="B681" s="12" t="s">
        <v>76</v>
      </c>
      <c r="C681" s="12">
        <v>1</v>
      </c>
      <c r="D681" s="12" t="s">
        <v>91</v>
      </c>
      <c r="E681" s="12">
        <v>1</v>
      </c>
      <c r="F681" s="12">
        <v>0</v>
      </c>
      <c r="G681" s="12" t="s">
        <v>367</v>
      </c>
    </row>
    <row r="682" spans="1:7" ht="15" customHeight="1" x14ac:dyDescent="0.3">
      <c r="A682" s="12" t="s">
        <v>207</v>
      </c>
      <c r="B682" s="12" t="s">
        <v>76</v>
      </c>
      <c r="C682" s="12">
        <v>1</v>
      </c>
      <c r="D682" s="12" t="s">
        <v>181</v>
      </c>
      <c r="E682" s="12">
        <v>1</v>
      </c>
      <c r="F682" s="12">
        <v>0</v>
      </c>
      <c r="G682" s="12" t="s">
        <v>367</v>
      </c>
    </row>
    <row r="683" spans="1:7" ht="15" customHeight="1" x14ac:dyDescent="0.3">
      <c r="A683" s="12" t="s">
        <v>207</v>
      </c>
      <c r="B683" s="12" t="s">
        <v>86</v>
      </c>
      <c r="C683" s="12">
        <v>8</v>
      </c>
      <c r="D683" s="12" t="s">
        <v>111</v>
      </c>
      <c r="E683" s="12">
        <v>8</v>
      </c>
      <c r="F683" s="12">
        <v>0</v>
      </c>
      <c r="G683" s="12" t="s">
        <v>367</v>
      </c>
    </row>
    <row r="684" spans="1:7" ht="15" customHeight="1" x14ac:dyDescent="0.3">
      <c r="A684" s="12" t="s">
        <v>207</v>
      </c>
      <c r="B684" s="12" t="s">
        <v>86</v>
      </c>
      <c r="C684" s="12">
        <v>8</v>
      </c>
      <c r="D684" s="12" t="s">
        <v>166</v>
      </c>
      <c r="E684" s="12">
        <v>8</v>
      </c>
      <c r="F684" s="12">
        <v>0</v>
      </c>
      <c r="G684" s="12" t="s">
        <v>367</v>
      </c>
    </row>
    <row r="685" spans="1:7" ht="15" customHeight="1" x14ac:dyDescent="0.3">
      <c r="A685" s="12" t="s">
        <v>207</v>
      </c>
      <c r="B685" s="12" t="s">
        <v>86</v>
      </c>
      <c r="C685" s="12">
        <v>8</v>
      </c>
      <c r="D685" s="12" t="s">
        <v>186</v>
      </c>
      <c r="E685" s="12">
        <v>8</v>
      </c>
      <c r="F685" s="12">
        <v>0</v>
      </c>
      <c r="G685" s="12" t="s">
        <v>367</v>
      </c>
    </row>
    <row r="686" spans="1:7" ht="15" customHeight="1" x14ac:dyDescent="0.3">
      <c r="A686" s="12" t="s">
        <v>207</v>
      </c>
      <c r="B686" s="12" t="s">
        <v>91</v>
      </c>
      <c r="C686" s="12">
        <v>1</v>
      </c>
      <c r="D686" s="12" t="s">
        <v>181</v>
      </c>
      <c r="E686" s="12">
        <v>1</v>
      </c>
      <c r="F686" s="12">
        <v>0</v>
      </c>
      <c r="G686" s="12" t="s">
        <v>367</v>
      </c>
    </row>
    <row r="687" spans="1:7" ht="15" customHeight="1" x14ac:dyDescent="0.3">
      <c r="A687" s="12" t="s">
        <v>207</v>
      </c>
      <c r="B687" s="12" t="s">
        <v>96</v>
      </c>
      <c r="C687" s="12">
        <v>7</v>
      </c>
      <c r="D687" s="12" t="s">
        <v>121</v>
      </c>
      <c r="E687" s="12">
        <v>7</v>
      </c>
      <c r="F687" s="12">
        <v>0</v>
      </c>
      <c r="G687" s="12" t="s">
        <v>367</v>
      </c>
    </row>
    <row r="688" spans="1:7" ht="15" customHeight="1" x14ac:dyDescent="0.3">
      <c r="A688" s="12" t="s">
        <v>207</v>
      </c>
      <c r="B688" s="12" t="s">
        <v>96</v>
      </c>
      <c r="C688" s="12">
        <v>7</v>
      </c>
      <c r="D688" s="12" t="s">
        <v>151</v>
      </c>
      <c r="E688" s="12">
        <v>7</v>
      </c>
      <c r="F688" s="12">
        <v>0</v>
      </c>
      <c r="G688" s="12" t="s">
        <v>367</v>
      </c>
    </row>
    <row r="689" spans="1:7" ht="15" customHeight="1" x14ac:dyDescent="0.3">
      <c r="A689" s="12" t="s">
        <v>207</v>
      </c>
      <c r="B689" s="12" t="s">
        <v>106</v>
      </c>
      <c r="C689" s="12">
        <v>6</v>
      </c>
      <c r="D689" s="12" t="s">
        <v>171</v>
      </c>
      <c r="E689" s="12">
        <v>6</v>
      </c>
      <c r="F689" s="12">
        <v>0</v>
      </c>
      <c r="G689" s="12" t="s">
        <v>367</v>
      </c>
    </row>
    <row r="690" spans="1:7" ht="15" customHeight="1" x14ac:dyDescent="0.3">
      <c r="A690" s="12" t="s">
        <v>207</v>
      </c>
      <c r="B690" s="12" t="s">
        <v>106</v>
      </c>
      <c r="C690" s="12">
        <v>6</v>
      </c>
      <c r="D690" s="12" t="s">
        <v>176</v>
      </c>
      <c r="E690" s="12">
        <v>6</v>
      </c>
      <c r="F690" s="12">
        <v>0</v>
      </c>
      <c r="G690" s="12" t="s">
        <v>367</v>
      </c>
    </row>
    <row r="691" spans="1:7" ht="15" customHeight="1" x14ac:dyDescent="0.3">
      <c r="A691" s="12" t="s">
        <v>207</v>
      </c>
      <c r="B691" s="12" t="s">
        <v>111</v>
      </c>
      <c r="C691" s="12">
        <v>8</v>
      </c>
      <c r="D691" s="12" t="s">
        <v>166</v>
      </c>
      <c r="E691" s="12">
        <v>8</v>
      </c>
      <c r="F691" s="12">
        <v>0</v>
      </c>
      <c r="G691" s="12" t="s">
        <v>367</v>
      </c>
    </row>
    <row r="692" spans="1:7" ht="15" customHeight="1" x14ac:dyDescent="0.3">
      <c r="A692" s="12" t="s">
        <v>207</v>
      </c>
      <c r="B692" s="12" t="s">
        <v>111</v>
      </c>
      <c r="C692" s="12">
        <v>8</v>
      </c>
      <c r="D692" s="12" t="s">
        <v>186</v>
      </c>
      <c r="E692" s="12">
        <v>8</v>
      </c>
      <c r="F692" s="12">
        <v>0</v>
      </c>
      <c r="G692" s="12" t="s">
        <v>367</v>
      </c>
    </row>
    <row r="693" spans="1:7" ht="15" customHeight="1" x14ac:dyDescent="0.3">
      <c r="A693" s="12" t="s">
        <v>207</v>
      </c>
      <c r="B693" s="12" t="s">
        <v>116</v>
      </c>
      <c r="C693" s="12">
        <v>4</v>
      </c>
      <c r="D693" s="12" t="s">
        <v>131</v>
      </c>
      <c r="E693" s="12">
        <v>4</v>
      </c>
      <c r="F693" s="12">
        <v>0</v>
      </c>
      <c r="G693" s="12" t="s">
        <v>367</v>
      </c>
    </row>
    <row r="694" spans="1:7" ht="15" customHeight="1" x14ac:dyDescent="0.3">
      <c r="A694" s="12" t="s">
        <v>207</v>
      </c>
      <c r="B694" s="12" t="s">
        <v>121</v>
      </c>
      <c r="C694" s="12">
        <v>7</v>
      </c>
      <c r="D694" s="12" t="s">
        <v>151</v>
      </c>
      <c r="E694" s="12">
        <v>7</v>
      </c>
      <c r="F694" s="12">
        <v>0</v>
      </c>
      <c r="G694" s="12" t="s">
        <v>367</v>
      </c>
    </row>
    <row r="695" spans="1:7" ht="15" customHeight="1" x14ac:dyDescent="0.3">
      <c r="A695" s="12" t="s">
        <v>207</v>
      </c>
      <c r="B695" s="12" t="s">
        <v>136</v>
      </c>
      <c r="C695" s="12">
        <v>2</v>
      </c>
      <c r="D695" s="12" t="s">
        <v>161</v>
      </c>
      <c r="E695" s="12">
        <v>2</v>
      </c>
      <c r="F695" s="12">
        <v>0</v>
      </c>
      <c r="G695" s="12" t="s">
        <v>367</v>
      </c>
    </row>
    <row r="696" spans="1:7" ht="15" customHeight="1" x14ac:dyDescent="0.3">
      <c r="A696" s="12" t="s">
        <v>207</v>
      </c>
      <c r="B696" s="12" t="s">
        <v>146</v>
      </c>
      <c r="C696" s="12">
        <v>0</v>
      </c>
      <c r="D696" s="12" t="s">
        <v>156</v>
      </c>
      <c r="E696" s="12">
        <v>0</v>
      </c>
      <c r="F696" s="12">
        <v>0</v>
      </c>
      <c r="G696" s="12" t="s">
        <v>367</v>
      </c>
    </row>
    <row r="697" spans="1:7" ht="15" customHeight="1" x14ac:dyDescent="0.3">
      <c r="A697" s="12" t="s">
        <v>207</v>
      </c>
      <c r="B697" s="12" t="s">
        <v>166</v>
      </c>
      <c r="C697" s="12">
        <v>8</v>
      </c>
      <c r="D697" s="12" t="s">
        <v>186</v>
      </c>
      <c r="E697" s="12">
        <v>8</v>
      </c>
      <c r="F697" s="12">
        <v>0</v>
      </c>
      <c r="G697" s="12" t="s">
        <v>367</v>
      </c>
    </row>
    <row r="698" spans="1:7" ht="15" customHeight="1" x14ac:dyDescent="0.3">
      <c r="A698" s="12" t="s">
        <v>207</v>
      </c>
      <c r="B698" s="12" t="s">
        <v>171</v>
      </c>
      <c r="C698" s="12">
        <v>6</v>
      </c>
      <c r="D698" s="12" t="s">
        <v>176</v>
      </c>
      <c r="E698" s="12">
        <v>6</v>
      </c>
      <c r="F698" s="12">
        <v>0</v>
      </c>
      <c r="G698" s="12" t="s">
        <v>367</v>
      </c>
    </row>
    <row r="699" spans="1:7" ht="15" customHeight="1" x14ac:dyDescent="0.3">
      <c r="A699" s="12" t="s">
        <v>208</v>
      </c>
      <c r="B699" s="12" t="s">
        <v>36</v>
      </c>
      <c r="C699" s="12">
        <v>10.25</v>
      </c>
      <c r="D699" s="12" t="s">
        <v>96</v>
      </c>
      <c r="E699" s="12">
        <v>10.175000000000001</v>
      </c>
      <c r="F699" s="12">
        <v>7.4999999999999997E-2</v>
      </c>
      <c r="G699" s="12"/>
    </row>
    <row r="700" spans="1:7" ht="15" customHeight="1" x14ac:dyDescent="0.3">
      <c r="A700" s="12" t="s">
        <v>208</v>
      </c>
      <c r="B700" s="12" t="s">
        <v>41</v>
      </c>
      <c r="C700" s="12">
        <v>7.4210000000000003</v>
      </c>
      <c r="D700" s="12" t="s">
        <v>56</v>
      </c>
      <c r="E700" s="12">
        <v>7.5529999999999999</v>
      </c>
      <c r="F700" s="12">
        <v>0.13200000000000001</v>
      </c>
      <c r="G700" s="12"/>
    </row>
    <row r="701" spans="1:7" ht="15" customHeight="1" x14ac:dyDescent="0.3">
      <c r="A701" s="12" t="s">
        <v>208</v>
      </c>
      <c r="B701" s="12" t="s">
        <v>41</v>
      </c>
      <c r="C701" s="12">
        <v>7.4210000000000003</v>
      </c>
      <c r="D701" s="12" t="s">
        <v>106</v>
      </c>
      <c r="E701" s="12">
        <v>7.47</v>
      </c>
      <c r="F701" s="12">
        <v>4.9000000000000002E-2</v>
      </c>
      <c r="G701" s="12"/>
    </row>
    <row r="702" spans="1:7" ht="15" customHeight="1" x14ac:dyDescent="0.3">
      <c r="A702" s="12" t="s">
        <v>208</v>
      </c>
      <c r="B702" s="12" t="s">
        <v>41</v>
      </c>
      <c r="C702" s="12">
        <v>7.4210000000000003</v>
      </c>
      <c r="D702" s="12" t="s">
        <v>131</v>
      </c>
      <c r="E702" s="12">
        <v>7.4420000000000002</v>
      </c>
      <c r="F702" s="12">
        <v>2.1000000000000001E-2</v>
      </c>
      <c r="G702" s="12"/>
    </row>
    <row r="703" spans="1:7" ht="15" customHeight="1" x14ac:dyDescent="0.3">
      <c r="A703" s="12" t="s">
        <v>208</v>
      </c>
      <c r="B703" s="12" t="s">
        <v>41</v>
      </c>
      <c r="C703" s="12">
        <v>7.4210000000000003</v>
      </c>
      <c r="D703" s="12" t="s">
        <v>136</v>
      </c>
      <c r="E703" s="12">
        <v>7.35</v>
      </c>
      <c r="F703" s="12">
        <v>7.0999999999999994E-2</v>
      </c>
      <c r="G703" s="12"/>
    </row>
    <row r="704" spans="1:7" ht="15" customHeight="1" x14ac:dyDescent="0.3">
      <c r="A704" s="12" t="s">
        <v>208</v>
      </c>
      <c r="B704" s="12" t="s">
        <v>56</v>
      </c>
      <c r="C704" s="12">
        <v>7.5529999999999999</v>
      </c>
      <c r="D704" s="12" t="s">
        <v>106</v>
      </c>
      <c r="E704" s="12">
        <v>7.47</v>
      </c>
      <c r="F704" s="12">
        <v>8.3000000000000004E-2</v>
      </c>
      <c r="G704" s="12"/>
    </row>
    <row r="705" spans="1:7" ht="15" customHeight="1" x14ac:dyDescent="0.3">
      <c r="A705" s="12" t="s">
        <v>208</v>
      </c>
      <c r="B705" s="12" t="s">
        <v>56</v>
      </c>
      <c r="C705" s="12">
        <v>7.5529999999999999</v>
      </c>
      <c r="D705" s="12" t="s">
        <v>121</v>
      </c>
      <c r="E705" s="12">
        <v>7.5750000000000002</v>
      </c>
      <c r="F705" s="12">
        <v>2.1999999999999999E-2</v>
      </c>
      <c r="G705" s="12"/>
    </row>
    <row r="706" spans="1:7" ht="15" customHeight="1" x14ac:dyDescent="0.3">
      <c r="A706" s="12" t="s">
        <v>208</v>
      </c>
      <c r="B706" s="12" t="s">
        <v>56</v>
      </c>
      <c r="C706" s="12">
        <v>7.5529999999999999</v>
      </c>
      <c r="D706" s="12" t="s">
        <v>131</v>
      </c>
      <c r="E706" s="12">
        <v>7.4420000000000002</v>
      </c>
      <c r="F706" s="12">
        <v>0.111</v>
      </c>
      <c r="G706" s="12"/>
    </row>
    <row r="707" spans="1:7" ht="15" customHeight="1" x14ac:dyDescent="0.3">
      <c r="A707" s="12" t="s">
        <v>208</v>
      </c>
      <c r="B707" s="12" t="s">
        <v>66</v>
      </c>
      <c r="C707" s="12">
        <v>11.538</v>
      </c>
      <c r="D707" s="12" t="s">
        <v>111</v>
      </c>
      <c r="E707" s="12">
        <v>11.446999999999999</v>
      </c>
      <c r="F707" s="12">
        <v>9.0999999999999998E-2</v>
      </c>
      <c r="G707" s="12"/>
    </row>
    <row r="708" spans="1:7" ht="15" customHeight="1" x14ac:dyDescent="0.3">
      <c r="A708" s="12" t="s">
        <v>208</v>
      </c>
      <c r="B708" s="12" t="s">
        <v>71</v>
      </c>
      <c r="C708" s="12">
        <v>8.5</v>
      </c>
      <c r="D708" s="12" t="s">
        <v>76</v>
      </c>
      <c r="E708" s="12">
        <v>8.5</v>
      </c>
      <c r="F708" s="12">
        <v>0</v>
      </c>
      <c r="G708" s="12" t="s">
        <v>367</v>
      </c>
    </row>
    <row r="709" spans="1:7" ht="15" customHeight="1" x14ac:dyDescent="0.3">
      <c r="A709" s="12" t="s">
        <v>208</v>
      </c>
      <c r="B709" s="12" t="s">
        <v>81</v>
      </c>
      <c r="C709" s="12">
        <v>9</v>
      </c>
      <c r="D709" s="12" t="s">
        <v>156</v>
      </c>
      <c r="E709" s="12">
        <v>8.9749999999999996</v>
      </c>
      <c r="F709" s="12">
        <v>2.5000000000000001E-2</v>
      </c>
      <c r="G709" s="12"/>
    </row>
    <row r="710" spans="1:7" ht="15" customHeight="1" x14ac:dyDescent="0.3">
      <c r="A710" s="12" t="s">
        <v>208</v>
      </c>
      <c r="B710" s="12" t="s">
        <v>81</v>
      </c>
      <c r="C710" s="12">
        <v>9</v>
      </c>
      <c r="D710" s="12" t="s">
        <v>161</v>
      </c>
      <c r="E710" s="12">
        <v>9</v>
      </c>
      <c r="F710" s="12">
        <v>0</v>
      </c>
      <c r="G710" s="12" t="s">
        <v>367</v>
      </c>
    </row>
    <row r="711" spans="1:7" ht="15" customHeight="1" x14ac:dyDescent="0.3">
      <c r="A711" s="12" t="s">
        <v>208</v>
      </c>
      <c r="B711" s="12" t="s">
        <v>81</v>
      </c>
      <c r="C711" s="12">
        <v>9</v>
      </c>
      <c r="D711" s="12" t="s">
        <v>171</v>
      </c>
      <c r="E711" s="12">
        <v>9</v>
      </c>
      <c r="F711" s="12">
        <v>0</v>
      </c>
      <c r="G711" s="12" t="s">
        <v>367</v>
      </c>
    </row>
    <row r="712" spans="1:7" ht="15" customHeight="1" x14ac:dyDescent="0.3">
      <c r="A712" s="12" t="s">
        <v>208</v>
      </c>
      <c r="B712" s="12" t="s">
        <v>101</v>
      </c>
      <c r="C712" s="12">
        <v>8.3030000000000008</v>
      </c>
      <c r="D712" s="12" t="s">
        <v>186</v>
      </c>
      <c r="E712" s="12">
        <v>8.3000000000000007</v>
      </c>
      <c r="F712" s="12">
        <v>3.0000000000000001E-3</v>
      </c>
      <c r="G712" s="12"/>
    </row>
    <row r="713" spans="1:7" ht="15" customHeight="1" x14ac:dyDescent="0.3">
      <c r="A713" s="12" t="s">
        <v>208</v>
      </c>
      <c r="B713" s="12" t="s">
        <v>106</v>
      </c>
      <c r="C713" s="12">
        <v>7.47</v>
      </c>
      <c r="D713" s="12" t="s">
        <v>121</v>
      </c>
      <c r="E713" s="12">
        <v>7.5750000000000002</v>
      </c>
      <c r="F713" s="12">
        <v>0.105</v>
      </c>
      <c r="G713" s="12"/>
    </row>
    <row r="714" spans="1:7" ht="15" customHeight="1" x14ac:dyDescent="0.3">
      <c r="A714" s="12" t="s">
        <v>208</v>
      </c>
      <c r="B714" s="12" t="s">
        <v>106</v>
      </c>
      <c r="C714" s="12">
        <v>7.47</v>
      </c>
      <c r="D714" s="12" t="s">
        <v>131</v>
      </c>
      <c r="E714" s="12">
        <v>7.4420000000000002</v>
      </c>
      <c r="F714" s="12">
        <v>2.8000000000000001E-2</v>
      </c>
      <c r="G714" s="12"/>
    </row>
    <row r="715" spans="1:7" ht="15" customHeight="1" x14ac:dyDescent="0.3">
      <c r="A715" s="12" t="s">
        <v>208</v>
      </c>
      <c r="B715" s="12" t="s">
        <v>106</v>
      </c>
      <c r="C715" s="12">
        <v>7.47</v>
      </c>
      <c r="D715" s="12" t="s">
        <v>136</v>
      </c>
      <c r="E715" s="12">
        <v>7.35</v>
      </c>
      <c r="F715" s="12">
        <v>0.12</v>
      </c>
      <c r="G715" s="12"/>
    </row>
    <row r="716" spans="1:7" ht="15" customHeight="1" x14ac:dyDescent="0.3">
      <c r="A716" s="12" t="s">
        <v>208</v>
      </c>
      <c r="B716" s="12" t="s">
        <v>121</v>
      </c>
      <c r="C716" s="12">
        <v>7.5750000000000002</v>
      </c>
      <c r="D716" s="12" t="s">
        <v>131</v>
      </c>
      <c r="E716" s="12">
        <v>7.4420000000000002</v>
      </c>
      <c r="F716" s="12">
        <v>0.13300000000000001</v>
      </c>
      <c r="G716" s="12"/>
    </row>
    <row r="717" spans="1:7" ht="15" customHeight="1" x14ac:dyDescent="0.3">
      <c r="A717" s="12" t="s">
        <v>208</v>
      </c>
      <c r="B717" s="12" t="s">
        <v>126</v>
      </c>
      <c r="C717" s="12">
        <v>7</v>
      </c>
      <c r="D717" s="12" t="s">
        <v>141</v>
      </c>
      <c r="E717" s="12">
        <v>6.9249999999999998</v>
      </c>
      <c r="F717" s="12">
        <v>7.4999999999999997E-2</v>
      </c>
      <c r="G717" s="12"/>
    </row>
    <row r="718" spans="1:7" ht="15" customHeight="1" x14ac:dyDescent="0.3">
      <c r="A718" s="12" t="s">
        <v>208</v>
      </c>
      <c r="B718" s="12" t="s">
        <v>126</v>
      </c>
      <c r="C718" s="12">
        <v>7</v>
      </c>
      <c r="D718" s="12" t="s">
        <v>181</v>
      </c>
      <c r="E718" s="12">
        <v>7.0359999999999996</v>
      </c>
      <c r="F718" s="12">
        <v>3.5999999999999997E-2</v>
      </c>
      <c r="G718" s="12"/>
    </row>
    <row r="719" spans="1:7" ht="15" customHeight="1" x14ac:dyDescent="0.3">
      <c r="A719" s="12" t="s">
        <v>208</v>
      </c>
      <c r="B719" s="12" t="s">
        <v>131</v>
      </c>
      <c r="C719" s="12">
        <v>7.4420000000000002</v>
      </c>
      <c r="D719" s="12" t="s">
        <v>136</v>
      </c>
      <c r="E719" s="12">
        <v>7.35</v>
      </c>
      <c r="F719" s="12">
        <v>9.1999999999999998E-2</v>
      </c>
      <c r="G719" s="12"/>
    </row>
    <row r="720" spans="1:7" ht="15" customHeight="1" x14ac:dyDescent="0.3">
      <c r="A720" s="12" t="s">
        <v>208</v>
      </c>
      <c r="B720" s="12" t="s">
        <v>141</v>
      </c>
      <c r="C720" s="12">
        <v>6.9249999999999998</v>
      </c>
      <c r="D720" s="12" t="s">
        <v>181</v>
      </c>
      <c r="E720" s="12">
        <v>7.0359999999999996</v>
      </c>
      <c r="F720" s="12">
        <v>0.111</v>
      </c>
      <c r="G720" s="12"/>
    </row>
    <row r="721" spans="1:7" ht="15" customHeight="1" x14ac:dyDescent="0.3">
      <c r="A721" s="12" t="s">
        <v>208</v>
      </c>
      <c r="B721" s="12" t="s">
        <v>156</v>
      </c>
      <c r="C721" s="12">
        <v>8.9749999999999996</v>
      </c>
      <c r="D721" s="12" t="s">
        <v>161</v>
      </c>
      <c r="E721" s="12">
        <v>9</v>
      </c>
      <c r="F721" s="12">
        <v>2.5000000000000001E-2</v>
      </c>
      <c r="G721" s="12"/>
    </row>
    <row r="722" spans="1:7" ht="15" customHeight="1" x14ac:dyDescent="0.3">
      <c r="A722" s="12" t="s">
        <v>208</v>
      </c>
      <c r="B722" s="12" t="s">
        <v>156</v>
      </c>
      <c r="C722" s="12">
        <v>8.9749999999999996</v>
      </c>
      <c r="D722" s="12" t="s">
        <v>171</v>
      </c>
      <c r="E722" s="12">
        <v>9</v>
      </c>
      <c r="F722" s="12">
        <v>2.5000000000000001E-2</v>
      </c>
      <c r="G722" s="12"/>
    </row>
    <row r="723" spans="1:7" ht="15" customHeight="1" x14ac:dyDescent="0.3">
      <c r="A723" s="12" t="s">
        <v>208</v>
      </c>
      <c r="B723" s="12" t="s">
        <v>161</v>
      </c>
      <c r="C723" s="12">
        <v>9</v>
      </c>
      <c r="D723" s="12" t="s">
        <v>171</v>
      </c>
      <c r="E723" s="12">
        <v>9</v>
      </c>
      <c r="F723" s="12">
        <v>0</v>
      </c>
      <c r="G723" s="12" t="s">
        <v>367</v>
      </c>
    </row>
    <row r="724" spans="1:7" ht="15" customHeight="1" x14ac:dyDescent="0.3">
      <c r="A724" s="12" t="s">
        <v>208</v>
      </c>
      <c r="B724" s="12" t="s">
        <v>176</v>
      </c>
      <c r="C724" s="12">
        <v>7.1749999999999998</v>
      </c>
      <c r="D724" s="12" t="s">
        <v>181</v>
      </c>
      <c r="E724" s="12">
        <v>7.0359999999999996</v>
      </c>
      <c r="F724" s="12">
        <v>0.13900000000000001</v>
      </c>
      <c r="G724" s="12"/>
    </row>
    <row r="725" spans="1:7" ht="15" customHeight="1" x14ac:dyDescent="0.3">
      <c r="A725" s="12" t="s">
        <v>209</v>
      </c>
      <c r="B725" s="12" t="s">
        <v>31</v>
      </c>
      <c r="C725" s="12">
        <v>56</v>
      </c>
      <c r="D725" s="12" t="s">
        <v>36</v>
      </c>
      <c r="E725" s="12">
        <v>57</v>
      </c>
      <c r="F725" s="12">
        <v>1</v>
      </c>
      <c r="G725" s="12"/>
    </row>
    <row r="726" spans="1:7" ht="15" customHeight="1" x14ac:dyDescent="0.3">
      <c r="A726" s="12" t="s">
        <v>209</v>
      </c>
      <c r="B726" s="12" t="s">
        <v>41</v>
      </c>
      <c r="C726" s="12">
        <v>41</v>
      </c>
      <c r="D726" s="12" t="s">
        <v>46</v>
      </c>
      <c r="E726" s="12">
        <v>40</v>
      </c>
      <c r="F726" s="12">
        <v>1</v>
      </c>
      <c r="G726" s="12"/>
    </row>
    <row r="727" spans="1:7" ht="15" customHeight="1" x14ac:dyDescent="0.3">
      <c r="A727" s="12" t="s">
        <v>209</v>
      </c>
      <c r="B727" s="12" t="s">
        <v>41</v>
      </c>
      <c r="C727" s="12">
        <v>41</v>
      </c>
      <c r="D727" s="12" t="s">
        <v>61</v>
      </c>
      <c r="E727" s="12">
        <v>42</v>
      </c>
      <c r="F727" s="12">
        <v>1</v>
      </c>
      <c r="G727" s="12"/>
    </row>
    <row r="728" spans="1:7" ht="15" customHeight="1" x14ac:dyDescent="0.3">
      <c r="A728" s="12" t="s">
        <v>209</v>
      </c>
      <c r="B728" s="12" t="s">
        <v>51</v>
      </c>
      <c r="C728" s="12">
        <v>9</v>
      </c>
      <c r="D728" s="12" t="s">
        <v>156</v>
      </c>
      <c r="E728" s="12">
        <v>9</v>
      </c>
      <c r="F728" s="12">
        <v>0</v>
      </c>
      <c r="G728" s="12" t="s">
        <v>367</v>
      </c>
    </row>
    <row r="729" spans="1:7" ht="15" customHeight="1" x14ac:dyDescent="0.3">
      <c r="A729" s="12" t="s">
        <v>209</v>
      </c>
      <c r="B729" s="12" t="s">
        <v>56</v>
      </c>
      <c r="C729" s="12">
        <v>32</v>
      </c>
      <c r="D729" s="12" t="s">
        <v>176</v>
      </c>
      <c r="E729" s="12">
        <v>31</v>
      </c>
      <c r="F729" s="12">
        <v>1</v>
      </c>
      <c r="G729" s="12"/>
    </row>
    <row r="730" spans="1:7" ht="15" customHeight="1" x14ac:dyDescent="0.3">
      <c r="A730" s="12" t="s">
        <v>209</v>
      </c>
      <c r="B730" s="12" t="s">
        <v>66</v>
      </c>
      <c r="C730" s="12">
        <v>27</v>
      </c>
      <c r="D730" s="12" t="s">
        <v>101</v>
      </c>
      <c r="E730" s="12">
        <v>28</v>
      </c>
      <c r="F730" s="12">
        <v>1</v>
      </c>
      <c r="G730" s="12"/>
    </row>
    <row r="731" spans="1:7" ht="15" customHeight="1" x14ac:dyDescent="0.3">
      <c r="A731" s="12" t="s">
        <v>209</v>
      </c>
      <c r="B731" s="12" t="s">
        <v>66</v>
      </c>
      <c r="C731" s="12">
        <v>27</v>
      </c>
      <c r="D731" s="12" t="s">
        <v>126</v>
      </c>
      <c r="E731" s="12">
        <v>26</v>
      </c>
      <c r="F731" s="12">
        <v>1</v>
      </c>
      <c r="G731" s="12"/>
    </row>
    <row r="732" spans="1:7" ht="15" customHeight="1" x14ac:dyDescent="0.3">
      <c r="A732" s="12" t="s">
        <v>209</v>
      </c>
      <c r="B732" s="12" t="s">
        <v>66</v>
      </c>
      <c r="C732" s="12">
        <v>27</v>
      </c>
      <c r="D732" s="12" t="s">
        <v>161</v>
      </c>
      <c r="E732" s="12">
        <v>26</v>
      </c>
      <c r="F732" s="12">
        <v>1</v>
      </c>
      <c r="G732" s="12"/>
    </row>
    <row r="733" spans="1:7" ht="15" customHeight="1" x14ac:dyDescent="0.3">
      <c r="A733" s="12" t="s">
        <v>209</v>
      </c>
      <c r="B733" s="12" t="s">
        <v>71</v>
      </c>
      <c r="C733" s="12">
        <v>36</v>
      </c>
      <c r="D733" s="12" t="s">
        <v>106</v>
      </c>
      <c r="E733" s="12">
        <v>37</v>
      </c>
      <c r="F733" s="12">
        <v>1</v>
      </c>
      <c r="G733" s="12"/>
    </row>
    <row r="734" spans="1:7" ht="15" customHeight="1" x14ac:dyDescent="0.3">
      <c r="A734" s="12" t="s">
        <v>209</v>
      </c>
      <c r="B734" s="12" t="s">
        <v>71</v>
      </c>
      <c r="C734" s="12">
        <v>36</v>
      </c>
      <c r="D734" s="12" t="s">
        <v>151</v>
      </c>
      <c r="E734" s="12">
        <v>36</v>
      </c>
      <c r="F734" s="12">
        <v>0</v>
      </c>
      <c r="G734" s="12" t="s">
        <v>367</v>
      </c>
    </row>
    <row r="735" spans="1:7" ht="15" customHeight="1" x14ac:dyDescent="0.3">
      <c r="A735" s="12" t="s">
        <v>209</v>
      </c>
      <c r="B735" s="12" t="s">
        <v>76</v>
      </c>
      <c r="C735" s="12">
        <v>7</v>
      </c>
      <c r="D735" s="12" t="s">
        <v>131</v>
      </c>
      <c r="E735" s="12">
        <v>6</v>
      </c>
      <c r="F735" s="12">
        <v>1</v>
      </c>
      <c r="G735" s="12"/>
    </row>
    <row r="736" spans="1:7" ht="15" customHeight="1" x14ac:dyDescent="0.3">
      <c r="A736" s="12" t="s">
        <v>209</v>
      </c>
      <c r="B736" s="12" t="s">
        <v>81</v>
      </c>
      <c r="C736" s="12">
        <v>21</v>
      </c>
      <c r="D736" s="12" t="s">
        <v>141</v>
      </c>
      <c r="E736" s="12">
        <v>22</v>
      </c>
      <c r="F736" s="12">
        <v>1</v>
      </c>
      <c r="G736" s="12"/>
    </row>
    <row r="737" spans="1:7" ht="15" customHeight="1" x14ac:dyDescent="0.3">
      <c r="A737" s="12" t="s">
        <v>209</v>
      </c>
      <c r="B737" s="12" t="s">
        <v>81</v>
      </c>
      <c r="C737" s="12">
        <v>21</v>
      </c>
      <c r="D737" s="12" t="s">
        <v>171</v>
      </c>
      <c r="E737" s="12">
        <v>22</v>
      </c>
      <c r="F737" s="12">
        <v>1</v>
      </c>
      <c r="G737" s="12"/>
    </row>
    <row r="738" spans="1:7" ht="15" customHeight="1" x14ac:dyDescent="0.3">
      <c r="A738" s="12" t="s">
        <v>209</v>
      </c>
      <c r="B738" s="12" t="s">
        <v>81</v>
      </c>
      <c r="C738" s="12">
        <v>21</v>
      </c>
      <c r="D738" s="12" t="s">
        <v>181</v>
      </c>
      <c r="E738" s="12">
        <v>21</v>
      </c>
      <c r="F738" s="12">
        <v>0</v>
      </c>
      <c r="G738" s="12" t="s">
        <v>367</v>
      </c>
    </row>
    <row r="739" spans="1:7" ht="15" customHeight="1" x14ac:dyDescent="0.3">
      <c r="A739" s="12" t="s">
        <v>209</v>
      </c>
      <c r="B739" s="12" t="s">
        <v>91</v>
      </c>
      <c r="C739" s="12">
        <v>19</v>
      </c>
      <c r="D739" s="12" t="s">
        <v>146</v>
      </c>
      <c r="E739" s="12">
        <v>18</v>
      </c>
      <c r="F739" s="12">
        <v>1</v>
      </c>
      <c r="G739" s="12"/>
    </row>
    <row r="740" spans="1:7" ht="15" customHeight="1" x14ac:dyDescent="0.3">
      <c r="A740" s="12" t="s">
        <v>209</v>
      </c>
      <c r="B740" s="12" t="s">
        <v>91</v>
      </c>
      <c r="C740" s="12">
        <v>19</v>
      </c>
      <c r="D740" s="12" t="s">
        <v>166</v>
      </c>
      <c r="E740" s="12">
        <v>18</v>
      </c>
      <c r="F740" s="12">
        <v>1</v>
      </c>
      <c r="G740" s="12"/>
    </row>
    <row r="741" spans="1:7" ht="15" customHeight="1" x14ac:dyDescent="0.3">
      <c r="A741" s="12" t="s">
        <v>209</v>
      </c>
      <c r="B741" s="12" t="s">
        <v>91</v>
      </c>
      <c r="C741" s="12">
        <v>19</v>
      </c>
      <c r="D741" s="12" t="s">
        <v>186</v>
      </c>
      <c r="E741" s="12">
        <v>18</v>
      </c>
      <c r="F741" s="12">
        <v>1</v>
      </c>
      <c r="G741" s="12"/>
    </row>
    <row r="742" spans="1:7" ht="15" customHeight="1" x14ac:dyDescent="0.3">
      <c r="A742" s="12" t="s">
        <v>209</v>
      </c>
      <c r="B742" s="12" t="s">
        <v>106</v>
      </c>
      <c r="C742" s="12">
        <v>37</v>
      </c>
      <c r="D742" s="12" t="s">
        <v>151</v>
      </c>
      <c r="E742" s="12">
        <v>36</v>
      </c>
      <c r="F742" s="12">
        <v>1</v>
      </c>
      <c r="G742" s="12"/>
    </row>
    <row r="743" spans="1:7" ht="15" customHeight="1" x14ac:dyDescent="0.3">
      <c r="A743" s="12" t="s">
        <v>209</v>
      </c>
      <c r="B743" s="12" t="s">
        <v>111</v>
      </c>
      <c r="C743" s="12">
        <v>30</v>
      </c>
      <c r="D743" s="12" t="s">
        <v>176</v>
      </c>
      <c r="E743" s="12">
        <v>31</v>
      </c>
      <c r="F743" s="12">
        <v>1</v>
      </c>
      <c r="G743" s="12"/>
    </row>
    <row r="744" spans="1:7" ht="15" customHeight="1" x14ac:dyDescent="0.3">
      <c r="A744" s="12" t="s">
        <v>209</v>
      </c>
      <c r="B744" s="12" t="s">
        <v>116</v>
      </c>
      <c r="C744" s="12">
        <v>23</v>
      </c>
      <c r="D744" s="12" t="s">
        <v>121</v>
      </c>
      <c r="E744" s="12">
        <v>23</v>
      </c>
      <c r="F744" s="12">
        <v>0</v>
      </c>
      <c r="G744" s="12" t="s">
        <v>367</v>
      </c>
    </row>
    <row r="745" spans="1:7" ht="15" customHeight="1" x14ac:dyDescent="0.3">
      <c r="A745" s="12" t="s">
        <v>209</v>
      </c>
      <c r="B745" s="12" t="s">
        <v>116</v>
      </c>
      <c r="C745" s="12">
        <v>23</v>
      </c>
      <c r="D745" s="12" t="s">
        <v>141</v>
      </c>
      <c r="E745" s="12">
        <v>22</v>
      </c>
      <c r="F745" s="12">
        <v>1</v>
      </c>
      <c r="G745" s="12"/>
    </row>
    <row r="746" spans="1:7" ht="15" customHeight="1" x14ac:dyDescent="0.3">
      <c r="A746" s="12" t="s">
        <v>209</v>
      </c>
      <c r="B746" s="12" t="s">
        <v>116</v>
      </c>
      <c r="C746" s="12">
        <v>23</v>
      </c>
      <c r="D746" s="12" t="s">
        <v>171</v>
      </c>
      <c r="E746" s="12">
        <v>22</v>
      </c>
      <c r="F746" s="12">
        <v>1</v>
      </c>
      <c r="G746" s="12"/>
    </row>
    <row r="747" spans="1:7" ht="15" customHeight="1" x14ac:dyDescent="0.3">
      <c r="A747" s="12" t="s">
        <v>209</v>
      </c>
      <c r="B747" s="12" t="s">
        <v>121</v>
      </c>
      <c r="C747" s="12">
        <v>23</v>
      </c>
      <c r="D747" s="12" t="s">
        <v>141</v>
      </c>
      <c r="E747" s="12">
        <v>22</v>
      </c>
      <c r="F747" s="12">
        <v>1</v>
      </c>
      <c r="G747" s="12"/>
    </row>
    <row r="748" spans="1:7" ht="15" customHeight="1" x14ac:dyDescent="0.3">
      <c r="A748" s="12" t="s">
        <v>209</v>
      </c>
      <c r="B748" s="12" t="s">
        <v>121</v>
      </c>
      <c r="C748" s="12">
        <v>23</v>
      </c>
      <c r="D748" s="12" t="s">
        <v>171</v>
      </c>
      <c r="E748" s="12">
        <v>22</v>
      </c>
      <c r="F748" s="12">
        <v>1</v>
      </c>
      <c r="G748" s="12"/>
    </row>
    <row r="749" spans="1:7" ht="15" customHeight="1" x14ac:dyDescent="0.3">
      <c r="A749" s="12" t="s">
        <v>209</v>
      </c>
      <c r="B749" s="12" t="s">
        <v>126</v>
      </c>
      <c r="C749" s="12">
        <v>26</v>
      </c>
      <c r="D749" s="12" t="s">
        <v>161</v>
      </c>
      <c r="E749" s="12">
        <v>26</v>
      </c>
      <c r="F749" s="12">
        <v>0</v>
      </c>
      <c r="G749" s="12" t="s">
        <v>367</v>
      </c>
    </row>
    <row r="750" spans="1:7" ht="15" customHeight="1" x14ac:dyDescent="0.3">
      <c r="A750" s="12" t="s">
        <v>209</v>
      </c>
      <c r="B750" s="12" t="s">
        <v>141</v>
      </c>
      <c r="C750" s="12">
        <v>22</v>
      </c>
      <c r="D750" s="12" t="s">
        <v>171</v>
      </c>
      <c r="E750" s="12">
        <v>22</v>
      </c>
      <c r="F750" s="12">
        <v>0</v>
      </c>
      <c r="G750" s="12" t="s">
        <v>367</v>
      </c>
    </row>
    <row r="751" spans="1:7" ht="15" customHeight="1" x14ac:dyDescent="0.3">
      <c r="A751" s="12" t="s">
        <v>209</v>
      </c>
      <c r="B751" s="12" t="s">
        <v>141</v>
      </c>
      <c r="C751" s="12">
        <v>22</v>
      </c>
      <c r="D751" s="12" t="s">
        <v>181</v>
      </c>
      <c r="E751" s="12">
        <v>21</v>
      </c>
      <c r="F751" s="12">
        <v>1</v>
      </c>
      <c r="G751" s="12"/>
    </row>
    <row r="752" spans="1:7" ht="15" customHeight="1" x14ac:dyDescent="0.3">
      <c r="A752" s="12" t="s">
        <v>209</v>
      </c>
      <c r="B752" s="12" t="s">
        <v>146</v>
      </c>
      <c r="C752" s="12">
        <v>18</v>
      </c>
      <c r="D752" s="12" t="s">
        <v>166</v>
      </c>
      <c r="E752" s="12">
        <v>18</v>
      </c>
      <c r="F752" s="12">
        <v>0</v>
      </c>
      <c r="G752" s="12" t="s">
        <v>367</v>
      </c>
    </row>
    <row r="753" spans="1:7" ht="15" customHeight="1" x14ac:dyDescent="0.3">
      <c r="A753" s="12" t="s">
        <v>209</v>
      </c>
      <c r="B753" s="12" t="s">
        <v>146</v>
      </c>
      <c r="C753" s="12">
        <v>18</v>
      </c>
      <c r="D753" s="12" t="s">
        <v>186</v>
      </c>
      <c r="E753" s="12">
        <v>18</v>
      </c>
      <c r="F753" s="12">
        <v>0</v>
      </c>
      <c r="G753" s="12" t="s">
        <v>367</v>
      </c>
    </row>
    <row r="754" spans="1:7" ht="15" customHeight="1" x14ac:dyDescent="0.3">
      <c r="A754" s="12" t="s">
        <v>209</v>
      </c>
      <c r="B754" s="12" t="s">
        <v>166</v>
      </c>
      <c r="C754" s="12">
        <v>18</v>
      </c>
      <c r="D754" s="12" t="s">
        <v>186</v>
      </c>
      <c r="E754" s="12">
        <v>18</v>
      </c>
      <c r="F754" s="12">
        <v>0</v>
      </c>
      <c r="G754" s="12" t="s">
        <v>367</v>
      </c>
    </row>
    <row r="755" spans="1:7" ht="15" customHeight="1" x14ac:dyDescent="0.3">
      <c r="A755" s="12" t="s">
        <v>209</v>
      </c>
      <c r="B755" s="12" t="s">
        <v>171</v>
      </c>
      <c r="C755" s="12">
        <v>22</v>
      </c>
      <c r="D755" s="12" t="s">
        <v>181</v>
      </c>
      <c r="E755" s="12">
        <v>21</v>
      </c>
      <c r="F755" s="12">
        <v>1</v>
      </c>
      <c r="G755" s="12"/>
    </row>
    <row r="756" spans="1:7" x14ac:dyDescent="0.3">
      <c r="A756" s="12" t="s">
        <v>210</v>
      </c>
      <c r="B756" s="12" t="s">
        <v>101</v>
      </c>
      <c r="C756" s="12">
        <v>265</v>
      </c>
      <c r="D756" s="12" t="s">
        <v>36</v>
      </c>
      <c r="E756" s="12">
        <v>263</v>
      </c>
      <c r="F756" s="12">
        <v>2</v>
      </c>
      <c r="G756" s="12"/>
    </row>
    <row r="757" spans="1:7" x14ac:dyDescent="0.3">
      <c r="A757" s="12" t="s">
        <v>210</v>
      </c>
      <c r="B757" s="12" t="s">
        <v>66</v>
      </c>
      <c r="C757" s="12">
        <v>252</v>
      </c>
      <c r="D757" s="12" t="s">
        <v>71</v>
      </c>
      <c r="E757" s="12">
        <v>248</v>
      </c>
      <c r="F757" s="12">
        <v>4</v>
      </c>
      <c r="G757" s="12"/>
    </row>
    <row r="758" spans="1:7" x14ac:dyDescent="0.3">
      <c r="A758" s="12" t="s">
        <v>210</v>
      </c>
      <c r="B758" s="12" t="s">
        <v>71</v>
      </c>
      <c r="C758" s="12">
        <v>248</v>
      </c>
      <c r="D758" s="12" t="s">
        <v>106</v>
      </c>
      <c r="E758" s="12">
        <v>246</v>
      </c>
      <c r="F758" s="12">
        <v>2</v>
      </c>
      <c r="G758" s="12"/>
    </row>
    <row r="759" spans="1:7" x14ac:dyDescent="0.3">
      <c r="A759" s="12" t="s">
        <v>210</v>
      </c>
      <c r="B759" s="12" t="s">
        <v>71</v>
      </c>
      <c r="C759" s="12">
        <v>248</v>
      </c>
      <c r="D759" s="12" t="s">
        <v>96</v>
      </c>
      <c r="E759" s="12">
        <v>244</v>
      </c>
      <c r="F759" s="12">
        <v>4</v>
      </c>
      <c r="G759" s="12"/>
    </row>
    <row r="760" spans="1:7" x14ac:dyDescent="0.3">
      <c r="A760" s="12" t="s">
        <v>210</v>
      </c>
      <c r="B760" s="12" t="s">
        <v>106</v>
      </c>
      <c r="C760" s="12">
        <v>246</v>
      </c>
      <c r="D760" s="12" t="s">
        <v>96</v>
      </c>
      <c r="E760" s="12">
        <v>244</v>
      </c>
      <c r="F760" s="12">
        <v>2</v>
      </c>
      <c r="G760" s="12"/>
    </row>
    <row r="761" spans="1:7" x14ac:dyDescent="0.3">
      <c r="A761" s="12" t="s">
        <v>210</v>
      </c>
      <c r="B761" s="12" t="s">
        <v>106</v>
      </c>
      <c r="C761" s="12">
        <v>246</v>
      </c>
      <c r="D761" s="12" t="s">
        <v>86</v>
      </c>
      <c r="E761" s="12">
        <v>242</v>
      </c>
      <c r="F761" s="12">
        <v>4</v>
      </c>
      <c r="G761" s="12"/>
    </row>
    <row r="762" spans="1:7" x14ac:dyDescent="0.3">
      <c r="A762" s="12" t="s">
        <v>210</v>
      </c>
      <c r="B762" s="12" t="s">
        <v>96</v>
      </c>
      <c r="C762" s="12">
        <v>244</v>
      </c>
      <c r="D762" s="12" t="s">
        <v>86</v>
      </c>
      <c r="E762" s="12">
        <v>242</v>
      </c>
      <c r="F762" s="12">
        <v>2</v>
      </c>
      <c r="G762" s="12"/>
    </row>
    <row r="763" spans="1:7" x14ac:dyDescent="0.3">
      <c r="A763" s="12" t="s">
        <v>210</v>
      </c>
      <c r="B763" s="12" t="s">
        <v>96</v>
      </c>
      <c r="C763" s="12">
        <v>244</v>
      </c>
      <c r="D763" s="12" t="s">
        <v>41</v>
      </c>
      <c r="E763" s="12">
        <v>241</v>
      </c>
      <c r="F763" s="12">
        <v>3</v>
      </c>
      <c r="G763" s="12"/>
    </row>
    <row r="764" spans="1:7" x14ac:dyDescent="0.3">
      <c r="A764" s="12" t="s">
        <v>210</v>
      </c>
      <c r="B764" s="12" t="s">
        <v>86</v>
      </c>
      <c r="C764" s="12">
        <v>242</v>
      </c>
      <c r="D764" s="12" t="s">
        <v>41</v>
      </c>
      <c r="E764" s="12">
        <v>241</v>
      </c>
      <c r="F764" s="12">
        <v>1</v>
      </c>
      <c r="G764" s="12"/>
    </row>
    <row r="765" spans="1:7" x14ac:dyDescent="0.3">
      <c r="A765" s="12" t="s">
        <v>210</v>
      </c>
      <c r="B765" s="12" t="s">
        <v>46</v>
      </c>
      <c r="C765" s="12">
        <v>231</v>
      </c>
      <c r="D765" s="12" t="s">
        <v>91</v>
      </c>
      <c r="E765" s="12">
        <v>227</v>
      </c>
      <c r="F765" s="12">
        <v>4</v>
      </c>
      <c r="G765" s="12"/>
    </row>
    <row r="766" spans="1:7" x14ac:dyDescent="0.3">
      <c r="A766" s="12" t="s">
        <v>210</v>
      </c>
      <c r="B766" s="12" t="s">
        <v>91</v>
      </c>
      <c r="C766" s="12">
        <v>227</v>
      </c>
      <c r="D766" s="12" t="s">
        <v>56</v>
      </c>
      <c r="E766" s="12">
        <v>224</v>
      </c>
      <c r="F766" s="12">
        <v>3</v>
      </c>
      <c r="G766" s="12"/>
    </row>
    <row r="767" spans="1:7" x14ac:dyDescent="0.3">
      <c r="A767" s="12" t="s">
        <v>210</v>
      </c>
      <c r="B767" s="12" t="s">
        <v>61</v>
      </c>
      <c r="C767" s="12">
        <v>206</v>
      </c>
      <c r="D767" s="12" t="s">
        <v>76</v>
      </c>
      <c r="E767" s="12">
        <v>203</v>
      </c>
      <c r="F767" s="12">
        <v>3</v>
      </c>
      <c r="G767" s="12"/>
    </row>
    <row r="768" spans="1:7" x14ac:dyDescent="0.3">
      <c r="A768" s="12" t="s">
        <v>210</v>
      </c>
      <c r="B768" s="12" t="s">
        <v>76</v>
      </c>
      <c r="C768" s="12">
        <v>203</v>
      </c>
      <c r="D768" s="12" t="s">
        <v>111</v>
      </c>
      <c r="E768" s="12">
        <v>199</v>
      </c>
      <c r="F768" s="12">
        <v>4</v>
      </c>
      <c r="G768" s="12"/>
    </row>
    <row r="769" spans="1:7" x14ac:dyDescent="0.3">
      <c r="A769" s="12" t="s">
        <v>210</v>
      </c>
      <c r="B769" s="12" t="s">
        <v>126</v>
      </c>
      <c r="C769" s="12">
        <v>193</v>
      </c>
      <c r="D769" s="12" t="s">
        <v>121</v>
      </c>
      <c r="E769" s="12">
        <v>191</v>
      </c>
      <c r="F769" s="12">
        <v>2</v>
      </c>
      <c r="G769" s="12"/>
    </row>
    <row r="770" spans="1:7" x14ac:dyDescent="0.3">
      <c r="A770" s="12" t="s">
        <v>210</v>
      </c>
      <c r="B770" s="12" t="s">
        <v>146</v>
      </c>
      <c r="C770" s="12">
        <v>164</v>
      </c>
      <c r="D770" s="12" t="s">
        <v>176</v>
      </c>
      <c r="E770" s="12">
        <v>164</v>
      </c>
      <c r="F770" s="12">
        <v>0</v>
      </c>
      <c r="G770" s="12" t="s">
        <v>367</v>
      </c>
    </row>
    <row r="771" spans="1:7" x14ac:dyDescent="0.3">
      <c r="A771" s="12" t="s">
        <v>210</v>
      </c>
      <c r="B771" s="12" t="s">
        <v>151</v>
      </c>
      <c r="C771" s="12">
        <v>153</v>
      </c>
      <c r="D771" s="12" t="s">
        <v>131</v>
      </c>
      <c r="E771" s="12">
        <v>151</v>
      </c>
      <c r="F771" s="12">
        <v>2</v>
      </c>
      <c r="G771" s="12"/>
    </row>
    <row r="772" spans="1:7" x14ac:dyDescent="0.3">
      <c r="A772" s="12" t="s">
        <v>210</v>
      </c>
      <c r="B772" s="12" t="s">
        <v>131</v>
      </c>
      <c r="C772" s="12">
        <v>151</v>
      </c>
      <c r="D772" s="12" t="s">
        <v>136</v>
      </c>
      <c r="E772" s="12">
        <v>147</v>
      </c>
      <c r="F772" s="12">
        <v>4</v>
      </c>
      <c r="G772" s="12"/>
    </row>
    <row r="773" spans="1:7" x14ac:dyDescent="0.3">
      <c r="A773" s="12" t="s">
        <v>211</v>
      </c>
      <c r="B773" s="12" t="s">
        <v>86</v>
      </c>
      <c r="C773" s="12">
        <v>45</v>
      </c>
      <c r="D773" s="12" t="s">
        <v>91</v>
      </c>
      <c r="E773" s="12">
        <v>44</v>
      </c>
      <c r="F773" s="12">
        <v>1</v>
      </c>
      <c r="G773" s="12"/>
    </row>
    <row r="774" spans="1:7" x14ac:dyDescent="0.3">
      <c r="A774" s="12" t="s">
        <v>211</v>
      </c>
      <c r="B774" s="12" t="s">
        <v>81</v>
      </c>
      <c r="C774" s="12">
        <v>38</v>
      </c>
      <c r="D774" s="12" t="s">
        <v>96</v>
      </c>
      <c r="E774" s="12">
        <v>38</v>
      </c>
      <c r="F774" s="12">
        <v>0</v>
      </c>
      <c r="G774" s="12" t="s">
        <v>367</v>
      </c>
    </row>
    <row r="775" spans="1:7" x14ac:dyDescent="0.3">
      <c r="A775" s="12" t="s">
        <v>211</v>
      </c>
      <c r="B775" s="12" t="s">
        <v>81</v>
      </c>
      <c r="C775" s="12">
        <v>38</v>
      </c>
      <c r="D775" s="12" t="s">
        <v>46</v>
      </c>
      <c r="E775" s="12">
        <v>37</v>
      </c>
      <c r="F775" s="12">
        <v>1</v>
      </c>
      <c r="G775" s="12"/>
    </row>
    <row r="776" spans="1:7" x14ac:dyDescent="0.3">
      <c r="A776" s="12" t="s">
        <v>211</v>
      </c>
      <c r="B776" s="12" t="s">
        <v>96</v>
      </c>
      <c r="C776" s="12">
        <v>38</v>
      </c>
      <c r="D776" s="12" t="s">
        <v>46</v>
      </c>
      <c r="E776" s="12">
        <v>37</v>
      </c>
      <c r="F776" s="12">
        <v>1</v>
      </c>
      <c r="G776" s="12"/>
    </row>
    <row r="777" spans="1:7" x14ac:dyDescent="0.3">
      <c r="A777" s="12" t="s">
        <v>211</v>
      </c>
      <c r="B777" s="12" t="s">
        <v>46</v>
      </c>
      <c r="C777" s="12">
        <v>37</v>
      </c>
      <c r="D777" s="12" t="s">
        <v>71</v>
      </c>
      <c r="E777" s="12">
        <v>36</v>
      </c>
      <c r="F777" s="12">
        <v>1</v>
      </c>
      <c r="G777" s="12"/>
    </row>
    <row r="778" spans="1:7" x14ac:dyDescent="0.3">
      <c r="A778" s="12" t="s">
        <v>211</v>
      </c>
      <c r="B778" s="12" t="s">
        <v>71</v>
      </c>
      <c r="C778" s="12">
        <v>36</v>
      </c>
      <c r="D778" s="12" t="s">
        <v>111</v>
      </c>
      <c r="E778" s="12">
        <v>35</v>
      </c>
      <c r="F778" s="12">
        <v>1</v>
      </c>
      <c r="G778" s="12"/>
    </row>
    <row r="779" spans="1:7" x14ac:dyDescent="0.3">
      <c r="A779" s="12" t="s">
        <v>211</v>
      </c>
      <c r="B779" s="12" t="s">
        <v>111</v>
      </c>
      <c r="C779" s="12">
        <v>35</v>
      </c>
      <c r="D779" s="12" t="s">
        <v>61</v>
      </c>
      <c r="E779" s="12">
        <v>34</v>
      </c>
      <c r="F779" s="12">
        <v>1</v>
      </c>
      <c r="G779" s="12"/>
    </row>
    <row r="780" spans="1:7" x14ac:dyDescent="0.3">
      <c r="A780" s="12" t="s">
        <v>211</v>
      </c>
      <c r="B780" s="12" t="s">
        <v>61</v>
      </c>
      <c r="C780" s="12">
        <v>34</v>
      </c>
      <c r="D780" s="12" t="s">
        <v>41</v>
      </c>
      <c r="E780" s="12">
        <v>33</v>
      </c>
      <c r="F780" s="12">
        <v>1</v>
      </c>
      <c r="G780" s="12"/>
    </row>
    <row r="781" spans="1:7" x14ac:dyDescent="0.3">
      <c r="A781" s="12" t="s">
        <v>211</v>
      </c>
      <c r="B781" s="12" t="s">
        <v>116</v>
      </c>
      <c r="C781" s="12">
        <v>22</v>
      </c>
      <c r="D781" s="12" t="s">
        <v>146</v>
      </c>
      <c r="E781" s="12">
        <v>22</v>
      </c>
      <c r="F781" s="12">
        <v>0</v>
      </c>
      <c r="G781" s="12" t="s">
        <v>367</v>
      </c>
    </row>
    <row r="782" spans="1:7" x14ac:dyDescent="0.3">
      <c r="A782" s="12" t="s">
        <v>211</v>
      </c>
      <c r="B782" s="12" t="s">
        <v>76</v>
      </c>
      <c r="C782" s="12">
        <v>20</v>
      </c>
      <c r="D782" s="12" t="s">
        <v>176</v>
      </c>
      <c r="E782" s="12">
        <v>20</v>
      </c>
      <c r="F782" s="12">
        <v>0</v>
      </c>
      <c r="G782" s="12" t="s">
        <v>367</v>
      </c>
    </row>
    <row r="783" spans="1:7" x14ac:dyDescent="0.3">
      <c r="A783" s="12" t="s">
        <v>211</v>
      </c>
      <c r="B783" s="12" t="s">
        <v>76</v>
      </c>
      <c r="C783" s="12">
        <v>20</v>
      </c>
      <c r="D783" s="12" t="s">
        <v>151</v>
      </c>
      <c r="E783" s="12">
        <v>20</v>
      </c>
      <c r="F783" s="12">
        <v>0</v>
      </c>
      <c r="G783" s="12" t="s">
        <v>367</v>
      </c>
    </row>
    <row r="784" spans="1:7" x14ac:dyDescent="0.3">
      <c r="A784" s="12" t="s">
        <v>211</v>
      </c>
      <c r="B784" s="12" t="s">
        <v>176</v>
      </c>
      <c r="C784" s="12">
        <v>20</v>
      </c>
      <c r="D784" s="12" t="s">
        <v>151</v>
      </c>
      <c r="E784" s="12">
        <v>20</v>
      </c>
      <c r="F784" s="12">
        <v>0</v>
      </c>
      <c r="G784" s="12" t="s">
        <v>367</v>
      </c>
    </row>
    <row r="785" spans="1:7" x14ac:dyDescent="0.3">
      <c r="A785" s="12" t="s">
        <v>211</v>
      </c>
      <c r="B785" s="12" t="s">
        <v>131</v>
      </c>
      <c r="C785" s="12">
        <v>18</v>
      </c>
      <c r="D785" s="12" t="s">
        <v>161</v>
      </c>
      <c r="E785" s="12">
        <v>17</v>
      </c>
      <c r="F785" s="12">
        <v>1</v>
      </c>
      <c r="G785" s="12"/>
    </row>
    <row r="786" spans="1:7" x14ac:dyDescent="0.3">
      <c r="A786" s="12" t="s">
        <v>211</v>
      </c>
      <c r="B786" s="12" t="s">
        <v>131</v>
      </c>
      <c r="C786" s="12">
        <v>18</v>
      </c>
      <c r="D786" s="12" t="s">
        <v>136</v>
      </c>
      <c r="E786" s="12">
        <v>17</v>
      </c>
      <c r="F786" s="12">
        <v>1</v>
      </c>
      <c r="G786" s="12"/>
    </row>
    <row r="787" spans="1:7" x14ac:dyDescent="0.3">
      <c r="A787" s="12" t="s">
        <v>211</v>
      </c>
      <c r="B787" s="12" t="s">
        <v>161</v>
      </c>
      <c r="C787" s="12">
        <v>17</v>
      </c>
      <c r="D787" s="12" t="s">
        <v>136</v>
      </c>
      <c r="E787" s="12">
        <v>17</v>
      </c>
      <c r="F787" s="12">
        <v>0</v>
      </c>
      <c r="G787" s="12" t="s">
        <v>367</v>
      </c>
    </row>
    <row r="788" spans="1:7" x14ac:dyDescent="0.3">
      <c r="A788" s="12" t="s">
        <v>211</v>
      </c>
      <c r="B788" s="12" t="s">
        <v>161</v>
      </c>
      <c r="C788" s="12">
        <v>17</v>
      </c>
      <c r="D788" s="12" t="s">
        <v>156</v>
      </c>
      <c r="E788" s="12">
        <v>16</v>
      </c>
      <c r="F788" s="12">
        <v>1</v>
      </c>
      <c r="G788" s="12"/>
    </row>
    <row r="789" spans="1:7" x14ac:dyDescent="0.3">
      <c r="A789" s="12" t="s">
        <v>211</v>
      </c>
      <c r="B789" s="12" t="s">
        <v>136</v>
      </c>
      <c r="C789" s="12">
        <v>17</v>
      </c>
      <c r="D789" s="12" t="s">
        <v>156</v>
      </c>
      <c r="E789" s="12">
        <v>16</v>
      </c>
      <c r="F789" s="12">
        <v>1</v>
      </c>
      <c r="G789" s="12"/>
    </row>
    <row r="790" spans="1:7" x14ac:dyDescent="0.3">
      <c r="A790" s="12" t="s">
        <v>211</v>
      </c>
      <c r="B790" s="12" t="s">
        <v>181</v>
      </c>
      <c r="C790" s="12">
        <v>8</v>
      </c>
      <c r="D790" s="12" t="s">
        <v>166</v>
      </c>
      <c r="E790" s="12">
        <v>7</v>
      </c>
      <c r="F790" s="12">
        <v>1</v>
      </c>
      <c r="G790" s="12"/>
    </row>
    <row r="791" spans="1:7" x14ac:dyDescent="0.3">
      <c r="A791" s="12" t="s">
        <v>211</v>
      </c>
      <c r="B791" s="12" t="s">
        <v>166</v>
      </c>
      <c r="C791" s="12">
        <v>7</v>
      </c>
      <c r="D791" s="12" t="s">
        <v>51</v>
      </c>
      <c r="E791" s="12">
        <v>6</v>
      </c>
      <c r="F791" s="12">
        <v>1</v>
      </c>
      <c r="G791" s="12"/>
    </row>
    <row r="792" spans="1:7" x14ac:dyDescent="0.3">
      <c r="A792" s="12" t="s">
        <v>211</v>
      </c>
      <c r="B792" s="12" t="s">
        <v>166</v>
      </c>
      <c r="C792" s="12">
        <v>7</v>
      </c>
      <c r="D792" s="12" t="s">
        <v>186</v>
      </c>
      <c r="E792" s="12">
        <v>6</v>
      </c>
      <c r="F792" s="12">
        <v>1</v>
      </c>
      <c r="G792" s="12"/>
    </row>
    <row r="793" spans="1:7" x14ac:dyDescent="0.3">
      <c r="A793" s="12" t="s">
        <v>211</v>
      </c>
      <c r="B793" s="12" t="s">
        <v>51</v>
      </c>
      <c r="C793" s="12">
        <v>6</v>
      </c>
      <c r="D793" s="12" t="s">
        <v>186</v>
      </c>
      <c r="E793" s="12">
        <v>6</v>
      </c>
      <c r="F793" s="12">
        <v>0</v>
      </c>
      <c r="G793" s="12" t="s">
        <v>367</v>
      </c>
    </row>
    <row r="794" spans="1:7" x14ac:dyDescent="0.3">
      <c r="A794" s="12" t="s">
        <v>212</v>
      </c>
      <c r="B794" s="12" t="s">
        <v>31</v>
      </c>
      <c r="C794" s="12">
        <v>40</v>
      </c>
      <c r="D794" s="12" t="s">
        <v>66</v>
      </c>
      <c r="E794" s="12">
        <v>40</v>
      </c>
      <c r="F794" s="12">
        <v>0</v>
      </c>
      <c r="G794" s="12" t="s">
        <v>367</v>
      </c>
    </row>
    <row r="795" spans="1:7" x14ac:dyDescent="0.3">
      <c r="A795" s="12" t="s">
        <v>212</v>
      </c>
      <c r="B795" s="12" t="s">
        <v>31</v>
      </c>
      <c r="C795" s="12">
        <v>40</v>
      </c>
      <c r="D795" s="12" t="s">
        <v>36</v>
      </c>
      <c r="E795" s="12">
        <v>39</v>
      </c>
      <c r="F795" s="12">
        <v>1</v>
      </c>
      <c r="G795" s="12"/>
    </row>
    <row r="796" spans="1:7" x14ac:dyDescent="0.3">
      <c r="A796" s="12" t="s">
        <v>212</v>
      </c>
      <c r="B796" s="12" t="s">
        <v>66</v>
      </c>
      <c r="C796" s="12">
        <v>40</v>
      </c>
      <c r="D796" s="12" t="s">
        <v>36</v>
      </c>
      <c r="E796" s="12">
        <v>39</v>
      </c>
      <c r="F796" s="12">
        <v>1</v>
      </c>
      <c r="G796" s="12"/>
    </row>
    <row r="797" spans="1:7" x14ac:dyDescent="0.3">
      <c r="A797" s="12" t="s">
        <v>212</v>
      </c>
      <c r="B797" s="12" t="s">
        <v>96</v>
      </c>
      <c r="C797" s="12">
        <v>35</v>
      </c>
      <c r="D797" s="12" t="s">
        <v>91</v>
      </c>
      <c r="E797" s="12">
        <v>34</v>
      </c>
      <c r="F797" s="12">
        <v>1</v>
      </c>
      <c r="G797" s="12"/>
    </row>
    <row r="798" spans="1:7" x14ac:dyDescent="0.3">
      <c r="A798" s="12" t="s">
        <v>212</v>
      </c>
      <c r="B798" s="12" t="s">
        <v>91</v>
      </c>
      <c r="C798" s="12">
        <v>34</v>
      </c>
      <c r="D798" s="12" t="s">
        <v>86</v>
      </c>
      <c r="E798" s="12">
        <v>33</v>
      </c>
      <c r="F798" s="12">
        <v>1</v>
      </c>
      <c r="G798" s="12"/>
    </row>
    <row r="799" spans="1:7" x14ac:dyDescent="0.3">
      <c r="A799" s="12" t="s">
        <v>212</v>
      </c>
      <c r="B799" s="12" t="s">
        <v>71</v>
      </c>
      <c r="C799" s="12">
        <v>27</v>
      </c>
      <c r="D799" s="12" t="s">
        <v>81</v>
      </c>
      <c r="E799" s="12">
        <v>27</v>
      </c>
      <c r="F799" s="12">
        <v>0</v>
      </c>
      <c r="G799" s="12" t="s">
        <v>367</v>
      </c>
    </row>
    <row r="800" spans="1:7" x14ac:dyDescent="0.3">
      <c r="A800" s="12" t="s">
        <v>212</v>
      </c>
      <c r="B800" s="12" t="s">
        <v>71</v>
      </c>
      <c r="C800" s="12">
        <v>27</v>
      </c>
      <c r="D800" s="12" t="s">
        <v>46</v>
      </c>
      <c r="E800" s="12">
        <v>26</v>
      </c>
      <c r="F800" s="12">
        <v>1</v>
      </c>
      <c r="G800" s="12"/>
    </row>
    <row r="801" spans="1:7" x14ac:dyDescent="0.3">
      <c r="A801" s="12" t="s">
        <v>212</v>
      </c>
      <c r="B801" s="12" t="s">
        <v>81</v>
      </c>
      <c r="C801" s="12">
        <v>27</v>
      </c>
      <c r="D801" s="12" t="s">
        <v>46</v>
      </c>
      <c r="E801" s="12">
        <v>26</v>
      </c>
      <c r="F801" s="12">
        <v>1</v>
      </c>
      <c r="G801" s="12"/>
    </row>
    <row r="802" spans="1:7" x14ac:dyDescent="0.3">
      <c r="A802" s="12" t="s">
        <v>212</v>
      </c>
      <c r="B802" s="12" t="s">
        <v>46</v>
      </c>
      <c r="C802" s="12">
        <v>26</v>
      </c>
      <c r="D802" s="12" t="s">
        <v>106</v>
      </c>
      <c r="E802" s="12">
        <v>25</v>
      </c>
      <c r="F802" s="12">
        <v>1</v>
      </c>
      <c r="G802" s="12"/>
    </row>
    <row r="803" spans="1:7" x14ac:dyDescent="0.3">
      <c r="A803" s="12" t="s">
        <v>212</v>
      </c>
      <c r="B803" s="12" t="s">
        <v>106</v>
      </c>
      <c r="C803" s="12">
        <v>25</v>
      </c>
      <c r="D803" s="12" t="s">
        <v>56</v>
      </c>
      <c r="E803" s="12">
        <v>24</v>
      </c>
      <c r="F803" s="12">
        <v>1</v>
      </c>
      <c r="G803" s="12"/>
    </row>
    <row r="804" spans="1:7" x14ac:dyDescent="0.3">
      <c r="A804" s="12" t="s">
        <v>212</v>
      </c>
      <c r="B804" s="12" t="s">
        <v>106</v>
      </c>
      <c r="C804" s="12">
        <v>25</v>
      </c>
      <c r="D804" s="12" t="s">
        <v>176</v>
      </c>
      <c r="E804" s="12">
        <v>24</v>
      </c>
      <c r="F804" s="12">
        <v>1</v>
      </c>
      <c r="G804" s="12"/>
    </row>
    <row r="805" spans="1:7" x14ac:dyDescent="0.3">
      <c r="A805" s="12" t="s">
        <v>212</v>
      </c>
      <c r="B805" s="12" t="s">
        <v>56</v>
      </c>
      <c r="C805" s="12">
        <v>24</v>
      </c>
      <c r="D805" s="12" t="s">
        <v>176</v>
      </c>
      <c r="E805" s="12">
        <v>24</v>
      </c>
      <c r="F805" s="12">
        <v>0</v>
      </c>
      <c r="G805" s="12" t="s">
        <v>367</v>
      </c>
    </row>
    <row r="806" spans="1:7" x14ac:dyDescent="0.3">
      <c r="A806" s="12" t="s">
        <v>212</v>
      </c>
      <c r="B806" s="12" t="s">
        <v>111</v>
      </c>
      <c r="C806" s="12">
        <v>22</v>
      </c>
      <c r="D806" s="12" t="s">
        <v>61</v>
      </c>
      <c r="E806" s="12">
        <v>22</v>
      </c>
      <c r="F806" s="12">
        <v>0</v>
      </c>
      <c r="G806" s="12" t="s">
        <v>367</v>
      </c>
    </row>
    <row r="807" spans="1:7" x14ac:dyDescent="0.3">
      <c r="A807" s="12" t="s">
        <v>212</v>
      </c>
      <c r="B807" s="12" t="s">
        <v>111</v>
      </c>
      <c r="C807" s="12">
        <v>22</v>
      </c>
      <c r="D807" s="12" t="s">
        <v>116</v>
      </c>
      <c r="E807" s="12">
        <v>22</v>
      </c>
      <c r="F807" s="12">
        <v>0</v>
      </c>
      <c r="G807" s="12" t="s">
        <v>367</v>
      </c>
    </row>
    <row r="808" spans="1:7" x14ac:dyDescent="0.3">
      <c r="A808" s="12" t="s">
        <v>212</v>
      </c>
      <c r="B808" s="12" t="s">
        <v>61</v>
      </c>
      <c r="C808" s="12">
        <v>22</v>
      </c>
      <c r="D808" s="12" t="s">
        <v>116</v>
      </c>
      <c r="E808" s="12">
        <v>22</v>
      </c>
      <c r="F808" s="12">
        <v>0</v>
      </c>
      <c r="G808" s="12" t="s">
        <v>367</v>
      </c>
    </row>
    <row r="809" spans="1:7" x14ac:dyDescent="0.3">
      <c r="A809" s="12" t="s">
        <v>212</v>
      </c>
      <c r="B809" s="12" t="s">
        <v>146</v>
      </c>
      <c r="C809" s="12">
        <v>20</v>
      </c>
      <c r="D809" s="12" t="s">
        <v>126</v>
      </c>
      <c r="E809" s="12">
        <v>19</v>
      </c>
      <c r="F809" s="12">
        <v>1</v>
      </c>
      <c r="G809" s="12"/>
    </row>
    <row r="810" spans="1:7" x14ac:dyDescent="0.3">
      <c r="A810" s="12" t="s">
        <v>212</v>
      </c>
      <c r="B810" s="12" t="s">
        <v>161</v>
      </c>
      <c r="C810" s="12">
        <v>15</v>
      </c>
      <c r="D810" s="12" t="s">
        <v>121</v>
      </c>
      <c r="E810" s="12">
        <v>14</v>
      </c>
      <c r="F810" s="12">
        <v>1</v>
      </c>
      <c r="G810" s="12"/>
    </row>
    <row r="811" spans="1:7" x14ac:dyDescent="0.3">
      <c r="A811" s="12" t="s">
        <v>212</v>
      </c>
      <c r="B811" s="12" t="s">
        <v>161</v>
      </c>
      <c r="C811" s="12">
        <v>15</v>
      </c>
      <c r="D811" s="12" t="s">
        <v>136</v>
      </c>
      <c r="E811" s="12">
        <v>14</v>
      </c>
      <c r="F811" s="12">
        <v>1</v>
      </c>
      <c r="G811" s="12"/>
    </row>
    <row r="812" spans="1:7" x14ac:dyDescent="0.3">
      <c r="A812" s="12" t="s">
        <v>212</v>
      </c>
      <c r="B812" s="12" t="s">
        <v>121</v>
      </c>
      <c r="C812" s="12">
        <v>14</v>
      </c>
      <c r="D812" s="12" t="s">
        <v>136</v>
      </c>
      <c r="E812" s="12">
        <v>14</v>
      </c>
      <c r="F812" s="12">
        <v>0</v>
      </c>
      <c r="G812" s="12" t="s">
        <v>367</v>
      </c>
    </row>
    <row r="813" spans="1:7" x14ac:dyDescent="0.3">
      <c r="A813" s="12" t="s">
        <v>212</v>
      </c>
      <c r="B813" s="12" t="s">
        <v>121</v>
      </c>
      <c r="C813" s="12">
        <v>14</v>
      </c>
      <c r="D813" s="12" t="s">
        <v>141</v>
      </c>
      <c r="E813" s="12">
        <v>13</v>
      </c>
      <c r="F813" s="12">
        <v>1</v>
      </c>
      <c r="G813" s="12"/>
    </row>
    <row r="814" spans="1:7" x14ac:dyDescent="0.3">
      <c r="A814" s="12" t="s">
        <v>212</v>
      </c>
      <c r="B814" s="12" t="s">
        <v>121</v>
      </c>
      <c r="C814" s="12">
        <v>14</v>
      </c>
      <c r="D814" s="12" t="s">
        <v>151</v>
      </c>
      <c r="E814" s="12">
        <v>13</v>
      </c>
      <c r="F814" s="12">
        <v>1</v>
      </c>
      <c r="G814" s="12"/>
    </row>
    <row r="815" spans="1:7" x14ac:dyDescent="0.3">
      <c r="A815" s="12" t="s">
        <v>212</v>
      </c>
      <c r="B815" s="12" t="s">
        <v>121</v>
      </c>
      <c r="C815" s="12">
        <v>14</v>
      </c>
      <c r="D815" s="12" t="s">
        <v>131</v>
      </c>
      <c r="E815" s="12">
        <v>13</v>
      </c>
      <c r="F815" s="12">
        <v>1</v>
      </c>
      <c r="G815" s="12"/>
    </row>
    <row r="816" spans="1:7" x14ac:dyDescent="0.3">
      <c r="A816" s="12" t="s">
        <v>212</v>
      </c>
      <c r="B816" s="12" t="s">
        <v>136</v>
      </c>
      <c r="C816" s="12">
        <v>14</v>
      </c>
      <c r="D816" s="12" t="s">
        <v>141</v>
      </c>
      <c r="E816" s="12">
        <v>13</v>
      </c>
      <c r="F816" s="12">
        <v>1</v>
      </c>
      <c r="G816" s="12"/>
    </row>
    <row r="817" spans="1:7" x14ac:dyDescent="0.3">
      <c r="A817" s="12" t="s">
        <v>212</v>
      </c>
      <c r="B817" s="12" t="s">
        <v>136</v>
      </c>
      <c r="C817" s="12">
        <v>14</v>
      </c>
      <c r="D817" s="12" t="s">
        <v>151</v>
      </c>
      <c r="E817" s="12">
        <v>13</v>
      </c>
      <c r="F817" s="12">
        <v>1</v>
      </c>
      <c r="G817" s="12"/>
    </row>
    <row r="818" spans="1:7" x14ac:dyDescent="0.3">
      <c r="A818" s="12" t="s">
        <v>212</v>
      </c>
      <c r="B818" s="12" t="s">
        <v>136</v>
      </c>
      <c r="C818" s="12">
        <v>14</v>
      </c>
      <c r="D818" s="12" t="s">
        <v>131</v>
      </c>
      <c r="E818" s="12">
        <v>13</v>
      </c>
      <c r="F818" s="12">
        <v>1</v>
      </c>
      <c r="G818" s="12"/>
    </row>
    <row r="819" spans="1:7" x14ac:dyDescent="0.3">
      <c r="A819" s="12" t="s">
        <v>212</v>
      </c>
      <c r="B819" s="12" t="s">
        <v>141</v>
      </c>
      <c r="C819" s="12">
        <v>13</v>
      </c>
      <c r="D819" s="12" t="s">
        <v>151</v>
      </c>
      <c r="E819" s="12">
        <v>13</v>
      </c>
      <c r="F819" s="12">
        <v>0</v>
      </c>
      <c r="G819" s="12" t="s">
        <v>367</v>
      </c>
    </row>
    <row r="820" spans="1:7" x14ac:dyDescent="0.3">
      <c r="A820" s="12" t="s">
        <v>212</v>
      </c>
      <c r="B820" s="12" t="s">
        <v>141</v>
      </c>
      <c r="C820" s="12">
        <v>13</v>
      </c>
      <c r="D820" s="12" t="s">
        <v>131</v>
      </c>
      <c r="E820" s="12">
        <v>13</v>
      </c>
      <c r="F820" s="12">
        <v>0</v>
      </c>
      <c r="G820" s="12" t="s">
        <v>367</v>
      </c>
    </row>
    <row r="821" spans="1:7" x14ac:dyDescent="0.3">
      <c r="A821" s="12" t="s">
        <v>212</v>
      </c>
      <c r="B821" s="12" t="s">
        <v>151</v>
      </c>
      <c r="C821" s="12">
        <v>13</v>
      </c>
      <c r="D821" s="12" t="s">
        <v>131</v>
      </c>
      <c r="E821" s="12">
        <v>13</v>
      </c>
      <c r="F821" s="12">
        <v>0</v>
      </c>
      <c r="G821" s="12" t="s">
        <v>367</v>
      </c>
    </row>
    <row r="822" spans="1:7" x14ac:dyDescent="0.3">
      <c r="A822" s="12" t="s">
        <v>212</v>
      </c>
      <c r="B822" s="12" t="s">
        <v>171</v>
      </c>
      <c r="C822" s="12">
        <v>11</v>
      </c>
      <c r="D822" s="12" t="s">
        <v>156</v>
      </c>
      <c r="E822" s="12">
        <v>10</v>
      </c>
      <c r="F822" s="12">
        <v>1</v>
      </c>
      <c r="G822" s="12"/>
    </row>
    <row r="823" spans="1:7" x14ac:dyDescent="0.3">
      <c r="A823" s="12" t="s">
        <v>212</v>
      </c>
      <c r="B823" s="12" t="s">
        <v>181</v>
      </c>
      <c r="C823" s="12">
        <v>7</v>
      </c>
      <c r="D823" s="12" t="s">
        <v>51</v>
      </c>
      <c r="E823" s="12">
        <v>6</v>
      </c>
      <c r="F823" s="12">
        <v>1</v>
      </c>
      <c r="G823" s="12"/>
    </row>
    <row r="824" spans="1:7" x14ac:dyDescent="0.3">
      <c r="A824" s="12" t="s">
        <v>212</v>
      </c>
      <c r="B824" s="12" t="s">
        <v>166</v>
      </c>
      <c r="C824" s="12">
        <v>4</v>
      </c>
      <c r="D824" s="12" t="s">
        <v>186</v>
      </c>
      <c r="E824" s="12">
        <v>3</v>
      </c>
      <c r="F824" s="12">
        <v>1</v>
      </c>
      <c r="G824" s="12"/>
    </row>
    <row r="825" spans="1:7" x14ac:dyDescent="0.3">
      <c r="A825" s="12" t="s">
        <v>213</v>
      </c>
      <c r="B825" s="12" t="s">
        <v>46</v>
      </c>
      <c r="C825" s="12">
        <v>3</v>
      </c>
      <c r="D825" s="12" t="s">
        <v>41</v>
      </c>
      <c r="E825" s="12">
        <v>3</v>
      </c>
      <c r="F825" s="12">
        <v>0</v>
      </c>
      <c r="G825" s="12" t="s">
        <v>367</v>
      </c>
    </row>
    <row r="826" spans="1:7" x14ac:dyDescent="0.3">
      <c r="A826" s="12" t="s">
        <v>213</v>
      </c>
      <c r="B826" s="12" t="s">
        <v>46</v>
      </c>
      <c r="C826" s="12">
        <v>3</v>
      </c>
      <c r="D826" s="12" t="s">
        <v>86</v>
      </c>
      <c r="E826" s="12">
        <v>3</v>
      </c>
      <c r="F826" s="12">
        <v>0</v>
      </c>
      <c r="G826" s="12" t="s">
        <v>367</v>
      </c>
    </row>
    <row r="827" spans="1:7" x14ac:dyDescent="0.3">
      <c r="A827" s="12" t="s">
        <v>213</v>
      </c>
      <c r="B827" s="12" t="s">
        <v>41</v>
      </c>
      <c r="C827" s="12">
        <v>3</v>
      </c>
      <c r="D827" s="12" t="s">
        <v>86</v>
      </c>
      <c r="E827" s="12">
        <v>3</v>
      </c>
      <c r="F827" s="12">
        <v>0</v>
      </c>
      <c r="G827" s="12" t="s">
        <v>367</v>
      </c>
    </row>
    <row r="828" spans="1:7" x14ac:dyDescent="0.3">
      <c r="A828" s="12" t="s">
        <v>213</v>
      </c>
      <c r="B828" s="12" t="s">
        <v>76</v>
      </c>
      <c r="C828" s="12">
        <v>2</v>
      </c>
      <c r="D828" s="12" t="s">
        <v>36</v>
      </c>
      <c r="E828" s="12">
        <v>2</v>
      </c>
      <c r="F828" s="12">
        <v>0</v>
      </c>
      <c r="G828" s="12" t="s">
        <v>367</v>
      </c>
    </row>
    <row r="829" spans="1:7" x14ac:dyDescent="0.3">
      <c r="A829" s="12" t="s">
        <v>213</v>
      </c>
      <c r="B829" s="12" t="s">
        <v>76</v>
      </c>
      <c r="C829" s="12">
        <v>2</v>
      </c>
      <c r="D829" s="12" t="s">
        <v>96</v>
      </c>
      <c r="E829" s="12">
        <v>2</v>
      </c>
      <c r="F829" s="12">
        <v>0</v>
      </c>
      <c r="G829" s="12" t="s">
        <v>367</v>
      </c>
    </row>
    <row r="830" spans="1:7" x14ac:dyDescent="0.3">
      <c r="A830" s="12" t="s">
        <v>213</v>
      </c>
      <c r="B830" s="12" t="s">
        <v>76</v>
      </c>
      <c r="C830" s="12">
        <v>2</v>
      </c>
      <c r="D830" s="12" t="s">
        <v>131</v>
      </c>
      <c r="E830" s="12">
        <v>2</v>
      </c>
      <c r="F830" s="12">
        <v>0</v>
      </c>
      <c r="G830" s="12" t="s">
        <v>367</v>
      </c>
    </row>
    <row r="831" spans="1:7" x14ac:dyDescent="0.3">
      <c r="A831" s="12" t="s">
        <v>213</v>
      </c>
      <c r="B831" s="12" t="s">
        <v>36</v>
      </c>
      <c r="C831" s="12">
        <v>2</v>
      </c>
      <c r="D831" s="12" t="s">
        <v>96</v>
      </c>
      <c r="E831" s="12">
        <v>2</v>
      </c>
      <c r="F831" s="12">
        <v>0</v>
      </c>
      <c r="G831" s="12" t="s">
        <v>367</v>
      </c>
    </row>
    <row r="832" spans="1:7" x14ac:dyDescent="0.3">
      <c r="A832" s="12" t="s">
        <v>213</v>
      </c>
      <c r="B832" s="12" t="s">
        <v>36</v>
      </c>
      <c r="C832" s="12">
        <v>2</v>
      </c>
      <c r="D832" s="12" t="s">
        <v>131</v>
      </c>
      <c r="E832" s="12">
        <v>2</v>
      </c>
      <c r="F832" s="12">
        <v>0</v>
      </c>
      <c r="G832" s="12" t="s">
        <v>367</v>
      </c>
    </row>
    <row r="833" spans="1:7" x14ac:dyDescent="0.3">
      <c r="A833" s="12" t="s">
        <v>213</v>
      </c>
      <c r="B833" s="12" t="s">
        <v>96</v>
      </c>
      <c r="C833" s="12">
        <v>2</v>
      </c>
      <c r="D833" s="12" t="s">
        <v>131</v>
      </c>
      <c r="E833" s="12">
        <v>2</v>
      </c>
      <c r="F833" s="12">
        <v>0</v>
      </c>
      <c r="G833" s="12" t="s">
        <v>367</v>
      </c>
    </row>
    <row r="834" spans="1:7" x14ac:dyDescent="0.3">
      <c r="A834" s="12" t="s">
        <v>213</v>
      </c>
      <c r="B834" s="12" t="s">
        <v>61</v>
      </c>
      <c r="C834" s="12">
        <v>1</v>
      </c>
      <c r="D834" s="12" t="s">
        <v>71</v>
      </c>
      <c r="E834" s="12">
        <v>1</v>
      </c>
      <c r="F834" s="12">
        <v>0</v>
      </c>
      <c r="G834" s="12" t="s">
        <v>367</v>
      </c>
    </row>
    <row r="835" spans="1:7" x14ac:dyDescent="0.3">
      <c r="A835" s="12" t="s">
        <v>213</v>
      </c>
      <c r="B835" s="12" t="s">
        <v>61</v>
      </c>
      <c r="C835" s="12">
        <v>1</v>
      </c>
      <c r="D835" s="12" t="s">
        <v>81</v>
      </c>
      <c r="E835" s="12">
        <v>1</v>
      </c>
      <c r="F835" s="12">
        <v>0</v>
      </c>
      <c r="G835" s="12" t="s">
        <v>367</v>
      </c>
    </row>
    <row r="836" spans="1:7" x14ac:dyDescent="0.3">
      <c r="A836" s="12" t="s">
        <v>213</v>
      </c>
      <c r="B836" s="12" t="s">
        <v>61</v>
      </c>
      <c r="C836" s="12">
        <v>1</v>
      </c>
      <c r="D836" s="12" t="s">
        <v>106</v>
      </c>
      <c r="E836" s="12">
        <v>1</v>
      </c>
      <c r="F836" s="12">
        <v>0</v>
      </c>
      <c r="G836" s="12" t="s">
        <v>367</v>
      </c>
    </row>
    <row r="837" spans="1:7" x14ac:dyDescent="0.3">
      <c r="A837" s="12" t="s">
        <v>213</v>
      </c>
      <c r="B837" s="12" t="s">
        <v>61</v>
      </c>
      <c r="C837" s="12">
        <v>1</v>
      </c>
      <c r="D837" s="12" t="s">
        <v>111</v>
      </c>
      <c r="E837" s="12">
        <v>1</v>
      </c>
      <c r="F837" s="12">
        <v>0</v>
      </c>
      <c r="G837" s="12" t="s">
        <v>367</v>
      </c>
    </row>
    <row r="838" spans="1:7" x14ac:dyDescent="0.3">
      <c r="A838" s="12" t="s">
        <v>213</v>
      </c>
      <c r="B838" s="12" t="s">
        <v>61</v>
      </c>
      <c r="C838" s="12">
        <v>1</v>
      </c>
      <c r="D838" s="12" t="s">
        <v>31</v>
      </c>
      <c r="E838" s="12">
        <v>1</v>
      </c>
      <c r="F838" s="12">
        <v>0</v>
      </c>
      <c r="G838" s="12" t="s">
        <v>367</v>
      </c>
    </row>
    <row r="839" spans="1:7" x14ac:dyDescent="0.3">
      <c r="A839" s="12" t="s">
        <v>213</v>
      </c>
      <c r="B839" s="12" t="s">
        <v>61</v>
      </c>
      <c r="C839" s="12">
        <v>1</v>
      </c>
      <c r="D839" s="12" t="s">
        <v>176</v>
      </c>
      <c r="E839" s="12">
        <v>1</v>
      </c>
      <c r="F839" s="12">
        <v>0</v>
      </c>
      <c r="G839" s="12" t="s">
        <v>367</v>
      </c>
    </row>
    <row r="840" spans="1:7" x14ac:dyDescent="0.3">
      <c r="A840" s="12" t="s">
        <v>213</v>
      </c>
      <c r="B840" s="12" t="s">
        <v>61</v>
      </c>
      <c r="C840" s="12">
        <v>1</v>
      </c>
      <c r="D840" s="12" t="s">
        <v>181</v>
      </c>
      <c r="E840" s="12">
        <v>1</v>
      </c>
      <c r="F840" s="12">
        <v>0</v>
      </c>
      <c r="G840" s="12" t="s">
        <v>367</v>
      </c>
    </row>
    <row r="841" spans="1:7" x14ac:dyDescent="0.3">
      <c r="A841" s="12" t="s">
        <v>213</v>
      </c>
      <c r="B841" s="12" t="s">
        <v>61</v>
      </c>
      <c r="C841" s="12">
        <v>1</v>
      </c>
      <c r="D841" s="12" t="s">
        <v>136</v>
      </c>
      <c r="E841" s="12">
        <v>1</v>
      </c>
      <c r="F841" s="12">
        <v>0</v>
      </c>
      <c r="G841" s="12" t="s">
        <v>367</v>
      </c>
    </row>
    <row r="842" spans="1:7" x14ac:dyDescent="0.3">
      <c r="A842" s="12" t="s">
        <v>213</v>
      </c>
      <c r="B842" s="12" t="s">
        <v>61</v>
      </c>
      <c r="C842" s="12">
        <v>1</v>
      </c>
      <c r="D842" s="12" t="s">
        <v>116</v>
      </c>
      <c r="E842" s="12">
        <v>1</v>
      </c>
      <c r="F842" s="12">
        <v>0</v>
      </c>
      <c r="G842" s="12" t="s">
        <v>367</v>
      </c>
    </row>
    <row r="843" spans="1:7" x14ac:dyDescent="0.3">
      <c r="A843" s="12" t="s">
        <v>213</v>
      </c>
      <c r="B843" s="12" t="s">
        <v>61</v>
      </c>
      <c r="C843" s="12">
        <v>1</v>
      </c>
      <c r="D843" s="12" t="s">
        <v>146</v>
      </c>
      <c r="E843" s="12">
        <v>1</v>
      </c>
      <c r="F843" s="12">
        <v>0</v>
      </c>
      <c r="G843" s="12" t="s">
        <v>367</v>
      </c>
    </row>
    <row r="844" spans="1:7" x14ac:dyDescent="0.3">
      <c r="A844" s="12" t="s">
        <v>213</v>
      </c>
      <c r="B844" s="12" t="s">
        <v>61</v>
      </c>
      <c r="C844" s="12">
        <v>1</v>
      </c>
      <c r="D844" s="12" t="s">
        <v>166</v>
      </c>
      <c r="E844" s="12">
        <v>1</v>
      </c>
      <c r="F844" s="12">
        <v>0</v>
      </c>
      <c r="G844" s="12" t="s">
        <v>367</v>
      </c>
    </row>
    <row r="845" spans="1:7" x14ac:dyDescent="0.3">
      <c r="A845" s="12" t="s">
        <v>213</v>
      </c>
      <c r="B845" s="12" t="s">
        <v>61</v>
      </c>
      <c r="C845" s="12">
        <v>1</v>
      </c>
      <c r="D845" s="12" t="s">
        <v>161</v>
      </c>
      <c r="E845" s="12">
        <v>1</v>
      </c>
      <c r="F845" s="12">
        <v>0</v>
      </c>
      <c r="G845" s="12" t="s">
        <v>367</v>
      </c>
    </row>
    <row r="846" spans="1:7" x14ac:dyDescent="0.3">
      <c r="A846" s="12" t="s">
        <v>213</v>
      </c>
      <c r="B846" s="12" t="s">
        <v>71</v>
      </c>
      <c r="C846" s="12">
        <v>1</v>
      </c>
      <c r="D846" s="12" t="s">
        <v>81</v>
      </c>
      <c r="E846" s="12">
        <v>1</v>
      </c>
      <c r="F846" s="12">
        <v>0</v>
      </c>
      <c r="G846" s="12" t="s">
        <v>367</v>
      </c>
    </row>
    <row r="847" spans="1:7" x14ac:dyDescent="0.3">
      <c r="A847" s="12" t="s">
        <v>213</v>
      </c>
      <c r="B847" s="12" t="s">
        <v>71</v>
      </c>
      <c r="C847" s="12">
        <v>1</v>
      </c>
      <c r="D847" s="12" t="s">
        <v>106</v>
      </c>
      <c r="E847" s="12">
        <v>1</v>
      </c>
      <c r="F847" s="12">
        <v>0</v>
      </c>
      <c r="G847" s="12" t="s">
        <v>367</v>
      </c>
    </row>
    <row r="848" spans="1:7" x14ac:dyDescent="0.3">
      <c r="A848" s="12" t="s">
        <v>213</v>
      </c>
      <c r="B848" s="12" t="s">
        <v>71</v>
      </c>
      <c r="C848" s="12">
        <v>1</v>
      </c>
      <c r="D848" s="12" t="s">
        <v>111</v>
      </c>
      <c r="E848" s="12">
        <v>1</v>
      </c>
      <c r="F848" s="12">
        <v>0</v>
      </c>
      <c r="G848" s="12" t="s">
        <v>367</v>
      </c>
    </row>
    <row r="849" spans="1:7" x14ac:dyDescent="0.3">
      <c r="A849" s="12" t="s">
        <v>213</v>
      </c>
      <c r="B849" s="12" t="s">
        <v>71</v>
      </c>
      <c r="C849" s="12">
        <v>1</v>
      </c>
      <c r="D849" s="12" t="s">
        <v>31</v>
      </c>
      <c r="E849" s="12">
        <v>1</v>
      </c>
      <c r="F849" s="12">
        <v>0</v>
      </c>
      <c r="G849" s="12" t="s">
        <v>367</v>
      </c>
    </row>
    <row r="850" spans="1:7" x14ac:dyDescent="0.3">
      <c r="A850" s="12" t="s">
        <v>213</v>
      </c>
      <c r="B850" s="12" t="s">
        <v>71</v>
      </c>
      <c r="C850" s="12">
        <v>1</v>
      </c>
      <c r="D850" s="12" t="s">
        <v>176</v>
      </c>
      <c r="E850" s="12">
        <v>1</v>
      </c>
      <c r="F850" s="12">
        <v>0</v>
      </c>
      <c r="G850" s="12" t="s">
        <v>367</v>
      </c>
    </row>
    <row r="851" spans="1:7" x14ac:dyDescent="0.3">
      <c r="A851" s="12" t="s">
        <v>213</v>
      </c>
      <c r="B851" s="12" t="s">
        <v>71</v>
      </c>
      <c r="C851" s="12">
        <v>1</v>
      </c>
      <c r="D851" s="12" t="s">
        <v>181</v>
      </c>
      <c r="E851" s="12">
        <v>1</v>
      </c>
      <c r="F851" s="12">
        <v>0</v>
      </c>
      <c r="G851" s="12" t="s">
        <v>367</v>
      </c>
    </row>
    <row r="852" spans="1:7" x14ac:dyDescent="0.3">
      <c r="A852" s="12" t="s">
        <v>213</v>
      </c>
      <c r="B852" s="12" t="s">
        <v>71</v>
      </c>
      <c r="C852" s="12">
        <v>1</v>
      </c>
      <c r="D852" s="12" t="s">
        <v>136</v>
      </c>
      <c r="E852" s="12">
        <v>1</v>
      </c>
      <c r="F852" s="12">
        <v>0</v>
      </c>
      <c r="G852" s="12" t="s">
        <v>367</v>
      </c>
    </row>
    <row r="853" spans="1:7" x14ac:dyDescent="0.3">
      <c r="A853" s="12" t="s">
        <v>213</v>
      </c>
      <c r="B853" s="12" t="s">
        <v>71</v>
      </c>
      <c r="C853" s="12">
        <v>1</v>
      </c>
      <c r="D853" s="12" t="s">
        <v>116</v>
      </c>
      <c r="E853" s="12">
        <v>1</v>
      </c>
      <c r="F853" s="12">
        <v>0</v>
      </c>
      <c r="G853" s="12" t="s">
        <v>367</v>
      </c>
    </row>
    <row r="854" spans="1:7" x14ac:dyDescent="0.3">
      <c r="A854" s="12" t="s">
        <v>213</v>
      </c>
      <c r="B854" s="12" t="s">
        <v>71</v>
      </c>
      <c r="C854" s="12">
        <v>1</v>
      </c>
      <c r="D854" s="12" t="s">
        <v>146</v>
      </c>
      <c r="E854" s="12">
        <v>1</v>
      </c>
      <c r="F854" s="12">
        <v>0</v>
      </c>
      <c r="G854" s="12" t="s">
        <v>367</v>
      </c>
    </row>
    <row r="855" spans="1:7" x14ac:dyDescent="0.3">
      <c r="A855" s="12" t="s">
        <v>213</v>
      </c>
      <c r="B855" s="12" t="s">
        <v>71</v>
      </c>
      <c r="C855" s="12">
        <v>1</v>
      </c>
      <c r="D855" s="12" t="s">
        <v>166</v>
      </c>
      <c r="E855" s="12">
        <v>1</v>
      </c>
      <c r="F855" s="12">
        <v>0</v>
      </c>
      <c r="G855" s="12" t="s">
        <v>367</v>
      </c>
    </row>
    <row r="856" spans="1:7" x14ac:dyDescent="0.3">
      <c r="A856" s="12" t="s">
        <v>213</v>
      </c>
      <c r="B856" s="12" t="s">
        <v>71</v>
      </c>
      <c r="C856" s="12">
        <v>1</v>
      </c>
      <c r="D856" s="12" t="s">
        <v>161</v>
      </c>
      <c r="E856" s="12">
        <v>1</v>
      </c>
      <c r="F856" s="12">
        <v>0</v>
      </c>
      <c r="G856" s="12" t="s">
        <v>367</v>
      </c>
    </row>
    <row r="857" spans="1:7" x14ac:dyDescent="0.3">
      <c r="A857" s="12" t="s">
        <v>213</v>
      </c>
      <c r="B857" s="12" t="s">
        <v>81</v>
      </c>
      <c r="C857" s="12">
        <v>1</v>
      </c>
      <c r="D857" s="12" t="s">
        <v>106</v>
      </c>
      <c r="E857" s="12">
        <v>1</v>
      </c>
      <c r="F857" s="12">
        <v>0</v>
      </c>
      <c r="G857" s="12" t="s">
        <v>367</v>
      </c>
    </row>
    <row r="858" spans="1:7" x14ac:dyDescent="0.3">
      <c r="A858" s="12" t="s">
        <v>213</v>
      </c>
      <c r="B858" s="12" t="s">
        <v>81</v>
      </c>
      <c r="C858" s="12">
        <v>1</v>
      </c>
      <c r="D858" s="12" t="s">
        <v>111</v>
      </c>
      <c r="E858" s="12">
        <v>1</v>
      </c>
      <c r="F858" s="12">
        <v>0</v>
      </c>
      <c r="G858" s="12" t="s">
        <v>367</v>
      </c>
    </row>
    <row r="859" spans="1:7" x14ac:dyDescent="0.3">
      <c r="A859" s="12" t="s">
        <v>213</v>
      </c>
      <c r="B859" s="12" t="s">
        <v>81</v>
      </c>
      <c r="C859" s="12">
        <v>1</v>
      </c>
      <c r="D859" s="12" t="s">
        <v>31</v>
      </c>
      <c r="E859" s="12">
        <v>1</v>
      </c>
      <c r="F859" s="12">
        <v>0</v>
      </c>
      <c r="G859" s="12" t="s">
        <v>367</v>
      </c>
    </row>
    <row r="860" spans="1:7" x14ac:dyDescent="0.3">
      <c r="A860" s="12" t="s">
        <v>213</v>
      </c>
      <c r="B860" s="12" t="s">
        <v>81</v>
      </c>
      <c r="C860" s="12">
        <v>1</v>
      </c>
      <c r="D860" s="12" t="s">
        <v>176</v>
      </c>
      <c r="E860" s="12">
        <v>1</v>
      </c>
      <c r="F860" s="12">
        <v>0</v>
      </c>
      <c r="G860" s="12" t="s">
        <v>367</v>
      </c>
    </row>
    <row r="861" spans="1:7" x14ac:dyDescent="0.3">
      <c r="A861" s="12" t="s">
        <v>213</v>
      </c>
      <c r="B861" s="12" t="s">
        <v>81</v>
      </c>
      <c r="C861" s="12">
        <v>1</v>
      </c>
      <c r="D861" s="12" t="s">
        <v>181</v>
      </c>
      <c r="E861" s="12">
        <v>1</v>
      </c>
      <c r="F861" s="12">
        <v>0</v>
      </c>
      <c r="G861" s="12" t="s">
        <v>367</v>
      </c>
    </row>
    <row r="862" spans="1:7" x14ac:dyDescent="0.3">
      <c r="A862" s="12" t="s">
        <v>213</v>
      </c>
      <c r="B862" s="12" t="s">
        <v>81</v>
      </c>
      <c r="C862" s="12">
        <v>1</v>
      </c>
      <c r="D862" s="12" t="s">
        <v>136</v>
      </c>
      <c r="E862" s="12">
        <v>1</v>
      </c>
      <c r="F862" s="12">
        <v>0</v>
      </c>
      <c r="G862" s="12" t="s">
        <v>367</v>
      </c>
    </row>
    <row r="863" spans="1:7" x14ac:dyDescent="0.3">
      <c r="A863" s="12" t="s">
        <v>213</v>
      </c>
      <c r="B863" s="12" t="s">
        <v>81</v>
      </c>
      <c r="C863" s="12">
        <v>1</v>
      </c>
      <c r="D863" s="12" t="s">
        <v>116</v>
      </c>
      <c r="E863" s="12">
        <v>1</v>
      </c>
      <c r="F863" s="12">
        <v>0</v>
      </c>
      <c r="G863" s="12" t="s">
        <v>367</v>
      </c>
    </row>
    <row r="864" spans="1:7" x14ac:dyDescent="0.3">
      <c r="A864" s="12" t="s">
        <v>213</v>
      </c>
      <c r="B864" s="12" t="s">
        <v>81</v>
      </c>
      <c r="C864" s="12">
        <v>1</v>
      </c>
      <c r="D864" s="12" t="s">
        <v>146</v>
      </c>
      <c r="E864" s="12">
        <v>1</v>
      </c>
      <c r="F864" s="12">
        <v>0</v>
      </c>
      <c r="G864" s="12" t="s">
        <v>367</v>
      </c>
    </row>
    <row r="865" spans="1:7" x14ac:dyDescent="0.3">
      <c r="A865" s="12" t="s">
        <v>213</v>
      </c>
      <c r="B865" s="12" t="s">
        <v>81</v>
      </c>
      <c r="C865" s="12">
        <v>1</v>
      </c>
      <c r="D865" s="12" t="s">
        <v>166</v>
      </c>
      <c r="E865" s="12">
        <v>1</v>
      </c>
      <c r="F865" s="12">
        <v>0</v>
      </c>
      <c r="G865" s="12" t="s">
        <v>367</v>
      </c>
    </row>
    <row r="866" spans="1:7" x14ac:dyDescent="0.3">
      <c r="A866" s="12" t="s">
        <v>213</v>
      </c>
      <c r="B866" s="12" t="s">
        <v>81</v>
      </c>
      <c r="C866" s="12">
        <v>1</v>
      </c>
      <c r="D866" s="12" t="s">
        <v>161</v>
      </c>
      <c r="E866" s="12">
        <v>1</v>
      </c>
      <c r="F866" s="12">
        <v>0</v>
      </c>
      <c r="G866" s="12" t="s">
        <v>367</v>
      </c>
    </row>
    <row r="867" spans="1:7" x14ac:dyDescent="0.3">
      <c r="A867" s="12" t="s">
        <v>213</v>
      </c>
      <c r="B867" s="12" t="s">
        <v>106</v>
      </c>
      <c r="C867" s="12">
        <v>1</v>
      </c>
      <c r="D867" s="12" t="s">
        <v>111</v>
      </c>
      <c r="E867" s="12">
        <v>1</v>
      </c>
      <c r="F867" s="12">
        <v>0</v>
      </c>
      <c r="G867" s="12" t="s">
        <v>367</v>
      </c>
    </row>
    <row r="868" spans="1:7" x14ac:dyDescent="0.3">
      <c r="A868" s="12" t="s">
        <v>213</v>
      </c>
      <c r="B868" s="12" t="s">
        <v>106</v>
      </c>
      <c r="C868" s="12">
        <v>1</v>
      </c>
      <c r="D868" s="12" t="s">
        <v>31</v>
      </c>
      <c r="E868" s="12">
        <v>1</v>
      </c>
      <c r="F868" s="12">
        <v>0</v>
      </c>
      <c r="G868" s="12" t="s">
        <v>367</v>
      </c>
    </row>
    <row r="869" spans="1:7" x14ac:dyDescent="0.3">
      <c r="A869" s="12" t="s">
        <v>213</v>
      </c>
      <c r="B869" s="12" t="s">
        <v>106</v>
      </c>
      <c r="C869" s="12">
        <v>1</v>
      </c>
      <c r="D869" s="12" t="s">
        <v>176</v>
      </c>
      <c r="E869" s="12">
        <v>1</v>
      </c>
      <c r="F869" s="12">
        <v>0</v>
      </c>
      <c r="G869" s="12" t="s">
        <v>367</v>
      </c>
    </row>
    <row r="870" spans="1:7" x14ac:dyDescent="0.3">
      <c r="A870" s="12" t="s">
        <v>213</v>
      </c>
      <c r="B870" s="12" t="s">
        <v>106</v>
      </c>
      <c r="C870" s="12">
        <v>1</v>
      </c>
      <c r="D870" s="12" t="s">
        <v>181</v>
      </c>
      <c r="E870" s="12">
        <v>1</v>
      </c>
      <c r="F870" s="12">
        <v>0</v>
      </c>
      <c r="G870" s="12" t="s">
        <v>367</v>
      </c>
    </row>
    <row r="871" spans="1:7" x14ac:dyDescent="0.3">
      <c r="A871" s="12" t="s">
        <v>213</v>
      </c>
      <c r="B871" s="12" t="s">
        <v>106</v>
      </c>
      <c r="C871" s="12">
        <v>1</v>
      </c>
      <c r="D871" s="12" t="s">
        <v>136</v>
      </c>
      <c r="E871" s="12">
        <v>1</v>
      </c>
      <c r="F871" s="12">
        <v>0</v>
      </c>
      <c r="G871" s="12" t="s">
        <v>367</v>
      </c>
    </row>
    <row r="872" spans="1:7" x14ac:dyDescent="0.3">
      <c r="A872" s="12" t="s">
        <v>213</v>
      </c>
      <c r="B872" s="12" t="s">
        <v>106</v>
      </c>
      <c r="C872" s="12">
        <v>1</v>
      </c>
      <c r="D872" s="12" t="s">
        <v>116</v>
      </c>
      <c r="E872" s="12">
        <v>1</v>
      </c>
      <c r="F872" s="12">
        <v>0</v>
      </c>
      <c r="G872" s="12" t="s">
        <v>367</v>
      </c>
    </row>
    <row r="873" spans="1:7" x14ac:dyDescent="0.3">
      <c r="A873" s="12" t="s">
        <v>213</v>
      </c>
      <c r="B873" s="12" t="s">
        <v>106</v>
      </c>
      <c r="C873" s="12">
        <v>1</v>
      </c>
      <c r="D873" s="12" t="s">
        <v>146</v>
      </c>
      <c r="E873" s="12">
        <v>1</v>
      </c>
      <c r="F873" s="12">
        <v>0</v>
      </c>
      <c r="G873" s="12" t="s">
        <v>367</v>
      </c>
    </row>
    <row r="874" spans="1:7" x14ac:dyDescent="0.3">
      <c r="A874" s="12" t="s">
        <v>213</v>
      </c>
      <c r="B874" s="12" t="s">
        <v>106</v>
      </c>
      <c r="C874" s="12">
        <v>1</v>
      </c>
      <c r="D874" s="12" t="s">
        <v>166</v>
      </c>
      <c r="E874" s="12">
        <v>1</v>
      </c>
      <c r="F874" s="12">
        <v>0</v>
      </c>
      <c r="G874" s="12" t="s">
        <v>367</v>
      </c>
    </row>
    <row r="875" spans="1:7" x14ac:dyDescent="0.3">
      <c r="A875" s="12" t="s">
        <v>213</v>
      </c>
      <c r="B875" s="12" t="s">
        <v>106</v>
      </c>
      <c r="C875" s="12">
        <v>1</v>
      </c>
      <c r="D875" s="12" t="s">
        <v>161</v>
      </c>
      <c r="E875" s="12">
        <v>1</v>
      </c>
      <c r="F875" s="12">
        <v>0</v>
      </c>
      <c r="G875" s="12" t="s">
        <v>367</v>
      </c>
    </row>
    <row r="876" spans="1:7" x14ac:dyDescent="0.3">
      <c r="A876" s="12" t="s">
        <v>213</v>
      </c>
      <c r="B876" s="12" t="s">
        <v>111</v>
      </c>
      <c r="C876" s="12">
        <v>1</v>
      </c>
      <c r="D876" s="12" t="s">
        <v>31</v>
      </c>
      <c r="E876" s="12">
        <v>1</v>
      </c>
      <c r="F876" s="12">
        <v>0</v>
      </c>
      <c r="G876" s="12" t="s">
        <v>367</v>
      </c>
    </row>
    <row r="877" spans="1:7" x14ac:dyDescent="0.3">
      <c r="A877" s="12" t="s">
        <v>213</v>
      </c>
      <c r="B877" s="12" t="s">
        <v>111</v>
      </c>
      <c r="C877" s="12">
        <v>1</v>
      </c>
      <c r="D877" s="12" t="s">
        <v>176</v>
      </c>
      <c r="E877" s="12">
        <v>1</v>
      </c>
      <c r="F877" s="12">
        <v>0</v>
      </c>
      <c r="G877" s="12" t="s">
        <v>367</v>
      </c>
    </row>
    <row r="878" spans="1:7" x14ac:dyDescent="0.3">
      <c r="A878" s="12" t="s">
        <v>213</v>
      </c>
      <c r="B878" s="12" t="s">
        <v>111</v>
      </c>
      <c r="C878" s="12">
        <v>1</v>
      </c>
      <c r="D878" s="12" t="s">
        <v>181</v>
      </c>
      <c r="E878" s="12">
        <v>1</v>
      </c>
      <c r="F878" s="12">
        <v>0</v>
      </c>
      <c r="G878" s="12" t="s">
        <v>367</v>
      </c>
    </row>
    <row r="879" spans="1:7" x14ac:dyDescent="0.3">
      <c r="A879" s="12" t="s">
        <v>213</v>
      </c>
      <c r="B879" s="12" t="s">
        <v>111</v>
      </c>
      <c r="C879" s="12">
        <v>1</v>
      </c>
      <c r="D879" s="12" t="s">
        <v>136</v>
      </c>
      <c r="E879" s="12">
        <v>1</v>
      </c>
      <c r="F879" s="12">
        <v>0</v>
      </c>
      <c r="G879" s="12" t="s">
        <v>367</v>
      </c>
    </row>
    <row r="880" spans="1:7" x14ac:dyDescent="0.3">
      <c r="A880" s="12" t="s">
        <v>213</v>
      </c>
      <c r="B880" s="12" t="s">
        <v>111</v>
      </c>
      <c r="C880" s="12">
        <v>1</v>
      </c>
      <c r="D880" s="12" t="s">
        <v>116</v>
      </c>
      <c r="E880" s="12">
        <v>1</v>
      </c>
      <c r="F880" s="12">
        <v>0</v>
      </c>
      <c r="G880" s="12" t="s">
        <v>367</v>
      </c>
    </row>
    <row r="881" spans="1:7" x14ac:dyDescent="0.3">
      <c r="A881" s="12" t="s">
        <v>213</v>
      </c>
      <c r="B881" s="12" t="s">
        <v>111</v>
      </c>
      <c r="C881" s="12">
        <v>1</v>
      </c>
      <c r="D881" s="12" t="s">
        <v>146</v>
      </c>
      <c r="E881" s="12">
        <v>1</v>
      </c>
      <c r="F881" s="12">
        <v>0</v>
      </c>
      <c r="G881" s="12" t="s">
        <v>367</v>
      </c>
    </row>
    <row r="882" spans="1:7" x14ac:dyDescent="0.3">
      <c r="A882" s="12" t="s">
        <v>213</v>
      </c>
      <c r="B882" s="12" t="s">
        <v>111</v>
      </c>
      <c r="C882" s="12">
        <v>1</v>
      </c>
      <c r="D882" s="12" t="s">
        <v>166</v>
      </c>
      <c r="E882" s="12">
        <v>1</v>
      </c>
      <c r="F882" s="12">
        <v>0</v>
      </c>
      <c r="G882" s="12" t="s">
        <v>367</v>
      </c>
    </row>
    <row r="883" spans="1:7" x14ac:dyDescent="0.3">
      <c r="A883" s="12" t="s">
        <v>213</v>
      </c>
      <c r="B883" s="12" t="s">
        <v>111</v>
      </c>
      <c r="C883" s="12">
        <v>1</v>
      </c>
      <c r="D883" s="12" t="s">
        <v>161</v>
      </c>
      <c r="E883" s="12">
        <v>1</v>
      </c>
      <c r="F883" s="12">
        <v>0</v>
      </c>
      <c r="G883" s="12" t="s">
        <v>367</v>
      </c>
    </row>
    <row r="884" spans="1:7" x14ac:dyDescent="0.3">
      <c r="A884" s="12" t="s">
        <v>213</v>
      </c>
      <c r="B884" s="12" t="s">
        <v>31</v>
      </c>
      <c r="C884" s="12">
        <v>1</v>
      </c>
      <c r="D884" s="12" t="s">
        <v>176</v>
      </c>
      <c r="E884" s="12">
        <v>1</v>
      </c>
      <c r="F884" s="12">
        <v>0</v>
      </c>
      <c r="G884" s="12" t="s">
        <v>367</v>
      </c>
    </row>
    <row r="885" spans="1:7" x14ac:dyDescent="0.3">
      <c r="A885" s="12" t="s">
        <v>213</v>
      </c>
      <c r="B885" s="12" t="s">
        <v>31</v>
      </c>
      <c r="C885" s="12">
        <v>1</v>
      </c>
      <c r="D885" s="12" t="s">
        <v>181</v>
      </c>
      <c r="E885" s="12">
        <v>1</v>
      </c>
      <c r="F885" s="12">
        <v>0</v>
      </c>
      <c r="G885" s="12" t="s">
        <v>367</v>
      </c>
    </row>
    <row r="886" spans="1:7" x14ac:dyDescent="0.3">
      <c r="A886" s="12" t="s">
        <v>213</v>
      </c>
      <c r="B886" s="12" t="s">
        <v>31</v>
      </c>
      <c r="C886" s="12">
        <v>1</v>
      </c>
      <c r="D886" s="12" t="s">
        <v>136</v>
      </c>
      <c r="E886" s="12">
        <v>1</v>
      </c>
      <c r="F886" s="12">
        <v>0</v>
      </c>
      <c r="G886" s="12" t="s">
        <v>367</v>
      </c>
    </row>
    <row r="887" spans="1:7" x14ac:dyDescent="0.3">
      <c r="A887" s="12" t="s">
        <v>213</v>
      </c>
      <c r="B887" s="12" t="s">
        <v>31</v>
      </c>
      <c r="C887" s="12">
        <v>1</v>
      </c>
      <c r="D887" s="12" t="s">
        <v>116</v>
      </c>
      <c r="E887" s="12">
        <v>1</v>
      </c>
      <c r="F887" s="12">
        <v>0</v>
      </c>
      <c r="G887" s="12" t="s">
        <v>367</v>
      </c>
    </row>
    <row r="888" spans="1:7" x14ac:dyDescent="0.3">
      <c r="A888" s="12" t="s">
        <v>213</v>
      </c>
      <c r="B888" s="12" t="s">
        <v>31</v>
      </c>
      <c r="C888" s="12">
        <v>1</v>
      </c>
      <c r="D888" s="12" t="s">
        <v>146</v>
      </c>
      <c r="E888" s="12">
        <v>1</v>
      </c>
      <c r="F888" s="12">
        <v>0</v>
      </c>
      <c r="G888" s="12" t="s">
        <v>367</v>
      </c>
    </row>
    <row r="889" spans="1:7" x14ac:dyDescent="0.3">
      <c r="A889" s="12" t="s">
        <v>213</v>
      </c>
      <c r="B889" s="12" t="s">
        <v>31</v>
      </c>
      <c r="C889" s="12">
        <v>1</v>
      </c>
      <c r="D889" s="12" t="s">
        <v>166</v>
      </c>
      <c r="E889" s="12">
        <v>1</v>
      </c>
      <c r="F889" s="12">
        <v>0</v>
      </c>
      <c r="G889" s="12" t="s">
        <v>367</v>
      </c>
    </row>
    <row r="890" spans="1:7" x14ac:dyDescent="0.3">
      <c r="A890" s="12" t="s">
        <v>213</v>
      </c>
      <c r="B890" s="12" t="s">
        <v>31</v>
      </c>
      <c r="C890" s="12">
        <v>1</v>
      </c>
      <c r="D890" s="12" t="s">
        <v>161</v>
      </c>
      <c r="E890" s="12">
        <v>1</v>
      </c>
      <c r="F890" s="12">
        <v>0</v>
      </c>
      <c r="G890" s="12" t="s">
        <v>367</v>
      </c>
    </row>
    <row r="891" spans="1:7" x14ac:dyDescent="0.3">
      <c r="A891" s="12" t="s">
        <v>213</v>
      </c>
      <c r="B891" s="12" t="s">
        <v>176</v>
      </c>
      <c r="C891" s="12">
        <v>1</v>
      </c>
      <c r="D891" s="12" t="s">
        <v>181</v>
      </c>
      <c r="E891" s="12">
        <v>1</v>
      </c>
      <c r="F891" s="12">
        <v>0</v>
      </c>
      <c r="G891" s="12" t="s">
        <v>367</v>
      </c>
    </row>
    <row r="892" spans="1:7" x14ac:dyDescent="0.3">
      <c r="A892" s="12" t="s">
        <v>213</v>
      </c>
      <c r="B892" s="12" t="s">
        <v>176</v>
      </c>
      <c r="C892" s="12">
        <v>1</v>
      </c>
      <c r="D892" s="12" t="s">
        <v>136</v>
      </c>
      <c r="E892" s="12">
        <v>1</v>
      </c>
      <c r="F892" s="12">
        <v>0</v>
      </c>
      <c r="G892" s="12" t="s">
        <v>367</v>
      </c>
    </row>
    <row r="893" spans="1:7" x14ac:dyDescent="0.3">
      <c r="A893" s="12" t="s">
        <v>213</v>
      </c>
      <c r="B893" s="12" t="s">
        <v>176</v>
      </c>
      <c r="C893" s="12">
        <v>1</v>
      </c>
      <c r="D893" s="12" t="s">
        <v>116</v>
      </c>
      <c r="E893" s="12">
        <v>1</v>
      </c>
      <c r="F893" s="12">
        <v>0</v>
      </c>
      <c r="G893" s="12" t="s">
        <v>367</v>
      </c>
    </row>
    <row r="894" spans="1:7" x14ac:dyDescent="0.3">
      <c r="A894" s="12" t="s">
        <v>213</v>
      </c>
      <c r="B894" s="12" t="s">
        <v>176</v>
      </c>
      <c r="C894" s="12">
        <v>1</v>
      </c>
      <c r="D894" s="12" t="s">
        <v>146</v>
      </c>
      <c r="E894" s="12">
        <v>1</v>
      </c>
      <c r="F894" s="12">
        <v>0</v>
      </c>
      <c r="G894" s="12" t="s">
        <v>367</v>
      </c>
    </row>
    <row r="895" spans="1:7" x14ac:dyDescent="0.3">
      <c r="A895" s="12" t="s">
        <v>213</v>
      </c>
      <c r="B895" s="12" t="s">
        <v>176</v>
      </c>
      <c r="C895" s="12">
        <v>1</v>
      </c>
      <c r="D895" s="12" t="s">
        <v>166</v>
      </c>
      <c r="E895" s="12">
        <v>1</v>
      </c>
      <c r="F895" s="12">
        <v>0</v>
      </c>
      <c r="G895" s="12" t="s">
        <v>367</v>
      </c>
    </row>
    <row r="896" spans="1:7" x14ac:dyDescent="0.3">
      <c r="A896" s="12" t="s">
        <v>213</v>
      </c>
      <c r="B896" s="12" t="s">
        <v>176</v>
      </c>
      <c r="C896" s="12">
        <v>1</v>
      </c>
      <c r="D896" s="12" t="s">
        <v>161</v>
      </c>
      <c r="E896" s="12">
        <v>1</v>
      </c>
      <c r="F896" s="12">
        <v>0</v>
      </c>
      <c r="G896" s="12" t="s">
        <v>367</v>
      </c>
    </row>
    <row r="897" spans="1:7" x14ac:dyDescent="0.3">
      <c r="A897" s="12" t="s">
        <v>213</v>
      </c>
      <c r="B897" s="12" t="s">
        <v>181</v>
      </c>
      <c r="C897" s="12">
        <v>1</v>
      </c>
      <c r="D897" s="12" t="s">
        <v>136</v>
      </c>
      <c r="E897" s="12">
        <v>1</v>
      </c>
      <c r="F897" s="12">
        <v>0</v>
      </c>
      <c r="G897" s="12" t="s">
        <v>367</v>
      </c>
    </row>
    <row r="898" spans="1:7" x14ac:dyDescent="0.3">
      <c r="A898" s="12" t="s">
        <v>213</v>
      </c>
      <c r="B898" s="12" t="s">
        <v>181</v>
      </c>
      <c r="C898" s="12">
        <v>1</v>
      </c>
      <c r="D898" s="12" t="s">
        <v>116</v>
      </c>
      <c r="E898" s="12">
        <v>1</v>
      </c>
      <c r="F898" s="12">
        <v>0</v>
      </c>
      <c r="G898" s="12" t="s">
        <v>367</v>
      </c>
    </row>
    <row r="899" spans="1:7" x14ac:dyDescent="0.3">
      <c r="A899" s="12" t="s">
        <v>213</v>
      </c>
      <c r="B899" s="12" t="s">
        <v>181</v>
      </c>
      <c r="C899" s="12">
        <v>1</v>
      </c>
      <c r="D899" s="12" t="s">
        <v>146</v>
      </c>
      <c r="E899" s="12">
        <v>1</v>
      </c>
      <c r="F899" s="12">
        <v>0</v>
      </c>
      <c r="G899" s="12" t="s">
        <v>367</v>
      </c>
    </row>
    <row r="900" spans="1:7" x14ac:dyDescent="0.3">
      <c r="A900" s="12" t="s">
        <v>213</v>
      </c>
      <c r="B900" s="12" t="s">
        <v>181</v>
      </c>
      <c r="C900" s="12">
        <v>1</v>
      </c>
      <c r="D900" s="12" t="s">
        <v>166</v>
      </c>
      <c r="E900" s="12">
        <v>1</v>
      </c>
      <c r="F900" s="12">
        <v>0</v>
      </c>
      <c r="G900" s="12" t="s">
        <v>367</v>
      </c>
    </row>
    <row r="901" spans="1:7" x14ac:dyDescent="0.3">
      <c r="A901" s="12" t="s">
        <v>213</v>
      </c>
      <c r="B901" s="12" t="s">
        <v>181</v>
      </c>
      <c r="C901" s="12">
        <v>1</v>
      </c>
      <c r="D901" s="12" t="s">
        <v>161</v>
      </c>
      <c r="E901" s="12">
        <v>1</v>
      </c>
      <c r="F901" s="12">
        <v>0</v>
      </c>
      <c r="G901" s="12" t="s">
        <v>367</v>
      </c>
    </row>
    <row r="902" spans="1:7" x14ac:dyDescent="0.3">
      <c r="A902" s="12" t="s">
        <v>213</v>
      </c>
      <c r="B902" s="12" t="s">
        <v>136</v>
      </c>
      <c r="C902" s="12">
        <v>1</v>
      </c>
      <c r="D902" s="12" t="s">
        <v>116</v>
      </c>
      <c r="E902" s="12">
        <v>1</v>
      </c>
      <c r="F902" s="12">
        <v>0</v>
      </c>
      <c r="G902" s="12" t="s">
        <v>367</v>
      </c>
    </row>
    <row r="903" spans="1:7" x14ac:dyDescent="0.3">
      <c r="A903" s="12" t="s">
        <v>213</v>
      </c>
      <c r="B903" s="12" t="s">
        <v>136</v>
      </c>
      <c r="C903" s="12">
        <v>1</v>
      </c>
      <c r="D903" s="12" t="s">
        <v>146</v>
      </c>
      <c r="E903" s="12">
        <v>1</v>
      </c>
      <c r="F903" s="12">
        <v>0</v>
      </c>
      <c r="G903" s="12" t="s">
        <v>367</v>
      </c>
    </row>
    <row r="904" spans="1:7" x14ac:dyDescent="0.3">
      <c r="A904" s="12" t="s">
        <v>213</v>
      </c>
      <c r="B904" s="12" t="s">
        <v>136</v>
      </c>
      <c r="C904" s="12">
        <v>1</v>
      </c>
      <c r="D904" s="12" t="s">
        <v>166</v>
      </c>
      <c r="E904" s="12">
        <v>1</v>
      </c>
      <c r="F904" s="12">
        <v>0</v>
      </c>
      <c r="G904" s="12" t="s">
        <v>367</v>
      </c>
    </row>
    <row r="905" spans="1:7" x14ac:dyDescent="0.3">
      <c r="A905" s="12" t="s">
        <v>213</v>
      </c>
      <c r="B905" s="12" t="s">
        <v>136</v>
      </c>
      <c r="C905" s="12">
        <v>1</v>
      </c>
      <c r="D905" s="12" t="s">
        <v>161</v>
      </c>
      <c r="E905" s="12">
        <v>1</v>
      </c>
      <c r="F905" s="12">
        <v>0</v>
      </c>
      <c r="G905" s="12" t="s">
        <v>367</v>
      </c>
    </row>
    <row r="906" spans="1:7" x14ac:dyDescent="0.3">
      <c r="A906" s="12" t="s">
        <v>213</v>
      </c>
      <c r="B906" s="12" t="s">
        <v>116</v>
      </c>
      <c r="C906" s="12">
        <v>1</v>
      </c>
      <c r="D906" s="12" t="s">
        <v>146</v>
      </c>
      <c r="E906" s="12">
        <v>1</v>
      </c>
      <c r="F906" s="12">
        <v>0</v>
      </c>
      <c r="G906" s="12" t="s">
        <v>367</v>
      </c>
    </row>
    <row r="907" spans="1:7" x14ac:dyDescent="0.3">
      <c r="A907" s="12" t="s">
        <v>213</v>
      </c>
      <c r="B907" s="12" t="s">
        <v>116</v>
      </c>
      <c r="C907" s="12">
        <v>1</v>
      </c>
      <c r="D907" s="12" t="s">
        <v>166</v>
      </c>
      <c r="E907" s="12">
        <v>1</v>
      </c>
      <c r="F907" s="12">
        <v>0</v>
      </c>
      <c r="G907" s="12" t="s">
        <v>367</v>
      </c>
    </row>
    <row r="908" spans="1:7" x14ac:dyDescent="0.3">
      <c r="A908" s="12" t="s">
        <v>213</v>
      </c>
      <c r="B908" s="12" t="s">
        <v>116</v>
      </c>
      <c r="C908" s="12">
        <v>1</v>
      </c>
      <c r="D908" s="12" t="s">
        <v>161</v>
      </c>
      <c r="E908" s="12">
        <v>1</v>
      </c>
      <c r="F908" s="12">
        <v>0</v>
      </c>
      <c r="G908" s="12" t="s">
        <v>367</v>
      </c>
    </row>
    <row r="909" spans="1:7" x14ac:dyDescent="0.3">
      <c r="A909" s="12" t="s">
        <v>213</v>
      </c>
      <c r="B909" s="12" t="s">
        <v>146</v>
      </c>
      <c r="C909" s="12">
        <v>1</v>
      </c>
      <c r="D909" s="12" t="s">
        <v>166</v>
      </c>
      <c r="E909" s="12">
        <v>1</v>
      </c>
      <c r="F909" s="12">
        <v>0</v>
      </c>
      <c r="G909" s="12" t="s">
        <v>367</v>
      </c>
    </row>
    <row r="910" spans="1:7" x14ac:dyDescent="0.3">
      <c r="A910" s="12" t="s">
        <v>213</v>
      </c>
      <c r="B910" s="12" t="s">
        <v>146</v>
      </c>
      <c r="C910" s="12">
        <v>1</v>
      </c>
      <c r="D910" s="12" t="s">
        <v>161</v>
      </c>
      <c r="E910" s="12">
        <v>1</v>
      </c>
      <c r="F910" s="12">
        <v>0</v>
      </c>
      <c r="G910" s="12" t="s">
        <v>367</v>
      </c>
    </row>
    <row r="911" spans="1:7" x14ac:dyDescent="0.3">
      <c r="A911" s="12" t="s">
        <v>213</v>
      </c>
      <c r="B911" s="12" t="s">
        <v>166</v>
      </c>
      <c r="C911" s="12">
        <v>1</v>
      </c>
      <c r="D911" s="12" t="s">
        <v>161</v>
      </c>
      <c r="E911" s="12">
        <v>1</v>
      </c>
      <c r="F911" s="12">
        <v>0</v>
      </c>
      <c r="G911" s="12" t="s">
        <v>367</v>
      </c>
    </row>
    <row r="912" spans="1:7" x14ac:dyDescent="0.3">
      <c r="A912" s="12" t="s">
        <v>213</v>
      </c>
      <c r="B912" s="12" t="s">
        <v>51</v>
      </c>
      <c r="C912" s="12">
        <v>0</v>
      </c>
      <c r="D912" s="12" t="s">
        <v>56</v>
      </c>
      <c r="E912" s="12">
        <v>0</v>
      </c>
      <c r="F912" s="12">
        <v>0</v>
      </c>
      <c r="G912" s="12" t="s">
        <v>367</v>
      </c>
    </row>
    <row r="913" spans="1:7" x14ac:dyDescent="0.3">
      <c r="A913" s="12" t="s">
        <v>213</v>
      </c>
      <c r="B913" s="12" t="s">
        <v>51</v>
      </c>
      <c r="C913" s="12">
        <v>0</v>
      </c>
      <c r="D913" s="12" t="s">
        <v>141</v>
      </c>
      <c r="E913" s="12">
        <v>0</v>
      </c>
      <c r="F913" s="12">
        <v>0</v>
      </c>
      <c r="G913" s="12" t="s">
        <v>367</v>
      </c>
    </row>
    <row r="914" spans="1:7" x14ac:dyDescent="0.3">
      <c r="A914" s="12" t="s">
        <v>213</v>
      </c>
      <c r="B914" s="12" t="s">
        <v>51</v>
      </c>
      <c r="C914" s="12">
        <v>0</v>
      </c>
      <c r="D914" s="12" t="s">
        <v>121</v>
      </c>
      <c r="E914" s="12">
        <v>0</v>
      </c>
      <c r="F914" s="12">
        <v>0</v>
      </c>
      <c r="G914" s="12" t="s">
        <v>367</v>
      </c>
    </row>
    <row r="915" spans="1:7" x14ac:dyDescent="0.3">
      <c r="A915" s="12" t="s">
        <v>213</v>
      </c>
      <c r="B915" s="12" t="s">
        <v>51</v>
      </c>
      <c r="C915" s="12">
        <v>0</v>
      </c>
      <c r="D915" s="12" t="s">
        <v>126</v>
      </c>
      <c r="E915" s="12">
        <v>0</v>
      </c>
      <c r="F915" s="12">
        <v>0</v>
      </c>
      <c r="G915" s="12" t="s">
        <v>367</v>
      </c>
    </row>
    <row r="916" spans="1:7" x14ac:dyDescent="0.3">
      <c r="A916" s="12" t="s">
        <v>213</v>
      </c>
      <c r="B916" s="12" t="s">
        <v>51</v>
      </c>
      <c r="C916" s="12">
        <v>0</v>
      </c>
      <c r="D916" s="12" t="s">
        <v>151</v>
      </c>
      <c r="E916" s="12">
        <v>0</v>
      </c>
      <c r="F916" s="12">
        <v>0</v>
      </c>
      <c r="G916" s="12" t="s">
        <v>367</v>
      </c>
    </row>
    <row r="917" spans="1:7" x14ac:dyDescent="0.3">
      <c r="A917" s="12" t="s">
        <v>213</v>
      </c>
      <c r="B917" s="12" t="s">
        <v>51</v>
      </c>
      <c r="C917" s="12">
        <v>0</v>
      </c>
      <c r="D917" s="12" t="s">
        <v>156</v>
      </c>
      <c r="E917" s="12">
        <v>0</v>
      </c>
      <c r="F917" s="12">
        <v>0</v>
      </c>
      <c r="G917" s="12" t="s">
        <v>367</v>
      </c>
    </row>
    <row r="918" spans="1:7" x14ac:dyDescent="0.3">
      <c r="A918" s="12" t="s">
        <v>213</v>
      </c>
      <c r="B918" s="12" t="s">
        <v>51</v>
      </c>
      <c r="C918" s="12">
        <v>0</v>
      </c>
      <c r="D918" s="12" t="s">
        <v>171</v>
      </c>
      <c r="E918" s="12">
        <v>0</v>
      </c>
      <c r="F918" s="12">
        <v>0</v>
      </c>
      <c r="G918" s="12" t="s">
        <v>367</v>
      </c>
    </row>
    <row r="919" spans="1:7" x14ac:dyDescent="0.3">
      <c r="A919" s="12" t="s">
        <v>213</v>
      </c>
      <c r="B919" s="12" t="s">
        <v>51</v>
      </c>
      <c r="C919" s="12">
        <v>0</v>
      </c>
      <c r="D919" s="12" t="s">
        <v>186</v>
      </c>
      <c r="E919" s="12">
        <v>0</v>
      </c>
      <c r="F919" s="12">
        <v>0</v>
      </c>
      <c r="G919" s="12" t="s">
        <v>367</v>
      </c>
    </row>
    <row r="920" spans="1:7" x14ac:dyDescent="0.3">
      <c r="A920" s="12" t="s">
        <v>213</v>
      </c>
      <c r="B920" s="12" t="s">
        <v>56</v>
      </c>
      <c r="C920" s="12">
        <v>0</v>
      </c>
      <c r="D920" s="12" t="s">
        <v>141</v>
      </c>
      <c r="E920" s="12">
        <v>0</v>
      </c>
      <c r="F920" s="12">
        <v>0</v>
      </c>
      <c r="G920" s="12" t="s">
        <v>367</v>
      </c>
    </row>
    <row r="921" spans="1:7" x14ac:dyDescent="0.3">
      <c r="A921" s="12" t="s">
        <v>213</v>
      </c>
      <c r="B921" s="12" t="s">
        <v>56</v>
      </c>
      <c r="C921" s="12">
        <v>0</v>
      </c>
      <c r="D921" s="12" t="s">
        <v>121</v>
      </c>
      <c r="E921" s="12">
        <v>0</v>
      </c>
      <c r="F921" s="12">
        <v>0</v>
      </c>
      <c r="G921" s="12" t="s">
        <v>367</v>
      </c>
    </row>
    <row r="922" spans="1:7" x14ac:dyDescent="0.3">
      <c r="A922" s="12" t="s">
        <v>213</v>
      </c>
      <c r="B922" s="12" t="s">
        <v>56</v>
      </c>
      <c r="C922" s="12">
        <v>0</v>
      </c>
      <c r="D922" s="12" t="s">
        <v>126</v>
      </c>
      <c r="E922" s="12">
        <v>0</v>
      </c>
      <c r="F922" s="12">
        <v>0</v>
      </c>
      <c r="G922" s="12" t="s">
        <v>367</v>
      </c>
    </row>
    <row r="923" spans="1:7" x14ac:dyDescent="0.3">
      <c r="A923" s="12" t="s">
        <v>213</v>
      </c>
      <c r="B923" s="12" t="s">
        <v>56</v>
      </c>
      <c r="C923" s="12">
        <v>0</v>
      </c>
      <c r="D923" s="12" t="s">
        <v>151</v>
      </c>
      <c r="E923" s="12">
        <v>0</v>
      </c>
      <c r="F923" s="12">
        <v>0</v>
      </c>
      <c r="G923" s="12" t="s">
        <v>367</v>
      </c>
    </row>
    <row r="924" spans="1:7" x14ac:dyDescent="0.3">
      <c r="A924" s="12" t="s">
        <v>213</v>
      </c>
      <c r="B924" s="12" t="s">
        <v>56</v>
      </c>
      <c r="C924" s="12">
        <v>0</v>
      </c>
      <c r="D924" s="12" t="s">
        <v>156</v>
      </c>
      <c r="E924" s="12">
        <v>0</v>
      </c>
      <c r="F924" s="12">
        <v>0</v>
      </c>
      <c r="G924" s="12" t="s">
        <v>367</v>
      </c>
    </row>
    <row r="925" spans="1:7" x14ac:dyDescent="0.3">
      <c r="A925" s="12" t="s">
        <v>213</v>
      </c>
      <c r="B925" s="12" t="s">
        <v>56</v>
      </c>
      <c r="C925" s="12">
        <v>0</v>
      </c>
      <c r="D925" s="12" t="s">
        <v>171</v>
      </c>
      <c r="E925" s="12">
        <v>0</v>
      </c>
      <c r="F925" s="12">
        <v>0</v>
      </c>
      <c r="G925" s="12" t="s">
        <v>367</v>
      </c>
    </row>
    <row r="926" spans="1:7" x14ac:dyDescent="0.3">
      <c r="A926" s="12" t="s">
        <v>213</v>
      </c>
      <c r="B926" s="12" t="s">
        <v>56</v>
      </c>
      <c r="C926" s="12">
        <v>0</v>
      </c>
      <c r="D926" s="12" t="s">
        <v>186</v>
      </c>
      <c r="E926" s="12">
        <v>0</v>
      </c>
      <c r="F926" s="12">
        <v>0</v>
      </c>
      <c r="G926" s="12" t="s">
        <v>367</v>
      </c>
    </row>
    <row r="927" spans="1:7" x14ac:dyDescent="0.3">
      <c r="A927" s="12" t="s">
        <v>213</v>
      </c>
      <c r="B927" s="12" t="s">
        <v>141</v>
      </c>
      <c r="C927" s="12">
        <v>0</v>
      </c>
      <c r="D927" s="12" t="s">
        <v>121</v>
      </c>
      <c r="E927" s="12">
        <v>0</v>
      </c>
      <c r="F927" s="12">
        <v>0</v>
      </c>
      <c r="G927" s="12" t="s">
        <v>367</v>
      </c>
    </row>
    <row r="928" spans="1:7" x14ac:dyDescent="0.3">
      <c r="A928" s="12" t="s">
        <v>213</v>
      </c>
      <c r="B928" s="12" t="s">
        <v>141</v>
      </c>
      <c r="C928" s="12">
        <v>0</v>
      </c>
      <c r="D928" s="12" t="s">
        <v>126</v>
      </c>
      <c r="E928" s="12">
        <v>0</v>
      </c>
      <c r="F928" s="12">
        <v>0</v>
      </c>
      <c r="G928" s="12" t="s">
        <v>367</v>
      </c>
    </row>
    <row r="929" spans="1:7" x14ac:dyDescent="0.3">
      <c r="A929" s="12" t="s">
        <v>213</v>
      </c>
      <c r="B929" s="12" t="s">
        <v>141</v>
      </c>
      <c r="C929" s="12">
        <v>0</v>
      </c>
      <c r="D929" s="12" t="s">
        <v>151</v>
      </c>
      <c r="E929" s="12">
        <v>0</v>
      </c>
      <c r="F929" s="12">
        <v>0</v>
      </c>
      <c r="G929" s="12" t="s">
        <v>367</v>
      </c>
    </row>
    <row r="930" spans="1:7" x14ac:dyDescent="0.3">
      <c r="A930" s="12" t="s">
        <v>213</v>
      </c>
      <c r="B930" s="12" t="s">
        <v>141</v>
      </c>
      <c r="C930" s="12">
        <v>0</v>
      </c>
      <c r="D930" s="12" t="s">
        <v>156</v>
      </c>
      <c r="E930" s="12">
        <v>0</v>
      </c>
      <c r="F930" s="12">
        <v>0</v>
      </c>
      <c r="G930" s="12" t="s">
        <v>367</v>
      </c>
    </row>
    <row r="931" spans="1:7" x14ac:dyDescent="0.3">
      <c r="A931" s="12" t="s">
        <v>213</v>
      </c>
      <c r="B931" s="12" t="s">
        <v>141</v>
      </c>
      <c r="C931" s="12">
        <v>0</v>
      </c>
      <c r="D931" s="12" t="s">
        <v>171</v>
      </c>
      <c r="E931" s="12">
        <v>0</v>
      </c>
      <c r="F931" s="12">
        <v>0</v>
      </c>
      <c r="G931" s="12" t="s">
        <v>367</v>
      </c>
    </row>
    <row r="932" spans="1:7" x14ac:dyDescent="0.3">
      <c r="A932" s="12" t="s">
        <v>213</v>
      </c>
      <c r="B932" s="12" t="s">
        <v>141</v>
      </c>
      <c r="C932" s="12">
        <v>0</v>
      </c>
      <c r="D932" s="12" t="s">
        <v>186</v>
      </c>
      <c r="E932" s="12">
        <v>0</v>
      </c>
      <c r="F932" s="12">
        <v>0</v>
      </c>
      <c r="G932" s="12" t="s">
        <v>367</v>
      </c>
    </row>
    <row r="933" spans="1:7" x14ac:dyDescent="0.3">
      <c r="A933" s="12" t="s">
        <v>213</v>
      </c>
      <c r="B933" s="12" t="s">
        <v>121</v>
      </c>
      <c r="C933" s="12">
        <v>0</v>
      </c>
      <c r="D933" s="12" t="s">
        <v>126</v>
      </c>
      <c r="E933" s="12">
        <v>0</v>
      </c>
      <c r="F933" s="12">
        <v>0</v>
      </c>
      <c r="G933" s="12" t="s">
        <v>367</v>
      </c>
    </row>
    <row r="934" spans="1:7" x14ac:dyDescent="0.3">
      <c r="A934" s="12" t="s">
        <v>213</v>
      </c>
      <c r="B934" s="12" t="s">
        <v>121</v>
      </c>
      <c r="C934" s="12">
        <v>0</v>
      </c>
      <c r="D934" s="12" t="s">
        <v>151</v>
      </c>
      <c r="E934" s="12">
        <v>0</v>
      </c>
      <c r="F934" s="12">
        <v>0</v>
      </c>
      <c r="G934" s="12" t="s">
        <v>367</v>
      </c>
    </row>
    <row r="935" spans="1:7" x14ac:dyDescent="0.3">
      <c r="A935" s="12" t="s">
        <v>213</v>
      </c>
      <c r="B935" s="12" t="s">
        <v>121</v>
      </c>
      <c r="C935" s="12">
        <v>0</v>
      </c>
      <c r="D935" s="12" t="s">
        <v>156</v>
      </c>
      <c r="E935" s="12">
        <v>0</v>
      </c>
      <c r="F935" s="12">
        <v>0</v>
      </c>
      <c r="G935" s="12" t="s">
        <v>367</v>
      </c>
    </row>
    <row r="936" spans="1:7" x14ac:dyDescent="0.3">
      <c r="A936" s="12" t="s">
        <v>213</v>
      </c>
      <c r="B936" s="12" t="s">
        <v>121</v>
      </c>
      <c r="C936" s="12">
        <v>0</v>
      </c>
      <c r="D936" s="12" t="s">
        <v>171</v>
      </c>
      <c r="E936" s="12">
        <v>0</v>
      </c>
      <c r="F936" s="12">
        <v>0</v>
      </c>
      <c r="G936" s="12" t="s">
        <v>367</v>
      </c>
    </row>
    <row r="937" spans="1:7" x14ac:dyDescent="0.3">
      <c r="A937" s="12" t="s">
        <v>213</v>
      </c>
      <c r="B937" s="12" t="s">
        <v>121</v>
      </c>
      <c r="C937" s="12">
        <v>0</v>
      </c>
      <c r="D937" s="12" t="s">
        <v>186</v>
      </c>
      <c r="E937" s="12">
        <v>0</v>
      </c>
      <c r="F937" s="12">
        <v>0</v>
      </c>
      <c r="G937" s="12" t="s">
        <v>367</v>
      </c>
    </row>
    <row r="938" spans="1:7" x14ac:dyDescent="0.3">
      <c r="A938" s="12" t="s">
        <v>213</v>
      </c>
      <c r="B938" s="12" t="s">
        <v>126</v>
      </c>
      <c r="C938" s="12">
        <v>0</v>
      </c>
      <c r="D938" s="12" t="s">
        <v>151</v>
      </c>
      <c r="E938" s="12">
        <v>0</v>
      </c>
      <c r="F938" s="12">
        <v>0</v>
      </c>
      <c r="G938" s="12" t="s">
        <v>367</v>
      </c>
    </row>
    <row r="939" spans="1:7" x14ac:dyDescent="0.3">
      <c r="A939" s="12" t="s">
        <v>213</v>
      </c>
      <c r="B939" s="12" t="s">
        <v>126</v>
      </c>
      <c r="C939" s="12">
        <v>0</v>
      </c>
      <c r="D939" s="12" t="s">
        <v>156</v>
      </c>
      <c r="E939" s="12">
        <v>0</v>
      </c>
      <c r="F939" s="12">
        <v>0</v>
      </c>
      <c r="G939" s="12" t="s">
        <v>367</v>
      </c>
    </row>
    <row r="940" spans="1:7" x14ac:dyDescent="0.3">
      <c r="A940" s="12" t="s">
        <v>213</v>
      </c>
      <c r="B940" s="12" t="s">
        <v>126</v>
      </c>
      <c r="C940" s="12">
        <v>0</v>
      </c>
      <c r="D940" s="12" t="s">
        <v>171</v>
      </c>
      <c r="E940" s="12">
        <v>0</v>
      </c>
      <c r="F940" s="12">
        <v>0</v>
      </c>
      <c r="G940" s="12" t="s">
        <v>367</v>
      </c>
    </row>
    <row r="941" spans="1:7" x14ac:dyDescent="0.3">
      <c r="A941" s="12" t="s">
        <v>213</v>
      </c>
      <c r="B941" s="12" t="s">
        <v>126</v>
      </c>
      <c r="C941" s="12">
        <v>0</v>
      </c>
      <c r="D941" s="12" t="s">
        <v>186</v>
      </c>
      <c r="E941" s="12">
        <v>0</v>
      </c>
      <c r="F941" s="12">
        <v>0</v>
      </c>
      <c r="G941" s="12" t="s">
        <v>367</v>
      </c>
    </row>
    <row r="942" spans="1:7" x14ac:dyDescent="0.3">
      <c r="A942" s="12" t="s">
        <v>213</v>
      </c>
      <c r="B942" s="12" t="s">
        <v>151</v>
      </c>
      <c r="C942" s="12">
        <v>0</v>
      </c>
      <c r="D942" s="12" t="s">
        <v>156</v>
      </c>
      <c r="E942" s="12">
        <v>0</v>
      </c>
      <c r="F942" s="12">
        <v>0</v>
      </c>
      <c r="G942" s="12" t="s">
        <v>367</v>
      </c>
    </row>
    <row r="943" spans="1:7" x14ac:dyDescent="0.3">
      <c r="A943" s="12" t="s">
        <v>213</v>
      </c>
      <c r="B943" s="12" t="s">
        <v>151</v>
      </c>
      <c r="C943" s="12">
        <v>0</v>
      </c>
      <c r="D943" s="12" t="s">
        <v>171</v>
      </c>
      <c r="E943" s="12">
        <v>0</v>
      </c>
      <c r="F943" s="12">
        <v>0</v>
      </c>
      <c r="G943" s="12" t="s">
        <v>367</v>
      </c>
    </row>
    <row r="944" spans="1:7" x14ac:dyDescent="0.3">
      <c r="A944" s="12" t="s">
        <v>213</v>
      </c>
      <c r="B944" s="12" t="s">
        <v>151</v>
      </c>
      <c r="C944" s="12">
        <v>0</v>
      </c>
      <c r="D944" s="12" t="s">
        <v>186</v>
      </c>
      <c r="E944" s="12">
        <v>0</v>
      </c>
      <c r="F944" s="12">
        <v>0</v>
      </c>
      <c r="G944" s="12" t="s">
        <v>367</v>
      </c>
    </row>
    <row r="945" spans="1:7" x14ac:dyDescent="0.3">
      <c r="A945" s="12" t="s">
        <v>213</v>
      </c>
      <c r="B945" s="12" t="s">
        <v>156</v>
      </c>
      <c r="C945" s="12">
        <v>0</v>
      </c>
      <c r="D945" s="12" t="s">
        <v>171</v>
      </c>
      <c r="E945" s="12">
        <v>0</v>
      </c>
      <c r="F945" s="12">
        <v>0</v>
      </c>
      <c r="G945" s="12" t="s">
        <v>367</v>
      </c>
    </row>
    <row r="946" spans="1:7" x14ac:dyDescent="0.3">
      <c r="A946" s="12" t="s">
        <v>213</v>
      </c>
      <c r="B946" s="12" t="s">
        <v>156</v>
      </c>
      <c r="C946" s="12">
        <v>0</v>
      </c>
      <c r="D946" s="12" t="s">
        <v>186</v>
      </c>
      <c r="E946" s="12">
        <v>0</v>
      </c>
      <c r="F946" s="12">
        <v>0</v>
      </c>
      <c r="G946" s="12" t="s">
        <v>367</v>
      </c>
    </row>
    <row r="947" spans="1:7" x14ac:dyDescent="0.3">
      <c r="A947" s="12" t="s">
        <v>213</v>
      </c>
      <c r="B947" s="12" t="s">
        <v>171</v>
      </c>
      <c r="C947" s="12">
        <v>0</v>
      </c>
      <c r="D947" s="12" t="s">
        <v>186</v>
      </c>
      <c r="E947" s="12">
        <v>0</v>
      </c>
      <c r="F947" s="12">
        <v>0</v>
      </c>
      <c r="G947" s="12" t="s">
        <v>367</v>
      </c>
    </row>
    <row r="948" spans="1:7" x14ac:dyDescent="0.3">
      <c r="A948" s="12" t="s">
        <v>214</v>
      </c>
      <c r="B948" s="12" t="s">
        <v>66</v>
      </c>
      <c r="C948" s="12">
        <v>178</v>
      </c>
      <c r="D948" s="12" t="s">
        <v>91</v>
      </c>
      <c r="E948" s="12">
        <v>176</v>
      </c>
      <c r="F948" s="12">
        <v>2</v>
      </c>
      <c r="G948" s="12"/>
    </row>
    <row r="949" spans="1:7" x14ac:dyDescent="0.3">
      <c r="A949" s="12" t="s">
        <v>214</v>
      </c>
      <c r="B949" s="12" t="s">
        <v>56</v>
      </c>
      <c r="C949" s="12">
        <v>170</v>
      </c>
      <c r="D949" s="12" t="s">
        <v>41</v>
      </c>
      <c r="E949" s="12">
        <v>168</v>
      </c>
      <c r="F949" s="12">
        <v>2</v>
      </c>
      <c r="G949" s="12"/>
    </row>
    <row r="950" spans="1:7" x14ac:dyDescent="0.3">
      <c r="A950" s="12" t="s">
        <v>214</v>
      </c>
      <c r="B950" s="12" t="s">
        <v>41</v>
      </c>
      <c r="C950" s="12">
        <v>168</v>
      </c>
      <c r="D950" s="12" t="s">
        <v>46</v>
      </c>
      <c r="E950" s="12">
        <v>165</v>
      </c>
      <c r="F950" s="12">
        <v>3</v>
      </c>
      <c r="G950" s="12"/>
    </row>
    <row r="951" spans="1:7" x14ac:dyDescent="0.3">
      <c r="A951" s="12" t="s">
        <v>214</v>
      </c>
      <c r="B951" s="12" t="s">
        <v>71</v>
      </c>
      <c r="C951" s="12">
        <v>148</v>
      </c>
      <c r="D951" s="12" t="s">
        <v>61</v>
      </c>
      <c r="E951" s="12">
        <v>146</v>
      </c>
      <c r="F951" s="12">
        <v>2</v>
      </c>
      <c r="G951" s="12"/>
    </row>
    <row r="952" spans="1:7" x14ac:dyDescent="0.3">
      <c r="A952" s="12" t="s">
        <v>214</v>
      </c>
      <c r="B952" s="12" t="s">
        <v>71</v>
      </c>
      <c r="C952" s="12">
        <v>148</v>
      </c>
      <c r="D952" s="12" t="s">
        <v>111</v>
      </c>
      <c r="E952" s="12">
        <v>146</v>
      </c>
      <c r="F952" s="12">
        <v>2</v>
      </c>
      <c r="G952" s="12"/>
    </row>
    <row r="953" spans="1:7" x14ac:dyDescent="0.3">
      <c r="A953" s="12" t="s">
        <v>214</v>
      </c>
      <c r="B953" s="12" t="s">
        <v>71</v>
      </c>
      <c r="C953" s="12">
        <v>148</v>
      </c>
      <c r="D953" s="12" t="s">
        <v>176</v>
      </c>
      <c r="E953" s="12">
        <v>144</v>
      </c>
      <c r="F953" s="12">
        <v>4</v>
      </c>
      <c r="G953" s="12"/>
    </row>
    <row r="954" spans="1:7" x14ac:dyDescent="0.3">
      <c r="A954" s="12" t="s">
        <v>214</v>
      </c>
      <c r="B954" s="12" t="s">
        <v>61</v>
      </c>
      <c r="C954" s="12">
        <v>146</v>
      </c>
      <c r="D954" s="12" t="s">
        <v>111</v>
      </c>
      <c r="E954" s="12">
        <v>146</v>
      </c>
      <c r="F954" s="12">
        <v>0</v>
      </c>
      <c r="G954" s="12" t="s">
        <v>367</v>
      </c>
    </row>
    <row r="955" spans="1:7" x14ac:dyDescent="0.3">
      <c r="A955" s="12" t="s">
        <v>214</v>
      </c>
      <c r="B955" s="12" t="s">
        <v>61</v>
      </c>
      <c r="C955" s="12">
        <v>146</v>
      </c>
      <c r="D955" s="12" t="s">
        <v>176</v>
      </c>
      <c r="E955" s="12">
        <v>144</v>
      </c>
      <c r="F955" s="12">
        <v>2</v>
      </c>
      <c r="G955" s="12"/>
    </row>
    <row r="956" spans="1:7" x14ac:dyDescent="0.3">
      <c r="A956" s="12" t="s">
        <v>214</v>
      </c>
      <c r="B956" s="12" t="s">
        <v>61</v>
      </c>
      <c r="C956" s="12">
        <v>146</v>
      </c>
      <c r="D956" s="12" t="s">
        <v>101</v>
      </c>
      <c r="E956" s="12">
        <v>143</v>
      </c>
      <c r="F956" s="12">
        <v>3</v>
      </c>
      <c r="G956" s="12"/>
    </row>
    <row r="957" spans="1:7" x14ac:dyDescent="0.3">
      <c r="A957" s="12" t="s">
        <v>214</v>
      </c>
      <c r="B957" s="12" t="s">
        <v>61</v>
      </c>
      <c r="C957" s="12">
        <v>146</v>
      </c>
      <c r="D957" s="12" t="s">
        <v>151</v>
      </c>
      <c r="E957" s="12">
        <v>142</v>
      </c>
      <c r="F957" s="12">
        <v>4</v>
      </c>
      <c r="G957" s="12"/>
    </row>
    <row r="958" spans="1:7" x14ac:dyDescent="0.3">
      <c r="A958" s="12" t="s">
        <v>214</v>
      </c>
      <c r="B958" s="12" t="s">
        <v>111</v>
      </c>
      <c r="C958" s="12">
        <v>146</v>
      </c>
      <c r="D958" s="12" t="s">
        <v>176</v>
      </c>
      <c r="E958" s="12">
        <v>144</v>
      </c>
      <c r="F958" s="12">
        <v>2</v>
      </c>
      <c r="G958" s="12"/>
    </row>
    <row r="959" spans="1:7" x14ac:dyDescent="0.3">
      <c r="A959" s="12" t="s">
        <v>214</v>
      </c>
      <c r="B959" s="12" t="s">
        <v>111</v>
      </c>
      <c r="C959" s="12">
        <v>146</v>
      </c>
      <c r="D959" s="12" t="s">
        <v>101</v>
      </c>
      <c r="E959" s="12">
        <v>143</v>
      </c>
      <c r="F959" s="12">
        <v>3</v>
      </c>
      <c r="G959" s="12"/>
    </row>
    <row r="960" spans="1:7" x14ac:dyDescent="0.3">
      <c r="A960" s="12" t="s">
        <v>214</v>
      </c>
      <c r="B960" s="12" t="s">
        <v>111</v>
      </c>
      <c r="C960" s="12">
        <v>146</v>
      </c>
      <c r="D960" s="12" t="s">
        <v>151</v>
      </c>
      <c r="E960" s="12">
        <v>142</v>
      </c>
      <c r="F960" s="12">
        <v>4</v>
      </c>
      <c r="G960" s="12"/>
    </row>
    <row r="961" spans="1:7" x14ac:dyDescent="0.3">
      <c r="A961" s="12" t="s">
        <v>214</v>
      </c>
      <c r="B961" s="12" t="s">
        <v>176</v>
      </c>
      <c r="C961" s="12">
        <v>144</v>
      </c>
      <c r="D961" s="12" t="s">
        <v>101</v>
      </c>
      <c r="E961" s="12">
        <v>143</v>
      </c>
      <c r="F961" s="12">
        <v>1</v>
      </c>
      <c r="G961" s="12"/>
    </row>
    <row r="962" spans="1:7" x14ac:dyDescent="0.3">
      <c r="A962" s="12" t="s">
        <v>214</v>
      </c>
      <c r="B962" s="12" t="s">
        <v>176</v>
      </c>
      <c r="C962" s="12">
        <v>144</v>
      </c>
      <c r="D962" s="12" t="s">
        <v>151</v>
      </c>
      <c r="E962" s="12">
        <v>142</v>
      </c>
      <c r="F962" s="12">
        <v>2</v>
      </c>
      <c r="G962" s="12"/>
    </row>
    <row r="963" spans="1:7" x14ac:dyDescent="0.3">
      <c r="A963" s="12" t="s">
        <v>214</v>
      </c>
      <c r="B963" s="12" t="s">
        <v>176</v>
      </c>
      <c r="C963" s="12">
        <v>144</v>
      </c>
      <c r="D963" s="12" t="s">
        <v>81</v>
      </c>
      <c r="E963" s="12">
        <v>141</v>
      </c>
      <c r="F963" s="12">
        <v>3</v>
      </c>
      <c r="G963" s="12"/>
    </row>
    <row r="964" spans="1:7" x14ac:dyDescent="0.3">
      <c r="A964" s="12" t="s">
        <v>214</v>
      </c>
      <c r="B964" s="12" t="s">
        <v>101</v>
      </c>
      <c r="C964" s="12">
        <v>143</v>
      </c>
      <c r="D964" s="12" t="s">
        <v>151</v>
      </c>
      <c r="E964" s="12">
        <v>142</v>
      </c>
      <c r="F964" s="12">
        <v>1</v>
      </c>
      <c r="G964" s="12"/>
    </row>
    <row r="965" spans="1:7" x14ac:dyDescent="0.3">
      <c r="A965" s="12" t="s">
        <v>214</v>
      </c>
      <c r="B965" s="12" t="s">
        <v>101</v>
      </c>
      <c r="C965" s="12">
        <v>143</v>
      </c>
      <c r="D965" s="12" t="s">
        <v>81</v>
      </c>
      <c r="E965" s="12">
        <v>141</v>
      </c>
      <c r="F965" s="12">
        <v>2</v>
      </c>
      <c r="G965" s="12"/>
    </row>
    <row r="966" spans="1:7" x14ac:dyDescent="0.3">
      <c r="A966" s="12" t="s">
        <v>214</v>
      </c>
      <c r="B966" s="12" t="s">
        <v>151</v>
      </c>
      <c r="C966" s="12">
        <v>142</v>
      </c>
      <c r="D966" s="12" t="s">
        <v>81</v>
      </c>
      <c r="E966" s="12">
        <v>141</v>
      </c>
      <c r="F966" s="12">
        <v>1</v>
      </c>
      <c r="G966" s="12"/>
    </row>
    <row r="967" spans="1:7" x14ac:dyDescent="0.3">
      <c r="A967" s="12" t="s">
        <v>214</v>
      </c>
      <c r="B967" s="12" t="s">
        <v>116</v>
      </c>
      <c r="C967" s="12">
        <v>135</v>
      </c>
      <c r="D967" s="12" t="s">
        <v>126</v>
      </c>
      <c r="E967" s="12">
        <v>133</v>
      </c>
      <c r="F967" s="12">
        <v>2</v>
      </c>
      <c r="G967" s="12"/>
    </row>
    <row r="968" spans="1:7" x14ac:dyDescent="0.3">
      <c r="A968" s="12" t="s">
        <v>214</v>
      </c>
      <c r="B968" s="12" t="s">
        <v>116</v>
      </c>
      <c r="C968" s="12">
        <v>135</v>
      </c>
      <c r="D968" s="12" t="s">
        <v>146</v>
      </c>
      <c r="E968" s="12">
        <v>132</v>
      </c>
      <c r="F968" s="12">
        <v>3</v>
      </c>
      <c r="G968" s="12"/>
    </row>
    <row r="969" spans="1:7" x14ac:dyDescent="0.3">
      <c r="A969" s="12" t="s">
        <v>214</v>
      </c>
      <c r="B969" s="12" t="s">
        <v>126</v>
      </c>
      <c r="C969" s="12">
        <v>133</v>
      </c>
      <c r="D969" s="12" t="s">
        <v>146</v>
      </c>
      <c r="E969" s="12">
        <v>132</v>
      </c>
      <c r="F969" s="12">
        <v>1</v>
      </c>
      <c r="G969" s="12"/>
    </row>
    <row r="970" spans="1:7" x14ac:dyDescent="0.3">
      <c r="A970" s="12" t="s">
        <v>214</v>
      </c>
      <c r="B970" s="12" t="s">
        <v>136</v>
      </c>
      <c r="C970" s="12">
        <v>113</v>
      </c>
      <c r="D970" s="12" t="s">
        <v>76</v>
      </c>
      <c r="E970" s="12">
        <v>109</v>
      </c>
      <c r="F970" s="12">
        <v>4</v>
      </c>
      <c r="G970" s="12"/>
    </row>
    <row r="971" spans="1:7" x14ac:dyDescent="0.3">
      <c r="A971" s="12" t="s">
        <v>214</v>
      </c>
      <c r="B971" s="12" t="s">
        <v>76</v>
      </c>
      <c r="C971" s="12">
        <v>109</v>
      </c>
      <c r="D971" s="12" t="s">
        <v>121</v>
      </c>
      <c r="E971" s="12">
        <v>105</v>
      </c>
      <c r="F971" s="12">
        <v>4</v>
      </c>
      <c r="G971" s="12"/>
    </row>
    <row r="972" spans="1:7" x14ac:dyDescent="0.3">
      <c r="A972" s="12" t="s">
        <v>214</v>
      </c>
      <c r="B972" s="12" t="s">
        <v>121</v>
      </c>
      <c r="C972" s="12">
        <v>105</v>
      </c>
      <c r="D972" s="12" t="s">
        <v>161</v>
      </c>
      <c r="E972" s="12">
        <v>104</v>
      </c>
      <c r="F972" s="12">
        <v>1</v>
      </c>
      <c r="G972" s="12"/>
    </row>
    <row r="973" spans="1:7" x14ac:dyDescent="0.3">
      <c r="A973" s="12" t="s">
        <v>214</v>
      </c>
      <c r="B973" s="12" t="s">
        <v>161</v>
      </c>
      <c r="C973" s="12">
        <v>104</v>
      </c>
      <c r="D973" s="12" t="s">
        <v>141</v>
      </c>
      <c r="E973" s="12">
        <v>100</v>
      </c>
      <c r="F973" s="12">
        <v>4</v>
      </c>
      <c r="G973" s="12"/>
    </row>
    <row r="974" spans="1:7" x14ac:dyDescent="0.3">
      <c r="A974" s="12" t="s">
        <v>214</v>
      </c>
      <c r="B974" s="12" t="s">
        <v>141</v>
      </c>
      <c r="C974" s="12">
        <v>100</v>
      </c>
      <c r="D974" s="12" t="s">
        <v>181</v>
      </c>
      <c r="E974" s="12">
        <v>97</v>
      </c>
      <c r="F974" s="12">
        <v>3</v>
      </c>
      <c r="G974" s="12"/>
    </row>
    <row r="975" spans="1:7" x14ac:dyDescent="0.3">
      <c r="A975" s="12" t="s">
        <v>214</v>
      </c>
      <c r="B975" s="12" t="s">
        <v>141</v>
      </c>
      <c r="C975" s="12">
        <v>100</v>
      </c>
      <c r="D975" s="12" t="s">
        <v>131</v>
      </c>
      <c r="E975" s="12">
        <v>96</v>
      </c>
      <c r="F975" s="12">
        <v>4</v>
      </c>
      <c r="G975" s="12"/>
    </row>
    <row r="976" spans="1:7" x14ac:dyDescent="0.3">
      <c r="A976" s="12" t="s">
        <v>214</v>
      </c>
      <c r="B976" s="12" t="s">
        <v>181</v>
      </c>
      <c r="C976" s="12">
        <v>97</v>
      </c>
      <c r="D976" s="12" t="s">
        <v>131</v>
      </c>
      <c r="E976" s="12">
        <v>96</v>
      </c>
      <c r="F976" s="12">
        <v>1</v>
      </c>
      <c r="G976" s="12"/>
    </row>
    <row r="977" spans="1:7" x14ac:dyDescent="0.3">
      <c r="A977" s="12" t="s">
        <v>214</v>
      </c>
      <c r="B977" s="12" t="s">
        <v>156</v>
      </c>
      <c r="C977" s="12">
        <v>71</v>
      </c>
      <c r="D977" s="12" t="s">
        <v>166</v>
      </c>
      <c r="E977" s="12">
        <v>69</v>
      </c>
      <c r="F977" s="12">
        <v>2</v>
      </c>
      <c r="G977" s="12"/>
    </row>
    <row r="978" spans="1:7" x14ac:dyDescent="0.3">
      <c r="A978" s="12" t="s">
        <v>214</v>
      </c>
      <c r="B978" s="12" t="s">
        <v>51</v>
      </c>
      <c r="C978" s="12">
        <v>63</v>
      </c>
      <c r="D978" s="12" t="s">
        <v>186</v>
      </c>
      <c r="E978" s="12">
        <v>60</v>
      </c>
      <c r="F978" s="12">
        <v>3</v>
      </c>
      <c r="G978" s="12"/>
    </row>
    <row r="979" spans="1:7" x14ac:dyDescent="0.3">
      <c r="A979" s="12" t="s">
        <v>215</v>
      </c>
      <c r="B979" s="12" t="s">
        <v>61</v>
      </c>
      <c r="C979" s="12">
        <v>4.21</v>
      </c>
      <c r="D979" s="12" t="s">
        <v>81</v>
      </c>
      <c r="E979" s="12">
        <v>4.22</v>
      </c>
      <c r="F979" s="12">
        <v>0.01</v>
      </c>
      <c r="G979" s="12"/>
    </row>
    <row r="980" spans="1:7" x14ac:dyDescent="0.3">
      <c r="A980" s="12" t="s">
        <v>215</v>
      </c>
      <c r="B980" s="12" t="s">
        <v>61</v>
      </c>
      <c r="C980" s="12">
        <v>4.21</v>
      </c>
      <c r="D980" s="12" t="s">
        <v>121</v>
      </c>
      <c r="E980" s="12">
        <v>4.22</v>
      </c>
      <c r="F980" s="12">
        <v>0.01</v>
      </c>
      <c r="G980" s="12"/>
    </row>
    <row r="981" spans="1:7" x14ac:dyDescent="0.3">
      <c r="A981" s="12" t="s">
        <v>215</v>
      </c>
      <c r="B981" s="12" t="s">
        <v>81</v>
      </c>
      <c r="C981" s="12">
        <v>4.22</v>
      </c>
      <c r="D981" s="12" t="s">
        <v>121</v>
      </c>
      <c r="E981" s="12">
        <v>4.22</v>
      </c>
      <c r="F981" s="12">
        <v>0</v>
      </c>
      <c r="G981" s="12" t="s">
        <v>367</v>
      </c>
    </row>
    <row r="982" spans="1:7" x14ac:dyDescent="0.3">
      <c r="A982" s="12" t="s">
        <v>215</v>
      </c>
      <c r="B982" s="12" t="s">
        <v>46</v>
      </c>
      <c r="C982" s="12">
        <v>4.26</v>
      </c>
      <c r="D982" s="12" t="s">
        <v>31</v>
      </c>
      <c r="E982" s="12">
        <v>4.2699999999999996</v>
      </c>
      <c r="F982" s="12">
        <v>0.01</v>
      </c>
      <c r="G982" s="12"/>
    </row>
    <row r="983" spans="1:7" x14ac:dyDescent="0.3">
      <c r="A983" s="12" t="s">
        <v>215</v>
      </c>
      <c r="B983" s="12" t="s">
        <v>46</v>
      </c>
      <c r="C983" s="12">
        <v>4.26</v>
      </c>
      <c r="D983" s="12" t="s">
        <v>36</v>
      </c>
      <c r="E983" s="12">
        <v>4.2699999999999996</v>
      </c>
      <c r="F983" s="12">
        <v>0.01</v>
      </c>
      <c r="G983" s="12"/>
    </row>
    <row r="984" spans="1:7" x14ac:dyDescent="0.3">
      <c r="A984" s="12" t="s">
        <v>215</v>
      </c>
      <c r="B984" s="12" t="s">
        <v>46</v>
      </c>
      <c r="C984" s="12">
        <v>4.26</v>
      </c>
      <c r="D984" s="12" t="s">
        <v>116</v>
      </c>
      <c r="E984" s="12">
        <v>4.2699999999999996</v>
      </c>
      <c r="F984" s="12">
        <v>0.01</v>
      </c>
      <c r="G984" s="12"/>
    </row>
    <row r="985" spans="1:7" x14ac:dyDescent="0.3">
      <c r="A985" s="12" t="s">
        <v>215</v>
      </c>
      <c r="B985" s="12" t="s">
        <v>31</v>
      </c>
      <c r="C985" s="12">
        <v>4.2699999999999996</v>
      </c>
      <c r="D985" s="12" t="s">
        <v>36</v>
      </c>
      <c r="E985" s="12">
        <v>4.2699999999999996</v>
      </c>
      <c r="F985" s="12">
        <v>0</v>
      </c>
      <c r="G985" s="12" t="s">
        <v>367</v>
      </c>
    </row>
    <row r="986" spans="1:7" x14ac:dyDescent="0.3">
      <c r="A986" s="12" t="s">
        <v>215</v>
      </c>
      <c r="B986" s="12" t="s">
        <v>31</v>
      </c>
      <c r="C986" s="12">
        <v>4.2699999999999996</v>
      </c>
      <c r="D986" s="12" t="s">
        <v>116</v>
      </c>
      <c r="E986" s="12">
        <v>4.2699999999999996</v>
      </c>
      <c r="F986" s="12">
        <v>0</v>
      </c>
      <c r="G986" s="12" t="s">
        <v>367</v>
      </c>
    </row>
    <row r="987" spans="1:7" x14ac:dyDescent="0.3">
      <c r="A987" s="12" t="s">
        <v>215</v>
      </c>
      <c r="B987" s="12" t="s">
        <v>31</v>
      </c>
      <c r="C987" s="12">
        <v>4.2699999999999996</v>
      </c>
      <c r="D987" s="12" t="s">
        <v>96</v>
      </c>
      <c r="E987" s="12">
        <v>4.28</v>
      </c>
      <c r="F987" s="12">
        <v>0.01</v>
      </c>
      <c r="G987" s="12"/>
    </row>
    <row r="988" spans="1:7" x14ac:dyDescent="0.3">
      <c r="A988" s="12" t="s">
        <v>215</v>
      </c>
      <c r="B988" s="12" t="s">
        <v>31</v>
      </c>
      <c r="C988" s="12">
        <v>4.2699999999999996</v>
      </c>
      <c r="D988" s="12" t="s">
        <v>101</v>
      </c>
      <c r="E988" s="12">
        <v>4.28</v>
      </c>
      <c r="F988" s="12">
        <v>0.01</v>
      </c>
      <c r="G988" s="12"/>
    </row>
    <row r="989" spans="1:7" x14ac:dyDescent="0.3">
      <c r="A989" s="12" t="s">
        <v>215</v>
      </c>
      <c r="B989" s="12" t="s">
        <v>31</v>
      </c>
      <c r="C989" s="12">
        <v>4.2699999999999996</v>
      </c>
      <c r="D989" s="12" t="s">
        <v>111</v>
      </c>
      <c r="E989" s="12">
        <v>4.28</v>
      </c>
      <c r="F989" s="12">
        <v>0.01</v>
      </c>
      <c r="G989" s="12"/>
    </row>
    <row r="990" spans="1:7" x14ac:dyDescent="0.3">
      <c r="A990" s="12" t="s">
        <v>215</v>
      </c>
      <c r="B990" s="12" t="s">
        <v>36</v>
      </c>
      <c r="C990" s="12">
        <v>4.2699999999999996</v>
      </c>
      <c r="D990" s="12" t="s">
        <v>116</v>
      </c>
      <c r="E990" s="12">
        <v>4.2699999999999996</v>
      </c>
      <c r="F990" s="12">
        <v>0</v>
      </c>
      <c r="G990" s="12" t="s">
        <v>367</v>
      </c>
    </row>
    <row r="991" spans="1:7" x14ac:dyDescent="0.3">
      <c r="A991" s="12" t="s">
        <v>215</v>
      </c>
      <c r="B991" s="12" t="s">
        <v>36</v>
      </c>
      <c r="C991" s="12">
        <v>4.2699999999999996</v>
      </c>
      <c r="D991" s="12" t="s">
        <v>96</v>
      </c>
      <c r="E991" s="12">
        <v>4.28</v>
      </c>
      <c r="F991" s="12">
        <v>0.01</v>
      </c>
      <c r="G991" s="12"/>
    </row>
    <row r="992" spans="1:7" x14ac:dyDescent="0.3">
      <c r="A992" s="12" t="s">
        <v>215</v>
      </c>
      <c r="B992" s="12" t="s">
        <v>36</v>
      </c>
      <c r="C992" s="12">
        <v>4.2699999999999996</v>
      </c>
      <c r="D992" s="12" t="s">
        <v>101</v>
      </c>
      <c r="E992" s="12">
        <v>4.28</v>
      </c>
      <c r="F992" s="12">
        <v>0.01</v>
      </c>
      <c r="G992" s="12"/>
    </row>
    <row r="993" spans="1:7" x14ac:dyDescent="0.3">
      <c r="A993" s="12" t="s">
        <v>215</v>
      </c>
      <c r="B993" s="12" t="s">
        <v>36</v>
      </c>
      <c r="C993" s="12">
        <v>4.2699999999999996</v>
      </c>
      <c r="D993" s="12" t="s">
        <v>111</v>
      </c>
      <c r="E993" s="12">
        <v>4.28</v>
      </c>
      <c r="F993" s="12">
        <v>0.01</v>
      </c>
      <c r="G993" s="12"/>
    </row>
    <row r="994" spans="1:7" x14ac:dyDescent="0.3">
      <c r="A994" s="12" t="s">
        <v>215</v>
      </c>
      <c r="B994" s="12" t="s">
        <v>116</v>
      </c>
      <c r="C994" s="12">
        <v>4.2699999999999996</v>
      </c>
      <c r="D994" s="12" t="s">
        <v>96</v>
      </c>
      <c r="E994" s="12">
        <v>4.28</v>
      </c>
      <c r="F994" s="12">
        <v>0.01</v>
      </c>
      <c r="G994" s="12"/>
    </row>
    <row r="995" spans="1:7" x14ac:dyDescent="0.3">
      <c r="A995" s="12" t="s">
        <v>215</v>
      </c>
      <c r="B995" s="12" t="s">
        <v>116</v>
      </c>
      <c r="C995" s="12">
        <v>4.2699999999999996</v>
      </c>
      <c r="D995" s="12" t="s">
        <v>101</v>
      </c>
      <c r="E995" s="12">
        <v>4.28</v>
      </c>
      <c r="F995" s="12">
        <v>0.01</v>
      </c>
      <c r="G995" s="12"/>
    </row>
    <row r="996" spans="1:7" x14ac:dyDescent="0.3">
      <c r="A996" s="12" t="s">
        <v>215</v>
      </c>
      <c r="B996" s="12" t="s">
        <v>116</v>
      </c>
      <c r="C996" s="12">
        <v>4.2699999999999996</v>
      </c>
      <c r="D996" s="12" t="s">
        <v>111</v>
      </c>
      <c r="E996" s="12">
        <v>4.28</v>
      </c>
      <c r="F996" s="12">
        <v>0.01</v>
      </c>
      <c r="G996" s="12"/>
    </row>
    <row r="997" spans="1:7" x14ac:dyDescent="0.3">
      <c r="A997" s="12" t="s">
        <v>215</v>
      </c>
      <c r="B997" s="12" t="s">
        <v>96</v>
      </c>
      <c r="C997" s="12">
        <v>4.28</v>
      </c>
      <c r="D997" s="12" t="s">
        <v>101</v>
      </c>
      <c r="E997" s="12">
        <v>4.28</v>
      </c>
      <c r="F997" s="12">
        <v>0</v>
      </c>
      <c r="G997" s="12" t="s">
        <v>367</v>
      </c>
    </row>
    <row r="998" spans="1:7" x14ac:dyDescent="0.3">
      <c r="A998" s="12" t="s">
        <v>215</v>
      </c>
      <c r="B998" s="12" t="s">
        <v>96</v>
      </c>
      <c r="C998" s="12">
        <v>4.28</v>
      </c>
      <c r="D998" s="12" t="s">
        <v>111</v>
      </c>
      <c r="E998" s="12">
        <v>4.28</v>
      </c>
      <c r="F998" s="12">
        <v>0</v>
      </c>
      <c r="G998" s="12" t="s">
        <v>367</v>
      </c>
    </row>
    <row r="999" spans="1:7" x14ac:dyDescent="0.3">
      <c r="A999" s="12" t="s">
        <v>215</v>
      </c>
      <c r="B999" s="12" t="s">
        <v>96</v>
      </c>
      <c r="C999" s="12">
        <v>4.28</v>
      </c>
      <c r="D999" s="12" t="s">
        <v>141</v>
      </c>
      <c r="E999" s="12">
        <v>4.29</v>
      </c>
      <c r="F999" s="12">
        <v>0.01</v>
      </c>
      <c r="G999" s="12"/>
    </row>
    <row r="1000" spans="1:7" x14ac:dyDescent="0.3">
      <c r="A1000" s="12" t="s">
        <v>215</v>
      </c>
      <c r="B1000" s="12" t="s">
        <v>96</v>
      </c>
      <c r="C1000" s="12">
        <v>4.28</v>
      </c>
      <c r="D1000" s="12" t="s">
        <v>161</v>
      </c>
      <c r="E1000" s="12">
        <v>4.29</v>
      </c>
      <c r="F1000" s="12">
        <v>0.01</v>
      </c>
      <c r="G1000" s="12"/>
    </row>
    <row r="1001" spans="1:7" x14ac:dyDescent="0.3">
      <c r="A1001" s="12" t="s">
        <v>215</v>
      </c>
      <c r="B1001" s="12" t="s">
        <v>96</v>
      </c>
      <c r="C1001" s="12">
        <v>4.28</v>
      </c>
      <c r="D1001" s="12" t="s">
        <v>76</v>
      </c>
      <c r="E1001" s="12">
        <v>4.29</v>
      </c>
      <c r="F1001" s="12">
        <v>0.01</v>
      </c>
      <c r="G1001" s="12"/>
    </row>
    <row r="1002" spans="1:7" x14ac:dyDescent="0.3">
      <c r="A1002" s="12" t="s">
        <v>215</v>
      </c>
      <c r="B1002" s="12" t="s">
        <v>96</v>
      </c>
      <c r="C1002" s="12">
        <v>4.28</v>
      </c>
      <c r="D1002" s="12" t="s">
        <v>56</v>
      </c>
      <c r="E1002" s="12">
        <v>4.3</v>
      </c>
      <c r="F1002" s="12">
        <v>0.02</v>
      </c>
      <c r="G1002" s="12"/>
    </row>
    <row r="1003" spans="1:7" x14ac:dyDescent="0.3">
      <c r="A1003" s="12" t="s">
        <v>215</v>
      </c>
      <c r="B1003" s="12" t="s">
        <v>101</v>
      </c>
      <c r="C1003" s="12">
        <v>4.28</v>
      </c>
      <c r="D1003" s="12" t="s">
        <v>111</v>
      </c>
      <c r="E1003" s="12">
        <v>4.28</v>
      </c>
      <c r="F1003" s="12">
        <v>0</v>
      </c>
      <c r="G1003" s="12" t="s">
        <v>367</v>
      </c>
    </row>
    <row r="1004" spans="1:7" x14ac:dyDescent="0.3">
      <c r="A1004" s="12" t="s">
        <v>215</v>
      </c>
      <c r="B1004" s="12" t="s">
        <v>101</v>
      </c>
      <c r="C1004" s="12">
        <v>4.28</v>
      </c>
      <c r="D1004" s="12" t="s">
        <v>141</v>
      </c>
      <c r="E1004" s="12">
        <v>4.29</v>
      </c>
      <c r="F1004" s="12">
        <v>0.01</v>
      </c>
      <c r="G1004" s="12"/>
    </row>
    <row r="1005" spans="1:7" x14ac:dyDescent="0.3">
      <c r="A1005" s="12" t="s">
        <v>215</v>
      </c>
      <c r="B1005" s="12" t="s">
        <v>101</v>
      </c>
      <c r="C1005" s="12">
        <v>4.28</v>
      </c>
      <c r="D1005" s="12" t="s">
        <v>161</v>
      </c>
      <c r="E1005" s="12">
        <v>4.29</v>
      </c>
      <c r="F1005" s="12">
        <v>0.01</v>
      </c>
      <c r="G1005" s="12"/>
    </row>
    <row r="1006" spans="1:7" x14ac:dyDescent="0.3">
      <c r="A1006" s="12" t="s">
        <v>215</v>
      </c>
      <c r="B1006" s="12" t="s">
        <v>101</v>
      </c>
      <c r="C1006" s="12">
        <v>4.28</v>
      </c>
      <c r="D1006" s="12" t="s">
        <v>76</v>
      </c>
      <c r="E1006" s="12">
        <v>4.29</v>
      </c>
      <c r="F1006" s="12">
        <v>0.01</v>
      </c>
      <c r="G1006" s="12"/>
    </row>
    <row r="1007" spans="1:7" x14ac:dyDescent="0.3">
      <c r="A1007" s="12" t="s">
        <v>215</v>
      </c>
      <c r="B1007" s="12" t="s">
        <v>101</v>
      </c>
      <c r="C1007" s="12">
        <v>4.28</v>
      </c>
      <c r="D1007" s="12" t="s">
        <v>56</v>
      </c>
      <c r="E1007" s="12">
        <v>4.3</v>
      </c>
      <c r="F1007" s="12">
        <v>0.02</v>
      </c>
      <c r="G1007" s="12"/>
    </row>
    <row r="1008" spans="1:7" x14ac:dyDescent="0.3">
      <c r="A1008" s="12" t="s">
        <v>215</v>
      </c>
      <c r="B1008" s="12" t="s">
        <v>111</v>
      </c>
      <c r="C1008" s="12">
        <v>4.28</v>
      </c>
      <c r="D1008" s="12" t="s">
        <v>141</v>
      </c>
      <c r="E1008" s="12">
        <v>4.29</v>
      </c>
      <c r="F1008" s="12">
        <v>0.01</v>
      </c>
      <c r="G1008" s="12"/>
    </row>
    <row r="1009" spans="1:7" x14ac:dyDescent="0.3">
      <c r="A1009" s="12" t="s">
        <v>215</v>
      </c>
      <c r="B1009" s="12" t="s">
        <v>111</v>
      </c>
      <c r="C1009" s="12">
        <v>4.28</v>
      </c>
      <c r="D1009" s="12" t="s">
        <v>161</v>
      </c>
      <c r="E1009" s="12">
        <v>4.29</v>
      </c>
      <c r="F1009" s="12">
        <v>0.01</v>
      </c>
      <c r="G1009" s="12"/>
    </row>
    <row r="1010" spans="1:7" x14ac:dyDescent="0.3">
      <c r="A1010" s="12" t="s">
        <v>215</v>
      </c>
      <c r="B1010" s="12" t="s">
        <v>111</v>
      </c>
      <c r="C1010" s="12">
        <v>4.28</v>
      </c>
      <c r="D1010" s="12" t="s">
        <v>76</v>
      </c>
      <c r="E1010" s="12">
        <v>4.29</v>
      </c>
      <c r="F1010" s="12">
        <v>0.01</v>
      </c>
      <c r="G1010" s="12"/>
    </row>
    <row r="1011" spans="1:7" x14ac:dyDescent="0.3">
      <c r="A1011" s="12" t="s">
        <v>215</v>
      </c>
      <c r="B1011" s="12" t="s">
        <v>111</v>
      </c>
      <c r="C1011" s="12">
        <v>4.28</v>
      </c>
      <c r="D1011" s="12" t="s">
        <v>56</v>
      </c>
      <c r="E1011" s="12">
        <v>4.3</v>
      </c>
      <c r="F1011" s="12">
        <v>0.02</v>
      </c>
      <c r="G1011" s="12"/>
    </row>
    <row r="1012" spans="1:7" x14ac:dyDescent="0.3">
      <c r="A1012" s="12" t="s">
        <v>215</v>
      </c>
      <c r="B1012" s="12" t="s">
        <v>141</v>
      </c>
      <c r="C1012" s="12">
        <v>4.29</v>
      </c>
      <c r="D1012" s="12" t="s">
        <v>161</v>
      </c>
      <c r="E1012" s="12">
        <v>4.29</v>
      </c>
      <c r="F1012" s="12">
        <v>0</v>
      </c>
      <c r="G1012" s="12" t="s">
        <v>367</v>
      </c>
    </row>
    <row r="1013" spans="1:7" x14ac:dyDescent="0.3">
      <c r="A1013" s="12" t="s">
        <v>215</v>
      </c>
      <c r="B1013" s="12" t="s">
        <v>141</v>
      </c>
      <c r="C1013" s="12">
        <v>4.29</v>
      </c>
      <c r="D1013" s="12" t="s">
        <v>76</v>
      </c>
      <c r="E1013" s="12">
        <v>4.29</v>
      </c>
      <c r="F1013" s="12">
        <v>0</v>
      </c>
      <c r="G1013" s="12" t="s">
        <v>367</v>
      </c>
    </row>
    <row r="1014" spans="1:7" x14ac:dyDescent="0.3">
      <c r="A1014" s="12" t="s">
        <v>215</v>
      </c>
      <c r="B1014" s="12" t="s">
        <v>141</v>
      </c>
      <c r="C1014" s="12">
        <v>4.29</v>
      </c>
      <c r="D1014" s="12" t="s">
        <v>56</v>
      </c>
      <c r="E1014" s="12">
        <v>4.3</v>
      </c>
      <c r="F1014" s="12">
        <v>0.01</v>
      </c>
      <c r="G1014" s="12"/>
    </row>
    <row r="1015" spans="1:7" x14ac:dyDescent="0.3">
      <c r="A1015" s="12" t="s">
        <v>215</v>
      </c>
      <c r="B1015" s="12" t="s">
        <v>141</v>
      </c>
      <c r="C1015" s="12">
        <v>4.29</v>
      </c>
      <c r="D1015" s="12" t="s">
        <v>66</v>
      </c>
      <c r="E1015" s="12">
        <v>4.3099999999999996</v>
      </c>
      <c r="F1015" s="12">
        <v>0.02</v>
      </c>
      <c r="G1015" s="12"/>
    </row>
    <row r="1016" spans="1:7" x14ac:dyDescent="0.3">
      <c r="A1016" s="12" t="s">
        <v>215</v>
      </c>
      <c r="B1016" s="12" t="s">
        <v>141</v>
      </c>
      <c r="C1016" s="12">
        <v>4.29</v>
      </c>
      <c r="D1016" s="12" t="s">
        <v>86</v>
      </c>
      <c r="E1016" s="12">
        <v>4.3099999999999996</v>
      </c>
      <c r="F1016" s="12">
        <v>0.02</v>
      </c>
      <c r="G1016" s="12"/>
    </row>
    <row r="1017" spans="1:7" x14ac:dyDescent="0.3">
      <c r="A1017" s="12" t="s">
        <v>215</v>
      </c>
      <c r="B1017" s="12" t="s">
        <v>141</v>
      </c>
      <c r="C1017" s="12">
        <v>4.29</v>
      </c>
      <c r="D1017" s="12" t="s">
        <v>71</v>
      </c>
      <c r="E1017" s="12">
        <v>4.3099999999999996</v>
      </c>
      <c r="F1017" s="12">
        <v>0.02</v>
      </c>
      <c r="G1017" s="12"/>
    </row>
    <row r="1018" spans="1:7" x14ac:dyDescent="0.3">
      <c r="A1018" s="12" t="s">
        <v>215</v>
      </c>
      <c r="B1018" s="12" t="s">
        <v>141</v>
      </c>
      <c r="C1018" s="12">
        <v>4.29</v>
      </c>
      <c r="D1018" s="12" t="s">
        <v>136</v>
      </c>
      <c r="E1018" s="12">
        <v>4.3099999999999996</v>
      </c>
      <c r="F1018" s="12">
        <v>0.02</v>
      </c>
      <c r="G1018" s="12"/>
    </row>
    <row r="1019" spans="1:7" x14ac:dyDescent="0.3">
      <c r="A1019" s="12" t="s">
        <v>215</v>
      </c>
      <c r="B1019" s="12" t="s">
        <v>161</v>
      </c>
      <c r="C1019" s="12">
        <v>4.29</v>
      </c>
      <c r="D1019" s="12" t="s">
        <v>76</v>
      </c>
      <c r="E1019" s="12">
        <v>4.29</v>
      </c>
      <c r="F1019" s="12">
        <v>0</v>
      </c>
      <c r="G1019" s="12" t="s">
        <v>367</v>
      </c>
    </row>
    <row r="1020" spans="1:7" x14ac:dyDescent="0.3">
      <c r="A1020" s="12" t="s">
        <v>215</v>
      </c>
      <c r="B1020" s="12" t="s">
        <v>161</v>
      </c>
      <c r="C1020" s="12">
        <v>4.29</v>
      </c>
      <c r="D1020" s="12" t="s">
        <v>56</v>
      </c>
      <c r="E1020" s="12">
        <v>4.3</v>
      </c>
      <c r="F1020" s="12">
        <v>0.01</v>
      </c>
      <c r="G1020" s="12"/>
    </row>
    <row r="1021" spans="1:7" x14ac:dyDescent="0.3">
      <c r="A1021" s="12" t="s">
        <v>215</v>
      </c>
      <c r="B1021" s="12" t="s">
        <v>161</v>
      </c>
      <c r="C1021" s="12">
        <v>4.29</v>
      </c>
      <c r="D1021" s="12" t="s">
        <v>66</v>
      </c>
      <c r="E1021" s="12">
        <v>4.3099999999999996</v>
      </c>
      <c r="F1021" s="12">
        <v>0.02</v>
      </c>
      <c r="G1021" s="12"/>
    </row>
    <row r="1022" spans="1:7" x14ac:dyDescent="0.3">
      <c r="A1022" s="12" t="s">
        <v>215</v>
      </c>
      <c r="B1022" s="12" t="s">
        <v>161</v>
      </c>
      <c r="C1022" s="12">
        <v>4.29</v>
      </c>
      <c r="D1022" s="12" t="s">
        <v>86</v>
      </c>
      <c r="E1022" s="12">
        <v>4.3099999999999996</v>
      </c>
      <c r="F1022" s="12">
        <v>0.02</v>
      </c>
      <c r="G1022" s="12"/>
    </row>
    <row r="1023" spans="1:7" x14ac:dyDescent="0.3">
      <c r="A1023" s="12" t="s">
        <v>215</v>
      </c>
      <c r="B1023" s="12" t="s">
        <v>161</v>
      </c>
      <c r="C1023" s="12">
        <v>4.29</v>
      </c>
      <c r="D1023" s="12" t="s">
        <v>71</v>
      </c>
      <c r="E1023" s="12">
        <v>4.3099999999999996</v>
      </c>
      <c r="F1023" s="12">
        <v>0.02</v>
      </c>
      <c r="G1023" s="12"/>
    </row>
    <row r="1024" spans="1:7" x14ac:dyDescent="0.3">
      <c r="A1024" s="12" t="s">
        <v>215</v>
      </c>
      <c r="B1024" s="12" t="s">
        <v>161</v>
      </c>
      <c r="C1024" s="12">
        <v>4.29</v>
      </c>
      <c r="D1024" s="12" t="s">
        <v>136</v>
      </c>
      <c r="E1024" s="12">
        <v>4.3099999999999996</v>
      </c>
      <c r="F1024" s="12">
        <v>0.02</v>
      </c>
      <c r="G1024" s="12"/>
    </row>
    <row r="1025" spans="1:7" x14ac:dyDescent="0.3">
      <c r="A1025" s="12" t="s">
        <v>215</v>
      </c>
      <c r="B1025" s="12" t="s">
        <v>76</v>
      </c>
      <c r="C1025" s="12">
        <v>4.29</v>
      </c>
      <c r="D1025" s="12" t="s">
        <v>56</v>
      </c>
      <c r="E1025" s="12">
        <v>4.3</v>
      </c>
      <c r="F1025" s="12">
        <v>0.01</v>
      </c>
      <c r="G1025" s="12"/>
    </row>
    <row r="1026" spans="1:7" x14ac:dyDescent="0.3">
      <c r="A1026" s="12" t="s">
        <v>215</v>
      </c>
      <c r="B1026" s="12" t="s">
        <v>76</v>
      </c>
      <c r="C1026" s="12">
        <v>4.29</v>
      </c>
      <c r="D1026" s="12" t="s">
        <v>66</v>
      </c>
      <c r="E1026" s="12">
        <v>4.3099999999999996</v>
      </c>
      <c r="F1026" s="12">
        <v>0.02</v>
      </c>
      <c r="G1026" s="12"/>
    </row>
    <row r="1027" spans="1:7" x14ac:dyDescent="0.3">
      <c r="A1027" s="12" t="s">
        <v>215</v>
      </c>
      <c r="B1027" s="12" t="s">
        <v>76</v>
      </c>
      <c r="C1027" s="12">
        <v>4.29</v>
      </c>
      <c r="D1027" s="12" t="s">
        <v>86</v>
      </c>
      <c r="E1027" s="12">
        <v>4.3099999999999996</v>
      </c>
      <c r="F1027" s="12">
        <v>0.02</v>
      </c>
      <c r="G1027" s="12"/>
    </row>
    <row r="1028" spans="1:7" x14ac:dyDescent="0.3">
      <c r="A1028" s="12" t="s">
        <v>215</v>
      </c>
      <c r="B1028" s="12" t="s">
        <v>76</v>
      </c>
      <c r="C1028" s="12">
        <v>4.29</v>
      </c>
      <c r="D1028" s="12" t="s">
        <v>71</v>
      </c>
      <c r="E1028" s="12">
        <v>4.3099999999999996</v>
      </c>
      <c r="F1028" s="12">
        <v>0.02</v>
      </c>
      <c r="G1028" s="12"/>
    </row>
    <row r="1029" spans="1:7" x14ac:dyDescent="0.3">
      <c r="A1029" s="12" t="s">
        <v>215</v>
      </c>
      <c r="B1029" s="12" t="s">
        <v>76</v>
      </c>
      <c r="C1029" s="12">
        <v>4.29</v>
      </c>
      <c r="D1029" s="12" t="s">
        <v>136</v>
      </c>
      <c r="E1029" s="12">
        <v>4.3099999999999996</v>
      </c>
      <c r="F1029" s="12">
        <v>0.02</v>
      </c>
      <c r="G1029" s="12"/>
    </row>
    <row r="1030" spans="1:7" x14ac:dyDescent="0.3">
      <c r="A1030" s="12" t="s">
        <v>215</v>
      </c>
      <c r="B1030" s="12" t="s">
        <v>56</v>
      </c>
      <c r="C1030" s="12">
        <v>4.3</v>
      </c>
      <c r="D1030" s="12" t="s">
        <v>66</v>
      </c>
      <c r="E1030" s="12">
        <v>4.3099999999999996</v>
      </c>
      <c r="F1030" s="12">
        <v>0.01</v>
      </c>
      <c r="G1030" s="12"/>
    </row>
    <row r="1031" spans="1:7" x14ac:dyDescent="0.3">
      <c r="A1031" s="12" t="s">
        <v>215</v>
      </c>
      <c r="B1031" s="12" t="s">
        <v>56</v>
      </c>
      <c r="C1031" s="12">
        <v>4.3</v>
      </c>
      <c r="D1031" s="12" t="s">
        <v>86</v>
      </c>
      <c r="E1031" s="12">
        <v>4.3099999999999996</v>
      </c>
      <c r="F1031" s="12">
        <v>0.01</v>
      </c>
      <c r="G1031" s="12"/>
    </row>
    <row r="1032" spans="1:7" x14ac:dyDescent="0.3">
      <c r="A1032" s="12" t="s">
        <v>215</v>
      </c>
      <c r="B1032" s="12" t="s">
        <v>56</v>
      </c>
      <c r="C1032" s="12">
        <v>4.3</v>
      </c>
      <c r="D1032" s="12" t="s">
        <v>71</v>
      </c>
      <c r="E1032" s="12">
        <v>4.3099999999999996</v>
      </c>
      <c r="F1032" s="12">
        <v>0.01</v>
      </c>
      <c r="G1032" s="12"/>
    </row>
    <row r="1033" spans="1:7" x14ac:dyDescent="0.3">
      <c r="A1033" s="12" t="s">
        <v>215</v>
      </c>
      <c r="B1033" s="12" t="s">
        <v>56</v>
      </c>
      <c r="C1033" s="12">
        <v>4.3</v>
      </c>
      <c r="D1033" s="12" t="s">
        <v>136</v>
      </c>
      <c r="E1033" s="12">
        <v>4.3099999999999996</v>
      </c>
      <c r="F1033" s="12">
        <v>0.01</v>
      </c>
      <c r="G1033" s="12"/>
    </row>
    <row r="1034" spans="1:7" x14ac:dyDescent="0.3">
      <c r="A1034" s="12" t="s">
        <v>215</v>
      </c>
      <c r="B1034" s="12" t="s">
        <v>66</v>
      </c>
      <c r="C1034" s="12">
        <v>4.3099999999999996</v>
      </c>
      <c r="D1034" s="12" t="s">
        <v>86</v>
      </c>
      <c r="E1034" s="12">
        <v>4.3099999999999996</v>
      </c>
      <c r="F1034" s="12">
        <v>0</v>
      </c>
      <c r="G1034" s="12" t="s">
        <v>367</v>
      </c>
    </row>
    <row r="1035" spans="1:7" x14ac:dyDescent="0.3">
      <c r="A1035" s="12" t="s">
        <v>215</v>
      </c>
      <c r="B1035" s="12" t="s">
        <v>66</v>
      </c>
      <c r="C1035" s="12">
        <v>4.3099999999999996</v>
      </c>
      <c r="D1035" s="12" t="s">
        <v>71</v>
      </c>
      <c r="E1035" s="12">
        <v>4.3099999999999996</v>
      </c>
      <c r="F1035" s="12">
        <v>0</v>
      </c>
      <c r="G1035" s="12" t="s">
        <v>367</v>
      </c>
    </row>
    <row r="1036" spans="1:7" x14ac:dyDescent="0.3">
      <c r="A1036" s="12" t="s">
        <v>215</v>
      </c>
      <c r="B1036" s="12" t="s">
        <v>66</v>
      </c>
      <c r="C1036" s="12">
        <v>4.3099999999999996</v>
      </c>
      <c r="D1036" s="12" t="s">
        <v>136</v>
      </c>
      <c r="E1036" s="12">
        <v>4.3099999999999996</v>
      </c>
      <c r="F1036" s="12">
        <v>0</v>
      </c>
      <c r="G1036" s="12" t="s">
        <v>367</v>
      </c>
    </row>
    <row r="1037" spans="1:7" x14ac:dyDescent="0.3">
      <c r="A1037" s="12" t="s">
        <v>215</v>
      </c>
      <c r="B1037" s="12" t="s">
        <v>66</v>
      </c>
      <c r="C1037" s="12">
        <v>4.3099999999999996</v>
      </c>
      <c r="D1037" s="12" t="s">
        <v>41</v>
      </c>
      <c r="E1037" s="12">
        <v>4.32</v>
      </c>
      <c r="F1037" s="12">
        <v>0.01</v>
      </c>
      <c r="G1037" s="12"/>
    </row>
    <row r="1038" spans="1:7" x14ac:dyDescent="0.3">
      <c r="A1038" s="12" t="s">
        <v>215</v>
      </c>
      <c r="B1038" s="12" t="s">
        <v>66</v>
      </c>
      <c r="C1038" s="12">
        <v>4.3099999999999996</v>
      </c>
      <c r="D1038" s="12" t="s">
        <v>51</v>
      </c>
      <c r="E1038" s="12">
        <v>4.32</v>
      </c>
      <c r="F1038" s="12">
        <v>0.01</v>
      </c>
      <c r="G1038" s="12"/>
    </row>
    <row r="1039" spans="1:7" x14ac:dyDescent="0.3">
      <c r="A1039" s="12" t="s">
        <v>215</v>
      </c>
      <c r="B1039" s="12" t="s">
        <v>66</v>
      </c>
      <c r="C1039" s="12">
        <v>4.3099999999999996</v>
      </c>
      <c r="D1039" s="12" t="s">
        <v>171</v>
      </c>
      <c r="E1039" s="12">
        <v>4.32</v>
      </c>
      <c r="F1039" s="12">
        <v>0.01</v>
      </c>
      <c r="G1039" s="12"/>
    </row>
    <row r="1040" spans="1:7" x14ac:dyDescent="0.3">
      <c r="A1040" s="12" t="s">
        <v>215</v>
      </c>
      <c r="B1040" s="12" t="s">
        <v>66</v>
      </c>
      <c r="C1040" s="12">
        <v>4.3099999999999996</v>
      </c>
      <c r="D1040" s="12" t="s">
        <v>106</v>
      </c>
      <c r="E1040" s="12">
        <v>4.32</v>
      </c>
      <c r="F1040" s="12">
        <v>0.01</v>
      </c>
      <c r="G1040" s="12"/>
    </row>
    <row r="1041" spans="1:7" x14ac:dyDescent="0.3">
      <c r="A1041" s="12" t="s">
        <v>215</v>
      </c>
      <c r="B1041" s="12" t="s">
        <v>66</v>
      </c>
      <c r="C1041" s="12">
        <v>4.3099999999999996</v>
      </c>
      <c r="D1041" s="12" t="s">
        <v>131</v>
      </c>
      <c r="E1041" s="12">
        <v>4.32</v>
      </c>
      <c r="F1041" s="12">
        <v>0.01</v>
      </c>
      <c r="G1041" s="12"/>
    </row>
    <row r="1042" spans="1:7" x14ac:dyDescent="0.3">
      <c r="A1042" s="12" t="s">
        <v>215</v>
      </c>
      <c r="B1042" s="12" t="s">
        <v>66</v>
      </c>
      <c r="C1042" s="12">
        <v>4.3099999999999996</v>
      </c>
      <c r="D1042" s="12" t="s">
        <v>126</v>
      </c>
      <c r="E1042" s="12">
        <v>4.32</v>
      </c>
      <c r="F1042" s="12">
        <v>0.01</v>
      </c>
      <c r="G1042" s="12"/>
    </row>
    <row r="1043" spans="1:7" x14ac:dyDescent="0.3">
      <c r="A1043" s="12" t="s">
        <v>215</v>
      </c>
      <c r="B1043" s="12" t="s">
        <v>86</v>
      </c>
      <c r="C1043" s="12">
        <v>4.3099999999999996</v>
      </c>
      <c r="D1043" s="12" t="s">
        <v>71</v>
      </c>
      <c r="E1043" s="12">
        <v>4.3099999999999996</v>
      </c>
      <c r="F1043" s="12">
        <v>0</v>
      </c>
      <c r="G1043" s="12" t="s">
        <v>367</v>
      </c>
    </row>
    <row r="1044" spans="1:7" x14ac:dyDescent="0.3">
      <c r="A1044" s="12" t="s">
        <v>215</v>
      </c>
      <c r="B1044" s="12" t="s">
        <v>86</v>
      </c>
      <c r="C1044" s="12">
        <v>4.3099999999999996</v>
      </c>
      <c r="D1044" s="12" t="s">
        <v>136</v>
      </c>
      <c r="E1044" s="12">
        <v>4.3099999999999996</v>
      </c>
      <c r="F1044" s="12">
        <v>0</v>
      </c>
      <c r="G1044" s="12" t="s">
        <v>367</v>
      </c>
    </row>
    <row r="1045" spans="1:7" x14ac:dyDescent="0.3">
      <c r="A1045" s="12" t="s">
        <v>215</v>
      </c>
      <c r="B1045" s="12" t="s">
        <v>86</v>
      </c>
      <c r="C1045" s="12">
        <v>4.3099999999999996</v>
      </c>
      <c r="D1045" s="12" t="s">
        <v>41</v>
      </c>
      <c r="E1045" s="12">
        <v>4.32</v>
      </c>
      <c r="F1045" s="12">
        <v>0.01</v>
      </c>
      <c r="G1045" s="12"/>
    </row>
    <row r="1046" spans="1:7" x14ac:dyDescent="0.3">
      <c r="A1046" s="12" t="s">
        <v>215</v>
      </c>
      <c r="B1046" s="12" t="s">
        <v>86</v>
      </c>
      <c r="C1046" s="12">
        <v>4.3099999999999996</v>
      </c>
      <c r="D1046" s="12" t="s">
        <v>51</v>
      </c>
      <c r="E1046" s="12">
        <v>4.32</v>
      </c>
      <c r="F1046" s="12">
        <v>0.01</v>
      </c>
      <c r="G1046" s="12"/>
    </row>
    <row r="1047" spans="1:7" x14ac:dyDescent="0.3">
      <c r="A1047" s="12" t="s">
        <v>215</v>
      </c>
      <c r="B1047" s="12" t="s">
        <v>86</v>
      </c>
      <c r="C1047" s="12">
        <v>4.3099999999999996</v>
      </c>
      <c r="D1047" s="12" t="s">
        <v>171</v>
      </c>
      <c r="E1047" s="12">
        <v>4.32</v>
      </c>
      <c r="F1047" s="12">
        <v>0.01</v>
      </c>
      <c r="G1047" s="12"/>
    </row>
    <row r="1048" spans="1:7" x14ac:dyDescent="0.3">
      <c r="A1048" s="12" t="s">
        <v>215</v>
      </c>
      <c r="B1048" s="12" t="s">
        <v>86</v>
      </c>
      <c r="C1048" s="12">
        <v>4.3099999999999996</v>
      </c>
      <c r="D1048" s="12" t="s">
        <v>106</v>
      </c>
      <c r="E1048" s="12">
        <v>4.32</v>
      </c>
      <c r="F1048" s="12">
        <v>0.01</v>
      </c>
      <c r="G1048" s="12"/>
    </row>
    <row r="1049" spans="1:7" x14ac:dyDescent="0.3">
      <c r="A1049" s="12" t="s">
        <v>215</v>
      </c>
      <c r="B1049" s="12" t="s">
        <v>86</v>
      </c>
      <c r="C1049" s="12">
        <v>4.3099999999999996</v>
      </c>
      <c r="D1049" s="12" t="s">
        <v>131</v>
      </c>
      <c r="E1049" s="12">
        <v>4.32</v>
      </c>
      <c r="F1049" s="12">
        <v>0.01</v>
      </c>
      <c r="G1049" s="12"/>
    </row>
    <row r="1050" spans="1:7" x14ac:dyDescent="0.3">
      <c r="A1050" s="12" t="s">
        <v>215</v>
      </c>
      <c r="B1050" s="12" t="s">
        <v>86</v>
      </c>
      <c r="C1050" s="12">
        <v>4.3099999999999996</v>
      </c>
      <c r="D1050" s="12" t="s">
        <v>126</v>
      </c>
      <c r="E1050" s="12">
        <v>4.32</v>
      </c>
      <c r="F1050" s="12">
        <v>0.01</v>
      </c>
      <c r="G1050" s="12"/>
    </row>
    <row r="1051" spans="1:7" x14ac:dyDescent="0.3">
      <c r="A1051" s="12" t="s">
        <v>215</v>
      </c>
      <c r="B1051" s="12" t="s">
        <v>71</v>
      </c>
      <c r="C1051" s="12">
        <v>4.3099999999999996</v>
      </c>
      <c r="D1051" s="12" t="s">
        <v>136</v>
      </c>
      <c r="E1051" s="12">
        <v>4.3099999999999996</v>
      </c>
      <c r="F1051" s="12">
        <v>0</v>
      </c>
      <c r="G1051" s="12" t="s">
        <v>367</v>
      </c>
    </row>
    <row r="1052" spans="1:7" x14ac:dyDescent="0.3">
      <c r="A1052" s="12" t="s">
        <v>215</v>
      </c>
      <c r="B1052" s="12" t="s">
        <v>71</v>
      </c>
      <c r="C1052" s="12">
        <v>4.3099999999999996</v>
      </c>
      <c r="D1052" s="12" t="s">
        <v>41</v>
      </c>
      <c r="E1052" s="12">
        <v>4.32</v>
      </c>
      <c r="F1052" s="12">
        <v>0.01</v>
      </c>
      <c r="G1052" s="12"/>
    </row>
    <row r="1053" spans="1:7" x14ac:dyDescent="0.3">
      <c r="A1053" s="12" t="s">
        <v>215</v>
      </c>
      <c r="B1053" s="12" t="s">
        <v>71</v>
      </c>
      <c r="C1053" s="12">
        <v>4.3099999999999996</v>
      </c>
      <c r="D1053" s="12" t="s">
        <v>51</v>
      </c>
      <c r="E1053" s="12">
        <v>4.32</v>
      </c>
      <c r="F1053" s="12">
        <v>0.01</v>
      </c>
      <c r="G1053" s="12"/>
    </row>
    <row r="1054" spans="1:7" x14ac:dyDescent="0.3">
      <c r="A1054" s="12" t="s">
        <v>215</v>
      </c>
      <c r="B1054" s="12" t="s">
        <v>71</v>
      </c>
      <c r="C1054" s="12">
        <v>4.3099999999999996</v>
      </c>
      <c r="D1054" s="12" t="s">
        <v>171</v>
      </c>
      <c r="E1054" s="12">
        <v>4.32</v>
      </c>
      <c r="F1054" s="12">
        <v>0.01</v>
      </c>
      <c r="G1054" s="12"/>
    </row>
    <row r="1055" spans="1:7" x14ac:dyDescent="0.3">
      <c r="A1055" s="12" t="s">
        <v>215</v>
      </c>
      <c r="B1055" s="12" t="s">
        <v>71</v>
      </c>
      <c r="C1055" s="12">
        <v>4.3099999999999996</v>
      </c>
      <c r="D1055" s="12" t="s">
        <v>106</v>
      </c>
      <c r="E1055" s="12">
        <v>4.32</v>
      </c>
      <c r="F1055" s="12">
        <v>0.01</v>
      </c>
      <c r="G1055" s="12"/>
    </row>
    <row r="1056" spans="1:7" x14ac:dyDescent="0.3">
      <c r="A1056" s="12" t="s">
        <v>215</v>
      </c>
      <c r="B1056" s="12" t="s">
        <v>71</v>
      </c>
      <c r="C1056" s="12">
        <v>4.3099999999999996</v>
      </c>
      <c r="D1056" s="12" t="s">
        <v>131</v>
      </c>
      <c r="E1056" s="12">
        <v>4.32</v>
      </c>
      <c r="F1056" s="12">
        <v>0.01</v>
      </c>
      <c r="G1056" s="12"/>
    </row>
    <row r="1057" spans="1:7" x14ac:dyDescent="0.3">
      <c r="A1057" s="12" t="s">
        <v>215</v>
      </c>
      <c r="B1057" s="12" t="s">
        <v>71</v>
      </c>
      <c r="C1057" s="12">
        <v>4.3099999999999996</v>
      </c>
      <c r="D1057" s="12" t="s">
        <v>126</v>
      </c>
      <c r="E1057" s="12">
        <v>4.32</v>
      </c>
      <c r="F1057" s="12">
        <v>0.01</v>
      </c>
      <c r="G1057" s="12"/>
    </row>
    <row r="1058" spans="1:7" x14ac:dyDescent="0.3">
      <c r="A1058" s="12" t="s">
        <v>215</v>
      </c>
      <c r="B1058" s="12" t="s">
        <v>136</v>
      </c>
      <c r="C1058" s="12">
        <v>4.3099999999999996</v>
      </c>
      <c r="D1058" s="12" t="s">
        <v>41</v>
      </c>
      <c r="E1058" s="12">
        <v>4.32</v>
      </c>
      <c r="F1058" s="12">
        <v>0.01</v>
      </c>
      <c r="G1058" s="12"/>
    </row>
    <row r="1059" spans="1:7" x14ac:dyDescent="0.3">
      <c r="A1059" s="12" t="s">
        <v>215</v>
      </c>
      <c r="B1059" s="12" t="s">
        <v>136</v>
      </c>
      <c r="C1059" s="12">
        <v>4.3099999999999996</v>
      </c>
      <c r="D1059" s="12" t="s">
        <v>51</v>
      </c>
      <c r="E1059" s="12">
        <v>4.32</v>
      </c>
      <c r="F1059" s="12">
        <v>0.01</v>
      </c>
      <c r="G1059" s="12"/>
    </row>
    <row r="1060" spans="1:7" x14ac:dyDescent="0.3">
      <c r="A1060" s="12" t="s">
        <v>215</v>
      </c>
      <c r="B1060" s="12" t="s">
        <v>136</v>
      </c>
      <c r="C1060" s="12">
        <v>4.3099999999999996</v>
      </c>
      <c r="D1060" s="12" t="s">
        <v>171</v>
      </c>
      <c r="E1060" s="12">
        <v>4.32</v>
      </c>
      <c r="F1060" s="12">
        <v>0.01</v>
      </c>
      <c r="G1060" s="12"/>
    </row>
    <row r="1061" spans="1:7" x14ac:dyDescent="0.3">
      <c r="A1061" s="12" t="s">
        <v>215</v>
      </c>
      <c r="B1061" s="12" t="s">
        <v>136</v>
      </c>
      <c r="C1061" s="12">
        <v>4.3099999999999996</v>
      </c>
      <c r="D1061" s="12" t="s">
        <v>106</v>
      </c>
      <c r="E1061" s="12">
        <v>4.32</v>
      </c>
      <c r="F1061" s="12">
        <v>0.01</v>
      </c>
      <c r="G1061" s="12"/>
    </row>
    <row r="1062" spans="1:7" x14ac:dyDescent="0.3">
      <c r="A1062" s="12" t="s">
        <v>215</v>
      </c>
      <c r="B1062" s="12" t="s">
        <v>136</v>
      </c>
      <c r="C1062" s="12">
        <v>4.3099999999999996</v>
      </c>
      <c r="D1062" s="12" t="s">
        <v>131</v>
      </c>
      <c r="E1062" s="12">
        <v>4.32</v>
      </c>
      <c r="F1062" s="12">
        <v>0.01</v>
      </c>
      <c r="G1062" s="12"/>
    </row>
    <row r="1063" spans="1:7" x14ac:dyDescent="0.3">
      <c r="A1063" s="12" t="s">
        <v>215</v>
      </c>
      <c r="B1063" s="12" t="s">
        <v>136</v>
      </c>
      <c r="C1063" s="12">
        <v>4.3099999999999996</v>
      </c>
      <c r="D1063" s="12" t="s">
        <v>126</v>
      </c>
      <c r="E1063" s="12">
        <v>4.32</v>
      </c>
      <c r="F1063" s="12">
        <v>0.01</v>
      </c>
      <c r="G1063" s="12"/>
    </row>
    <row r="1064" spans="1:7" x14ac:dyDescent="0.3">
      <c r="A1064" s="12" t="s">
        <v>215</v>
      </c>
      <c r="B1064" s="12" t="s">
        <v>41</v>
      </c>
      <c r="C1064" s="12">
        <v>4.32</v>
      </c>
      <c r="D1064" s="12" t="s">
        <v>51</v>
      </c>
      <c r="E1064" s="12">
        <v>4.32</v>
      </c>
      <c r="F1064" s="12">
        <v>0</v>
      </c>
      <c r="G1064" s="12" t="s">
        <v>367</v>
      </c>
    </row>
    <row r="1065" spans="1:7" x14ac:dyDescent="0.3">
      <c r="A1065" s="12" t="s">
        <v>215</v>
      </c>
      <c r="B1065" s="12" t="s">
        <v>41</v>
      </c>
      <c r="C1065" s="12">
        <v>4.32</v>
      </c>
      <c r="D1065" s="12" t="s">
        <v>171</v>
      </c>
      <c r="E1065" s="12">
        <v>4.32</v>
      </c>
      <c r="F1065" s="12">
        <v>0</v>
      </c>
      <c r="G1065" s="12" t="s">
        <v>367</v>
      </c>
    </row>
    <row r="1066" spans="1:7" x14ac:dyDescent="0.3">
      <c r="A1066" s="12" t="s">
        <v>215</v>
      </c>
      <c r="B1066" s="12" t="s">
        <v>41</v>
      </c>
      <c r="C1066" s="12">
        <v>4.32</v>
      </c>
      <c r="D1066" s="12" t="s">
        <v>106</v>
      </c>
      <c r="E1066" s="12">
        <v>4.32</v>
      </c>
      <c r="F1066" s="12">
        <v>0</v>
      </c>
      <c r="G1066" s="12" t="s">
        <v>367</v>
      </c>
    </row>
    <row r="1067" spans="1:7" x14ac:dyDescent="0.3">
      <c r="A1067" s="12" t="s">
        <v>215</v>
      </c>
      <c r="B1067" s="12" t="s">
        <v>41</v>
      </c>
      <c r="C1067" s="12">
        <v>4.32</v>
      </c>
      <c r="D1067" s="12" t="s">
        <v>131</v>
      </c>
      <c r="E1067" s="12">
        <v>4.32</v>
      </c>
      <c r="F1067" s="12">
        <v>0</v>
      </c>
      <c r="G1067" s="12" t="s">
        <v>367</v>
      </c>
    </row>
    <row r="1068" spans="1:7" x14ac:dyDescent="0.3">
      <c r="A1068" s="12" t="s">
        <v>215</v>
      </c>
      <c r="B1068" s="12" t="s">
        <v>41</v>
      </c>
      <c r="C1068" s="12">
        <v>4.32</v>
      </c>
      <c r="D1068" s="12" t="s">
        <v>126</v>
      </c>
      <c r="E1068" s="12">
        <v>4.32</v>
      </c>
      <c r="F1068" s="12">
        <v>0</v>
      </c>
      <c r="G1068" s="12" t="s">
        <v>367</v>
      </c>
    </row>
    <row r="1069" spans="1:7" x14ac:dyDescent="0.3">
      <c r="A1069" s="12" t="s">
        <v>215</v>
      </c>
      <c r="B1069" s="12" t="s">
        <v>41</v>
      </c>
      <c r="C1069" s="12">
        <v>4.32</v>
      </c>
      <c r="D1069" s="12" t="s">
        <v>166</v>
      </c>
      <c r="E1069" s="12">
        <v>4.33</v>
      </c>
      <c r="F1069" s="12">
        <v>0.01</v>
      </c>
      <c r="G1069" s="12"/>
    </row>
    <row r="1070" spans="1:7" x14ac:dyDescent="0.3">
      <c r="A1070" s="12" t="s">
        <v>215</v>
      </c>
      <c r="B1070" s="12" t="s">
        <v>41</v>
      </c>
      <c r="C1070" s="12">
        <v>4.32</v>
      </c>
      <c r="D1070" s="12" t="s">
        <v>146</v>
      </c>
      <c r="E1070" s="12">
        <v>4.33</v>
      </c>
      <c r="F1070" s="12">
        <v>0.01</v>
      </c>
      <c r="G1070" s="12"/>
    </row>
    <row r="1071" spans="1:7" x14ac:dyDescent="0.3">
      <c r="A1071" s="12" t="s">
        <v>215</v>
      </c>
      <c r="B1071" s="12" t="s">
        <v>41</v>
      </c>
      <c r="C1071" s="12">
        <v>4.32</v>
      </c>
      <c r="D1071" s="12" t="s">
        <v>91</v>
      </c>
      <c r="E1071" s="12">
        <v>4.34</v>
      </c>
      <c r="F1071" s="12">
        <v>0.02</v>
      </c>
      <c r="G1071" s="12"/>
    </row>
    <row r="1072" spans="1:7" x14ac:dyDescent="0.3">
      <c r="A1072" s="12" t="s">
        <v>215</v>
      </c>
      <c r="B1072" s="12" t="s">
        <v>51</v>
      </c>
      <c r="C1072" s="12">
        <v>4.32</v>
      </c>
      <c r="D1072" s="12" t="s">
        <v>171</v>
      </c>
      <c r="E1072" s="12">
        <v>4.32</v>
      </c>
      <c r="F1072" s="12">
        <v>0</v>
      </c>
      <c r="G1072" s="12" t="s">
        <v>367</v>
      </c>
    </row>
    <row r="1073" spans="1:7" x14ac:dyDescent="0.3">
      <c r="A1073" s="12" t="s">
        <v>215</v>
      </c>
      <c r="B1073" s="12" t="s">
        <v>51</v>
      </c>
      <c r="C1073" s="12">
        <v>4.32</v>
      </c>
      <c r="D1073" s="12" t="s">
        <v>106</v>
      </c>
      <c r="E1073" s="12">
        <v>4.32</v>
      </c>
      <c r="F1073" s="12">
        <v>0</v>
      </c>
      <c r="G1073" s="12" t="s">
        <v>367</v>
      </c>
    </row>
    <row r="1074" spans="1:7" x14ac:dyDescent="0.3">
      <c r="A1074" s="12" t="s">
        <v>215</v>
      </c>
      <c r="B1074" s="12" t="s">
        <v>51</v>
      </c>
      <c r="C1074" s="12">
        <v>4.32</v>
      </c>
      <c r="D1074" s="12" t="s">
        <v>131</v>
      </c>
      <c r="E1074" s="12">
        <v>4.32</v>
      </c>
      <c r="F1074" s="12">
        <v>0</v>
      </c>
      <c r="G1074" s="12" t="s">
        <v>367</v>
      </c>
    </row>
    <row r="1075" spans="1:7" x14ac:dyDescent="0.3">
      <c r="A1075" s="12" t="s">
        <v>215</v>
      </c>
      <c r="B1075" s="12" t="s">
        <v>51</v>
      </c>
      <c r="C1075" s="12">
        <v>4.32</v>
      </c>
      <c r="D1075" s="12" t="s">
        <v>126</v>
      </c>
      <c r="E1075" s="12">
        <v>4.32</v>
      </c>
      <c r="F1075" s="12">
        <v>0</v>
      </c>
      <c r="G1075" s="12" t="s">
        <v>367</v>
      </c>
    </row>
    <row r="1076" spans="1:7" x14ac:dyDescent="0.3">
      <c r="A1076" s="12" t="s">
        <v>215</v>
      </c>
      <c r="B1076" s="12" t="s">
        <v>51</v>
      </c>
      <c r="C1076" s="12">
        <v>4.32</v>
      </c>
      <c r="D1076" s="12" t="s">
        <v>166</v>
      </c>
      <c r="E1076" s="12">
        <v>4.33</v>
      </c>
      <c r="F1076" s="12">
        <v>0.01</v>
      </c>
      <c r="G1076" s="12"/>
    </row>
    <row r="1077" spans="1:7" x14ac:dyDescent="0.3">
      <c r="A1077" s="12" t="s">
        <v>215</v>
      </c>
      <c r="B1077" s="12" t="s">
        <v>51</v>
      </c>
      <c r="C1077" s="12">
        <v>4.32</v>
      </c>
      <c r="D1077" s="12" t="s">
        <v>146</v>
      </c>
      <c r="E1077" s="12">
        <v>4.33</v>
      </c>
      <c r="F1077" s="12">
        <v>0.01</v>
      </c>
      <c r="G1077" s="12"/>
    </row>
    <row r="1078" spans="1:7" x14ac:dyDescent="0.3">
      <c r="A1078" s="12" t="s">
        <v>215</v>
      </c>
      <c r="B1078" s="12" t="s">
        <v>51</v>
      </c>
      <c r="C1078" s="12">
        <v>4.32</v>
      </c>
      <c r="D1078" s="12" t="s">
        <v>91</v>
      </c>
      <c r="E1078" s="12">
        <v>4.34</v>
      </c>
      <c r="F1078" s="12">
        <v>0.02</v>
      </c>
      <c r="G1078" s="12"/>
    </row>
    <row r="1079" spans="1:7" x14ac:dyDescent="0.3">
      <c r="A1079" s="12" t="s">
        <v>215</v>
      </c>
      <c r="B1079" s="12" t="s">
        <v>171</v>
      </c>
      <c r="C1079" s="12">
        <v>4.32</v>
      </c>
      <c r="D1079" s="12" t="s">
        <v>106</v>
      </c>
      <c r="E1079" s="12">
        <v>4.32</v>
      </c>
      <c r="F1079" s="12">
        <v>0</v>
      </c>
      <c r="G1079" s="12" t="s">
        <v>367</v>
      </c>
    </row>
    <row r="1080" spans="1:7" x14ac:dyDescent="0.3">
      <c r="A1080" s="12" t="s">
        <v>215</v>
      </c>
      <c r="B1080" s="12" t="s">
        <v>171</v>
      </c>
      <c r="C1080" s="12">
        <v>4.32</v>
      </c>
      <c r="D1080" s="12" t="s">
        <v>131</v>
      </c>
      <c r="E1080" s="12">
        <v>4.32</v>
      </c>
      <c r="F1080" s="12">
        <v>0</v>
      </c>
      <c r="G1080" s="12" t="s">
        <v>367</v>
      </c>
    </row>
    <row r="1081" spans="1:7" x14ac:dyDescent="0.3">
      <c r="A1081" s="12" t="s">
        <v>215</v>
      </c>
      <c r="B1081" s="12" t="s">
        <v>171</v>
      </c>
      <c r="C1081" s="12">
        <v>4.32</v>
      </c>
      <c r="D1081" s="12" t="s">
        <v>126</v>
      </c>
      <c r="E1081" s="12">
        <v>4.32</v>
      </c>
      <c r="F1081" s="12">
        <v>0</v>
      </c>
      <c r="G1081" s="12" t="s">
        <v>367</v>
      </c>
    </row>
    <row r="1082" spans="1:7" x14ac:dyDescent="0.3">
      <c r="A1082" s="12" t="s">
        <v>215</v>
      </c>
      <c r="B1082" s="12" t="s">
        <v>171</v>
      </c>
      <c r="C1082" s="12">
        <v>4.32</v>
      </c>
      <c r="D1082" s="12" t="s">
        <v>166</v>
      </c>
      <c r="E1082" s="12">
        <v>4.33</v>
      </c>
      <c r="F1082" s="12">
        <v>0.01</v>
      </c>
      <c r="G1082" s="12"/>
    </row>
    <row r="1083" spans="1:7" x14ac:dyDescent="0.3">
      <c r="A1083" s="12" t="s">
        <v>215</v>
      </c>
      <c r="B1083" s="12" t="s">
        <v>171</v>
      </c>
      <c r="C1083" s="12">
        <v>4.32</v>
      </c>
      <c r="D1083" s="12" t="s">
        <v>146</v>
      </c>
      <c r="E1083" s="12">
        <v>4.33</v>
      </c>
      <c r="F1083" s="12">
        <v>0.01</v>
      </c>
      <c r="G1083" s="12"/>
    </row>
    <row r="1084" spans="1:7" x14ac:dyDescent="0.3">
      <c r="A1084" s="12" t="s">
        <v>215</v>
      </c>
      <c r="B1084" s="12" t="s">
        <v>171</v>
      </c>
      <c r="C1084" s="12">
        <v>4.32</v>
      </c>
      <c r="D1084" s="12" t="s">
        <v>91</v>
      </c>
      <c r="E1084" s="12">
        <v>4.34</v>
      </c>
      <c r="F1084" s="12">
        <v>0.02</v>
      </c>
      <c r="G1084" s="12"/>
    </row>
    <row r="1085" spans="1:7" x14ac:dyDescent="0.3">
      <c r="A1085" s="12" t="s">
        <v>215</v>
      </c>
      <c r="B1085" s="12" t="s">
        <v>106</v>
      </c>
      <c r="C1085" s="12">
        <v>4.32</v>
      </c>
      <c r="D1085" s="12" t="s">
        <v>131</v>
      </c>
      <c r="E1085" s="12">
        <v>4.32</v>
      </c>
      <c r="F1085" s="12">
        <v>0</v>
      </c>
      <c r="G1085" s="12" t="s">
        <v>367</v>
      </c>
    </row>
    <row r="1086" spans="1:7" x14ac:dyDescent="0.3">
      <c r="A1086" s="12" t="s">
        <v>215</v>
      </c>
      <c r="B1086" s="12" t="s">
        <v>106</v>
      </c>
      <c r="C1086" s="12">
        <v>4.32</v>
      </c>
      <c r="D1086" s="12" t="s">
        <v>126</v>
      </c>
      <c r="E1086" s="12">
        <v>4.32</v>
      </c>
      <c r="F1086" s="12">
        <v>0</v>
      </c>
      <c r="G1086" s="12" t="s">
        <v>367</v>
      </c>
    </row>
    <row r="1087" spans="1:7" x14ac:dyDescent="0.3">
      <c r="A1087" s="12" t="s">
        <v>215</v>
      </c>
      <c r="B1087" s="12" t="s">
        <v>106</v>
      </c>
      <c r="C1087" s="12">
        <v>4.32</v>
      </c>
      <c r="D1087" s="12" t="s">
        <v>166</v>
      </c>
      <c r="E1087" s="12">
        <v>4.33</v>
      </c>
      <c r="F1087" s="12">
        <v>0.01</v>
      </c>
      <c r="G1087" s="12"/>
    </row>
    <row r="1088" spans="1:7" x14ac:dyDescent="0.3">
      <c r="A1088" s="12" t="s">
        <v>215</v>
      </c>
      <c r="B1088" s="12" t="s">
        <v>106</v>
      </c>
      <c r="C1088" s="12">
        <v>4.32</v>
      </c>
      <c r="D1088" s="12" t="s">
        <v>146</v>
      </c>
      <c r="E1088" s="12">
        <v>4.33</v>
      </c>
      <c r="F1088" s="12">
        <v>0.01</v>
      </c>
      <c r="G1088" s="12"/>
    </row>
    <row r="1089" spans="1:7" x14ac:dyDescent="0.3">
      <c r="A1089" s="12" t="s">
        <v>215</v>
      </c>
      <c r="B1089" s="12" t="s">
        <v>106</v>
      </c>
      <c r="C1089" s="12">
        <v>4.32</v>
      </c>
      <c r="D1089" s="12" t="s">
        <v>91</v>
      </c>
      <c r="E1089" s="12">
        <v>4.34</v>
      </c>
      <c r="F1089" s="12">
        <v>0.02</v>
      </c>
      <c r="G1089" s="12"/>
    </row>
    <row r="1090" spans="1:7" x14ac:dyDescent="0.3">
      <c r="A1090" s="12" t="s">
        <v>215</v>
      </c>
      <c r="B1090" s="12" t="s">
        <v>131</v>
      </c>
      <c r="C1090" s="12">
        <v>4.32</v>
      </c>
      <c r="D1090" s="12" t="s">
        <v>126</v>
      </c>
      <c r="E1090" s="12">
        <v>4.32</v>
      </c>
      <c r="F1090" s="12">
        <v>0</v>
      </c>
      <c r="G1090" s="12" t="s">
        <v>367</v>
      </c>
    </row>
    <row r="1091" spans="1:7" x14ac:dyDescent="0.3">
      <c r="A1091" s="12" t="s">
        <v>215</v>
      </c>
      <c r="B1091" s="12" t="s">
        <v>131</v>
      </c>
      <c r="C1091" s="12">
        <v>4.32</v>
      </c>
      <c r="D1091" s="12" t="s">
        <v>166</v>
      </c>
      <c r="E1091" s="12">
        <v>4.33</v>
      </c>
      <c r="F1091" s="12">
        <v>0.01</v>
      </c>
      <c r="G1091" s="12"/>
    </row>
    <row r="1092" spans="1:7" x14ac:dyDescent="0.3">
      <c r="A1092" s="12" t="s">
        <v>215</v>
      </c>
      <c r="B1092" s="12" t="s">
        <v>131</v>
      </c>
      <c r="C1092" s="12">
        <v>4.32</v>
      </c>
      <c r="D1092" s="12" t="s">
        <v>146</v>
      </c>
      <c r="E1092" s="12">
        <v>4.33</v>
      </c>
      <c r="F1092" s="12">
        <v>0.01</v>
      </c>
      <c r="G1092" s="12"/>
    </row>
    <row r="1093" spans="1:7" x14ac:dyDescent="0.3">
      <c r="A1093" s="12" t="s">
        <v>215</v>
      </c>
      <c r="B1093" s="12" t="s">
        <v>131</v>
      </c>
      <c r="C1093" s="12">
        <v>4.32</v>
      </c>
      <c r="D1093" s="12" t="s">
        <v>91</v>
      </c>
      <c r="E1093" s="12">
        <v>4.34</v>
      </c>
      <c r="F1093" s="12">
        <v>0.02</v>
      </c>
      <c r="G1093" s="12"/>
    </row>
    <row r="1094" spans="1:7" x14ac:dyDescent="0.3">
      <c r="A1094" s="12" t="s">
        <v>215</v>
      </c>
      <c r="B1094" s="12" t="s">
        <v>126</v>
      </c>
      <c r="C1094" s="12">
        <v>4.32</v>
      </c>
      <c r="D1094" s="12" t="s">
        <v>166</v>
      </c>
      <c r="E1094" s="12">
        <v>4.33</v>
      </c>
      <c r="F1094" s="12">
        <v>0.01</v>
      </c>
      <c r="G1094" s="12"/>
    </row>
    <row r="1095" spans="1:7" x14ac:dyDescent="0.3">
      <c r="A1095" s="12" t="s">
        <v>215</v>
      </c>
      <c r="B1095" s="12" t="s">
        <v>126</v>
      </c>
      <c r="C1095" s="12">
        <v>4.32</v>
      </c>
      <c r="D1095" s="12" t="s">
        <v>146</v>
      </c>
      <c r="E1095" s="12">
        <v>4.33</v>
      </c>
      <c r="F1095" s="12">
        <v>0.01</v>
      </c>
      <c r="G1095" s="12"/>
    </row>
    <row r="1096" spans="1:7" x14ac:dyDescent="0.3">
      <c r="A1096" s="12" t="s">
        <v>215</v>
      </c>
      <c r="B1096" s="12" t="s">
        <v>126</v>
      </c>
      <c r="C1096" s="12">
        <v>4.32</v>
      </c>
      <c r="D1096" s="12" t="s">
        <v>91</v>
      </c>
      <c r="E1096" s="12">
        <v>4.34</v>
      </c>
      <c r="F1096" s="12">
        <v>0.02</v>
      </c>
      <c r="G1096" s="12"/>
    </row>
    <row r="1097" spans="1:7" x14ac:dyDescent="0.3">
      <c r="A1097" s="12" t="s">
        <v>215</v>
      </c>
      <c r="B1097" s="12" t="s">
        <v>166</v>
      </c>
      <c r="C1097" s="12">
        <v>4.33</v>
      </c>
      <c r="D1097" s="12" t="s">
        <v>146</v>
      </c>
      <c r="E1097" s="12">
        <v>4.33</v>
      </c>
      <c r="F1097" s="12">
        <v>0</v>
      </c>
      <c r="G1097" s="12" t="s">
        <v>367</v>
      </c>
    </row>
    <row r="1098" spans="1:7" x14ac:dyDescent="0.3">
      <c r="A1098" s="12" t="s">
        <v>215</v>
      </c>
      <c r="B1098" s="12" t="s">
        <v>166</v>
      </c>
      <c r="C1098" s="12">
        <v>4.33</v>
      </c>
      <c r="D1098" s="12" t="s">
        <v>91</v>
      </c>
      <c r="E1098" s="12">
        <v>4.34</v>
      </c>
      <c r="F1098" s="12">
        <v>0.01</v>
      </c>
      <c r="G1098" s="12"/>
    </row>
    <row r="1099" spans="1:7" x14ac:dyDescent="0.3">
      <c r="A1099" s="12" t="s">
        <v>215</v>
      </c>
      <c r="B1099" s="12" t="s">
        <v>166</v>
      </c>
      <c r="C1099" s="12">
        <v>4.33</v>
      </c>
      <c r="D1099" s="12" t="s">
        <v>151</v>
      </c>
      <c r="E1099" s="12">
        <v>4.3499999999999996</v>
      </c>
      <c r="F1099" s="12">
        <v>0.02</v>
      </c>
      <c r="G1099" s="12"/>
    </row>
    <row r="1100" spans="1:7" x14ac:dyDescent="0.3">
      <c r="A1100" s="12" t="s">
        <v>215</v>
      </c>
      <c r="B1100" s="12" t="s">
        <v>166</v>
      </c>
      <c r="C1100" s="12">
        <v>4.33</v>
      </c>
      <c r="D1100" s="12" t="s">
        <v>176</v>
      </c>
      <c r="E1100" s="12">
        <v>4.3499999999999996</v>
      </c>
      <c r="F1100" s="12">
        <v>0.02</v>
      </c>
      <c r="G1100" s="12"/>
    </row>
    <row r="1101" spans="1:7" x14ac:dyDescent="0.3">
      <c r="A1101" s="12" t="s">
        <v>215</v>
      </c>
      <c r="B1101" s="12" t="s">
        <v>146</v>
      </c>
      <c r="C1101" s="12">
        <v>4.33</v>
      </c>
      <c r="D1101" s="12" t="s">
        <v>91</v>
      </c>
      <c r="E1101" s="12">
        <v>4.34</v>
      </c>
      <c r="F1101" s="12">
        <v>0.01</v>
      </c>
      <c r="G1101" s="12"/>
    </row>
    <row r="1102" spans="1:7" x14ac:dyDescent="0.3">
      <c r="A1102" s="12" t="s">
        <v>215</v>
      </c>
      <c r="B1102" s="12" t="s">
        <v>146</v>
      </c>
      <c r="C1102" s="12">
        <v>4.33</v>
      </c>
      <c r="D1102" s="12" t="s">
        <v>151</v>
      </c>
      <c r="E1102" s="12">
        <v>4.3499999999999996</v>
      </c>
      <c r="F1102" s="12">
        <v>0.02</v>
      </c>
      <c r="G1102" s="12"/>
    </row>
    <row r="1103" spans="1:7" x14ac:dyDescent="0.3">
      <c r="A1103" s="12" t="s">
        <v>215</v>
      </c>
      <c r="B1103" s="12" t="s">
        <v>146</v>
      </c>
      <c r="C1103" s="12">
        <v>4.33</v>
      </c>
      <c r="D1103" s="12" t="s">
        <v>176</v>
      </c>
      <c r="E1103" s="12">
        <v>4.3499999999999996</v>
      </c>
      <c r="F1103" s="12">
        <v>0.02</v>
      </c>
      <c r="G1103" s="12"/>
    </row>
    <row r="1104" spans="1:7" x14ac:dyDescent="0.3">
      <c r="A1104" s="12" t="s">
        <v>215</v>
      </c>
      <c r="B1104" s="12" t="s">
        <v>91</v>
      </c>
      <c r="C1104" s="12">
        <v>4.34</v>
      </c>
      <c r="D1104" s="12" t="s">
        <v>151</v>
      </c>
      <c r="E1104" s="12">
        <v>4.3499999999999996</v>
      </c>
      <c r="F1104" s="12">
        <v>0.01</v>
      </c>
      <c r="G1104" s="12"/>
    </row>
    <row r="1105" spans="1:7" x14ac:dyDescent="0.3">
      <c r="A1105" s="12" t="s">
        <v>215</v>
      </c>
      <c r="B1105" s="12" t="s">
        <v>91</v>
      </c>
      <c r="C1105" s="12">
        <v>4.34</v>
      </c>
      <c r="D1105" s="12" t="s">
        <v>176</v>
      </c>
      <c r="E1105" s="12">
        <v>4.3499999999999996</v>
      </c>
      <c r="F1105" s="12">
        <v>0.01</v>
      </c>
      <c r="G1105" s="12"/>
    </row>
    <row r="1106" spans="1:7" x14ac:dyDescent="0.3">
      <c r="A1106" s="12" t="s">
        <v>215</v>
      </c>
      <c r="B1106" s="12" t="s">
        <v>151</v>
      </c>
      <c r="C1106" s="12">
        <v>4.3499999999999996</v>
      </c>
      <c r="D1106" s="12" t="s">
        <v>176</v>
      </c>
      <c r="E1106" s="12">
        <v>4.3499999999999996</v>
      </c>
      <c r="F1106" s="12">
        <v>0</v>
      </c>
      <c r="G1106" s="12" t="s">
        <v>367</v>
      </c>
    </row>
    <row r="1107" spans="1:7" x14ac:dyDescent="0.3">
      <c r="A1107" s="12" t="s">
        <v>215</v>
      </c>
      <c r="B1107" s="12" t="s">
        <v>151</v>
      </c>
      <c r="C1107" s="12">
        <v>4.3499999999999996</v>
      </c>
      <c r="D1107" s="12" t="s">
        <v>181</v>
      </c>
      <c r="E1107" s="12">
        <v>4.3600000000000003</v>
      </c>
      <c r="F1107" s="12">
        <v>0.01</v>
      </c>
      <c r="G1107" s="12"/>
    </row>
    <row r="1108" spans="1:7" x14ac:dyDescent="0.3">
      <c r="A1108" s="12" t="s">
        <v>215</v>
      </c>
      <c r="B1108" s="12" t="s">
        <v>151</v>
      </c>
      <c r="C1108" s="12">
        <v>4.3499999999999996</v>
      </c>
      <c r="D1108" s="12" t="s">
        <v>186</v>
      </c>
      <c r="E1108" s="12">
        <v>4.3600000000000003</v>
      </c>
      <c r="F1108" s="12">
        <v>0.01</v>
      </c>
      <c r="G1108" s="12"/>
    </row>
    <row r="1109" spans="1:7" x14ac:dyDescent="0.3">
      <c r="A1109" s="12" t="s">
        <v>215</v>
      </c>
      <c r="B1109" s="12" t="s">
        <v>176</v>
      </c>
      <c r="C1109" s="12">
        <v>4.3499999999999996</v>
      </c>
      <c r="D1109" s="12" t="s">
        <v>181</v>
      </c>
      <c r="E1109" s="12">
        <v>4.3600000000000003</v>
      </c>
      <c r="F1109" s="12">
        <v>0.01</v>
      </c>
      <c r="G1109" s="12"/>
    </row>
    <row r="1110" spans="1:7" x14ac:dyDescent="0.3">
      <c r="A1110" s="12" t="s">
        <v>215</v>
      </c>
      <c r="B1110" s="12" t="s">
        <v>176</v>
      </c>
      <c r="C1110" s="12">
        <v>4.3499999999999996</v>
      </c>
      <c r="D1110" s="12" t="s">
        <v>186</v>
      </c>
      <c r="E1110" s="12">
        <v>4.3600000000000003</v>
      </c>
      <c r="F1110" s="12">
        <v>0.01</v>
      </c>
      <c r="G1110" s="12"/>
    </row>
    <row r="1111" spans="1:7" x14ac:dyDescent="0.3">
      <c r="A1111" s="12" t="s">
        <v>215</v>
      </c>
      <c r="B1111" s="12" t="s">
        <v>181</v>
      </c>
      <c r="C1111" s="12">
        <v>4.3600000000000003</v>
      </c>
      <c r="D1111" s="12" t="s">
        <v>186</v>
      </c>
      <c r="E1111" s="12">
        <v>4.3600000000000003</v>
      </c>
      <c r="F1111" s="12">
        <v>0</v>
      </c>
      <c r="G1111" s="12" t="s">
        <v>367</v>
      </c>
    </row>
    <row r="1112" spans="1:7" x14ac:dyDescent="0.3">
      <c r="A1112" s="12" t="s">
        <v>215</v>
      </c>
      <c r="B1112" s="12" t="s">
        <v>181</v>
      </c>
      <c r="C1112" s="12">
        <v>4.3600000000000003</v>
      </c>
      <c r="D1112" s="12" t="s">
        <v>156</v>
      </c>
      <c r="E1112" s="12">
        <v>4.37</v>
      </c>
      <c r="F1112" s="12">
        <v>0.01</v>
      </c>
      <c r="G1112" s="12"/>
    </row>
    <row r="1113" spans="1:7" x14ac:dyDescent="0.3">
      <c r="A1113" s="12" t="s">
        <v>215</v>
      </c>
      <c r="B1113" s="12" t="s">
        <v>186</v>
      </c>
      <c r="C1113" s="12">
        <v>4.3600000000000003</v>
      </c>
      <c r="D1113" s="12" t="s">
        <v>156</v>
      </c>
      <c r="E1113" s="12">
        <v>4.37</v>
      </c>
      <c r="F1113" s="12">
        <v>0.01</v>
      </c>
      <c r="G1113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Scheitlin</cp:lastModifiedBy>
  <cp:revision>0</cp:revision>
  <dcterms:created xsi:type="dcterms:W3CDTF">2026-09-25T08:15:01Z</dcterms:created>
  <dcterms:modified xsi:type="dcterms:W3CDTF">2026-09-25T11:22:26Z</dcterms:modified>
  <dc:language>en-US</dc:language>
</cp:coreProperties>
</file>