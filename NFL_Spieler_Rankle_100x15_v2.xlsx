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<sst xmlns="http://schemas.openxmlformats.org/spreadsheetml/2006/main" count="5886" uniqueCount="650">
  <si>
    <t xml:space="preserve">Spieler</t>
  </si>
  <si>
    <t xml:space="preserve">Geburtsdatum (Datum)</t>
  </si>
  <si>
    <t xml:space="preserve">Grösse (cm)</t>
  </si>
  <si>
    <t xml:space="preserve">Gewicht (kg)</t>
  </si>
  <si>
    <t xml:space="preserve">Draft-Jahr (Jahr)</t>
  </si>
  <si>
    <t xml:space="preserve">Draft-Position (Overall-Pick)</t>
  </si>
  <si>
    <t xml:space="preserve">Alter beim NFL-Debüt (Jahre)</t>
  </si>
  <si>
    <t xml:space="preserve">Playoff-Spiele Karriere (Spiele)</t>
  </si>
  <si>
    <t xml:space="preserve">Saisons im aktuellen Team (Saisons)</t>
  </si>
  <si>
    <t xml:space="preserve">Pro-Bowl-Nominierungen (Anzahl)</t>
  </si>
  <si>
    <t xml:space="preserve">First-Team All-Pro (Anzahl)</t>
  </si>
  <si>
    <t xml:space="preserve">Super-Bowl-Teilnahmen (Anzahl)</t>
  </si>
  <si>
    <t xml:space="preserve">Rückennummer (Nr.)</t>
  </si>
  <si>
    <t xml:space="preserve">Ø Jahresgehalt aktueller Vertrag (Mio. USD)</t>
  </si>
  <si>
    <t xml:space="preserve">Vertrag läuft bis (Saison)</t>
  </si>
  <si>
    <t xml:space="preserve">Einwohner Geburtsort (Tsd.)</t>
  </si>
  <si>
    <t xml:space="preserve">HILFSSPALTE: Team (Sept. 2026)</t>
  </si>
  <si>
    <t xml:space="preserve">HILFSSPALTE: Position</t>
  </si>
  <si>
    <t xml:space="preserve">HILFSSPALTE: Erste Saison beim aktuellen Team</t>
  </si>
  <si>
    <t xml:space="preserve">HILFSSPALTE: Geburtsort</t>
  </si>
  <si>
    <t xml:space="preserve">HILFSSPALTE: Anzahl NFL-Teams (Karriere)</t>
  </si>
  <si>
    <t xml:space="preserve">Anmerkung</t>
  </si>
  <si>
    <t xml:space="preserve">Patrick Mahomes</t>
  </si>
  <si>
    <t xml:space="preserve">Kansas City Chiefs</t>
  </si>
  <si>
    <t xml:space="preserve">QB</t>
  </si>
  <si>
    <t xml:space="preserve">Tyler, TX</t>
  </si>
  <si>
    <t xml:space="preserve">10-Jahres-Vertrag (450 Mio., 2020). 3 Super-Bowl-Siege (LIV, LVII, LVIII). Pro Bowls 2018–2023.</t>
  </si>
  <si>
    <t xml:space="preserve">Josh Allen</t>
  </si>
  <si>
    <t xml:space="preserve">Buffalo Bills</t>
  </si>
  <si>
    <t xml:space="preserve">Firebaugh, CA</t>
  </si>
  <si>
    <t xml:space="preserve">MVP 2024. Vertrag 6 J./330 Mio. (2025). Kleinste Heimatstadt der Liste.</t>
  </si>
  <si>
    <t xml:space="preserve">Lamar Jackson</t>
  </si>
  <si>
    <t xml:space="preserve">Baltimore Ravens</t>
  </si>
  <si>
    <t xml:space="preserve">Pompano Beach, FL</t>
  </si>
  <si>
    <t xml:space="preserve">Zweifacher MVP (2019, 2023). Letzter Pick der 1. Runde 2018.</t>
  </si>
  <si>
    <t xml:space="preserve">Joe Burrow</t>
  </si>
  <si>
    <t xml:space="preserve">Cincinnati Bengals</t>
  </si>
  <si>
    <t xml:space="preserve">Ames, IA</t>
  </si>
  <si>
    <t xml:space="preserve">Nr.-1-Pick 2020. Super Bowl LVI (Niederlage). Geboren in Ames, aufgewachsen in Athens, OH.</t>
  </si>
  <si>
    <t xml:space="preserve">Jalen Hurts</t>
  </si>
  <si>
    <t xml:space="preserve">Philadelphia Eagles</t>
  </si>
  <si>
    <t xml:space="preserve">Houston, TX</t>
  </si>
  <si>
    <t xml:space="preserve">Super-Bowl-LIX-MVP. Zweitrundenpick 2020. Grösste Heimatstadt (Houston).</t>
  </si>
  <si>
    <t xml:space="preserve">Justin Herbert</t>
  </si>
  <si>
    <t xml:space="preserve">Los Angeles Chargers</t>
  </si>
  <si>
    <t xml:space="preserve">Eugene, OR</t>
  </si>
  <si>
    <t xml:space="preserve">Grösster Spieler der Liste (198 cm). Offensive Rookie of the Year 2020.</t>
  </si>
  <si>
    <t xml:space="preserve">C.J. Stroud</t>
  </si>
  <si>
    <t xml:space="preserve">Houston Texans</t>
  </si>
  <si>
    <t xml:space="preserve">Rancho Cucamonga, CA</t>
  </si>
  <si>
    <t xml:space="preserve">Rookie-Vertrag (4 J./36,3 Mio.), Fifth-Year-Option 2027 möglich – Verlängerung 2026 vor Livegang prüfen.</t>
  </si>
  <si>
    <t xml:space="preserve">Jayden Daniels</t>
  </si>
  <si>
    <t xml:space="preserve">Washington Commanders</t>
  </si>
  <si>
    <t xml:space="preserve">San Bernardino, CA</t>
  </si>
  <si>
    <t xml:space="preserve">Heisman 2023, Offensive Rookie of the Year 2024. Rookie-Vertrag 4 J./37,7 Mio.</t>
  </si>
  <si>
    <t xml:space="preserve">Drake Maye</t>
  </si>
  <si>
    <t xml:space="preserve">New England Patriots</t>
  </si>
  <si>
    <t xml:space="preserve">Charlotte, NC</t>
  </si>
  <si>
    <t xml:space="preserve">Super Bowl LX (Niederlage). Pro-Bowl-Stand bis Saison 2024 = 0 – Saison 2025 vor Livegang ergänzen. Jüngster QB der Liste.</t>
  </si>
  <si>
    <t xml:space="preserve">Caleb Williams</t>
  </si>
  <si>
    <t xml:space="preserve">Chicago Bears</t>
  </si>
  <si>
    <t xml:space="preserve">Washington, D.C.</t>
  </si>
  <si>
    <t xml:space="preserve">Nr.-1-Pick 2024, Heisman 2022. Erster Playoff-Sieg der Bears seit 2011 (Jan. 2026).</t>
  </si>
  <si>
    <t xml:space="preserve">Jordan Love</t>
  </si>
  <si>
    <t xml:space="preserve">Green Bay Packers</t>
  </si>
  <si>
    <t xml:space="preserve">Bakersfield, CA</t>
  </si>
  <si>
    <t xml:space="preserve">Drei Jahre Backup hinter Rodgers, Starter seit 2023. Vertrag 4 J./220 Mio. (2024).</t>
  </si>
  <si>
    <t xml:space="preserve">Brock Purdy</t>
  </si>
  <si>
    <t xml:space="preserve">San Francisco 49ers</t>
  </si>
  <si>
    <t xml:space="preserve">Queen Creek, AZ</t>
  </si>
  <si>
    <t xml:space="preserve">'Mr. Irrelevant' – letzter Pick des Drafts 2022 (Nr. 262). Vertrag 5 J./265 Mio. (2025).</t>
  </si>
  <si>
    <t xml:space="preserve">Bo Nix</t>
  </si>
  <si>
    <t xml:space="preserve">Denver Broncos</t>
  </si>
  <si>
    <t xml:space="preserve">Pinson, AL</t>
  </si>
  <si>
    <t xml:space="preserve">AFC-Finalist 2025 (verletzt). Rookie-Vertrag 4 J./18,6 Mio. Kleinste Heimatstadt (Pinson, ca. 7'000).</t>
  </si>
  <si>
    <t xml:space="preserve">Dak Prescott</t>
  </si>
  <si>
    <t xml:space="preserve">Dallas Cowboys</t>
  </si>
  <si>
    <t xml:space="preserve">Sulphur, LA</t>
  </si>
  <si>
    <t xml:space="preserve">Höchstes Jahresgehalt der NFL (60 Mio., 2024). Viertrundenpick. Ältester Spieler der Liste.</t>
  </si>
  <si>
    <t xml:space="preserve">Jared Goff</t>
  </si>
  <si>
    <t xml:space="preserve">Detroit Lions</t>
  </si>
  <si>
    <t xml:space="preserve">Novato, CA</t>
  </si>
  <si>
    <t xml:space="preserve">Nr.-1-Pick 2016 (Rams), Super Bowl LIII mit den Rams, seit 2021 Detroit.</t>
  </si>
  <si>
    <t xml:space="preserve">Saquon Barkley</t>
  </si>
  <si>
    <t xml:space="preserve">RB</t>
  </si>
  <si>
    <t xml:space="preserve">New York City (Bronx), NY</t>
  </si>
  <si>
    <t xml:space="preserve">2'005 Rushing Yards 2024, Offensive Player of the Year. Einwohner = Bezirk Bronx.</t>
  </si>
  <si>
    <t xml:space="preserve">Derrick Henry</t>
  </si>
  <si>
    <t xml:space="preserve">Yulee, FL</t>
  </si>
  <si>
    <t xml:space="preserve">Schwerster Skill-Player der Liste (112 kg). Heisman 2015. Vertrag bis 2026 – Verlängerung prüfen.</t>
  </si>
  <si>
    <t xml:space="preserve">Christian McCaffrey</t>
  </si>
  <si>
    <t xml:space="preserve">Castle Rock, CO</t>
  </si>
  <si>
    <t xml:space="preserve">Offensive Player of the Year 2023. Seit Trade 2022 in San Francisco.</t>
  </si>
  <si>
    <t xml:space="preserve">Bijan Robinson</t>
  </si>
  <si>
    <t xml:space="preserve">Atlanta Falcons</t>
  </si>
  <si>
    <t xml:space="preserve">Tucson, AZ</t>
  </si>
  <si>
    <t xml:space="preserve">First-Team All-Pro 2024. Rookie-Vertrag 4 J./22 Mio., Fifth-Year-Option 2027 – Verlängerung 2026 prüfen.</t>
  </si>
  <si>
    <t xml:space="preserve">Jahmyr Gibbs</t>
  </si>
  <si>
    <t xml:space="preserve">Dalton, GA</t>
  </si>
  <si>
    <t xml:space="preserve">Leichtester Spieler der Liste (90 kg). 20 Touchdowns 2024.</t>
  </si>
  <si>
    <t xml:space="preserve">Ashton Jeanty</t>
  </si>
  <si>
    <t xml:space="preserve">Las Vegas Raiders</t>
  </si>
  <si>
    <t xml:space="preserve">Jacksonville, FL</t>
  </si>
  <si>
    <t xml:space="preserve">Jüngster und kleinster Spieler der Liste. Rookie-Vertrag 4 J./35,9 Mio. Heisman-Zweiter 2024.</t>
  </si>
  <si>
    <t xml:space="preserve">Justin Jefferson</t>
  </si>
  <si>
    <t xml:space="preserve">Minnesota Vikings</t>
  </si>
  <si>
    <t xml:space="preserve">WR</t>
  </si>
  <si>
    <t xml:space="preserve">St. Rose, LA</t>
  </si>
  <si>
    <t xml:space="preserve">Offensive Player of the Year 2022. Vertrag 4 J./140 Mio. (2024).</t>
  </si>
  <si>
    <t xml:space="preserve">Ja'Marr Chase</t>
  </si>
  <si>
    <t xml:space="preserve">Harvey, LA</t>
  </si>
  <si>
    <t xml:space="preserve">Triple Crown 2024 (Catches, Yards, TDs). Bestbezahlter Nicht-QB (40,25 Mio., 2025).</t>
  </si>
  <si>
    <t xml:space="preserve">CeeDee Lamb</t>
  </si>
  <si>
    <t xml:space="preserve">Opelousas, LA</t>
  </si>
  <si>
    <t xml:space="preserve">First-Team All-Pro 2023 (135 Catches, Franchise-Rekord).</t>
  </si>
  <si>
    <t xml:space="preserve">Amon-Ra St. Brown</t>
  </si>
  <si>
    <t xml:space="preserve">Anaheim, CA</t>
  </si>
  <si>
    <t xml:space="preserve">Viertrundenpick (Nr. 112). Deutsch-amerikanischer Spieler, Vater Bodybuilder John Brown.</t>
  </si>
  <si>
    <t xml:space="preserve">Puka Nacua</t>
  </si>
  <si>
    <t xml:space="preserve">Los Angeles Rams</t>
  </si>
  <si>
    <t xml:space="preserve">Provo, UT</t>
  </si>
  <si>
    <t xml:space="preserve">Rookie-Rekord 1'486 Receiving Yards 2023. Fünftrundenpick; Rookie-Vertrag 4 J./3,9 Mio. läuft 2026 aus – Verlängerung prüfen.</t>
  </si>
  <si>
    <t xml:space="preserve">Jaxon Smith-Njigba</t>
  </si>
  <si>
    <t xml:space="preserve">Seattle Seahawks</t>
  </si>
  <si>
    <t xml:space="preserve">Rockwall, TX</t>
  </si>
  <si>
    <t xml:space="preserve">Super-Bowl-LX-Sieger. Stand bis Saison 2024: 1 Pro Bowl, 0 All-Pro – Saison 2025 (Franchise-Rekord) vor Livegang ergänzen.</t>
  </si>
  <si>
    <t xml:space="preserve">A.J. Brown</t>
  </si>
  <si>
    <t xml:space="preserve">Starkville, MS</t>
  </si>
  <si>
    <t xml:space="preserve">2019–2021 Tennessee. Super Bowls LVII (Niederlage) und LIX (Sieg).</t>
  </si>
  <si>
    <t xml:space="preserve">Malik Nabers</t>
  </si>
  <si>
    <t xml:space="preserve">New York Giants</t>
  </si>
  <si>
    <t xml:space="preserve">Youngsville, LA</t>
  </si>
  <si>
    <t xml:space="preserve">Rookie-Rekord 109 Catches 2024. Rookie-Vertrag 4 J./29,2 Mio.</t>
  </si>
  <si>
    <t xml:space="preserve">George Kittle</t>
  </si>
  <si>
    <t xml:space="preserve">TE</t>
  </si>
  <si>
    <t xml:space="preserve">Madison, WI</t>
  </si>
  <si>
    <t xml:space="preserve">Schwerster Spieler der Liste (113 kg). Fünftrundenpick. Achillessehnenriss Jan. 2026 – Status Saison 2026 prüfen.</t>
  </si>
  <si>
    <t xml:space="preserve">Brock Bowers</t>
  </si>
  <si>
    <t xml:space="preserve">Napa, CA</t>
  </si>
  <si>
    <t xml:space="preserve">Rookie-Rekord 112 Catches 2024, First-Team All-Pro als Rookie.</t>
  </si>
  <si>
    <t xml:space="preserve">Trey McBride</t>
  </si>
  <si>
    <t xml:space="preserve">Arizona Cardinals</t>
  </si>
  <si>
    <t xml:space="preserve">Fort Morgan, CO</t>
  </si>
  <si>
    <t xml:space="preserve">Bestbezahlter Tight End (4 J./76 Mio., 2025).</t>
  </si>
  <si>
    <t xml:space="preserve">Baker Mayfield</t>
  </si>
  <si>
    <t xml:space="preserve">Tampa Bay Buccaneers</t>
  </si>
  <si>
    <t xml:space="preserve">Austin, TX</t>
  </si>
  <si>
    <t xml:space="preserve">Nr.-1-Pick 2018. 4 Teams (Browns, Panthers, Rams, Buccaneers). Vertrag 3 J./100 Mio. läuft 2026 aus – Verlängerung prüfen.</t>
  </si>
  <si>
    <t xml:space="preserve">Kyler Murray</t>
  </si>
  <si>
    <t xml:space="preserve">Bedford, TX</t>
  </si>
  <si>
    <t xml:space="preserve">Nr.-1-Pick 2019, zudem MLB-Erstrundenpick. Kaderstatus 2026 vor Livegang prüfen.</t>
  </si>
  <si>
    <t xml:space="preserve">Trevor Lawrence</t>
  </si>
  <si>
    <t xml:space="preserve">Jacksonville Jaguars</t>
  </si>
  <si>
    <t xml:space="preserve">Knoxville, TN</t>
  </si>
  <si>
    <t xml:space="preserve">Nr.-1-Pick 2021. Vertrag 5 J./275 Mio. (2024). Playoff-Spiele Saison 2025 vor Livegang prüfen.</t>
  </si>
  <si>
    <t xml:space="preserve">Tua Tagovailoa</t>
  </si>
  <si>
    <t xml:space="preserve">Miami Dolphins</t>
  </si>
  <si>
    <t xml:space="preserve">Ewa Beach, HI</t>
  </si>
  <si>
    <t xml:space="preserve">Vertrag 4 J./212 Mio. (2024). Mehrere Gehirnerschütterungen – Status prüfen.</t>
  </si>
  <si>
    <t xml:space="preserve">Matthew Stafford</t>
  </si>
  <si>
    <t xml:space="preserve">Tampa, FL</t>
  </si>
  <si>
    <t xml:space="preserve">Ältester Spieler der Liste. Nr.-1-Pick 2009 (Lions). Super Bowl LVI. NFC-Finalist 2025. Vertrag/Playoff-Zählung vor Livegang prüfen.</t>
  </si>
  <si>
    <t xml:space="preserve">Bryce Young</t>
  </si>
  <si>
    <t xml:space="preserve">Carolina Panthers</t>
  </si>
  <si>
    <t xml:space="preserve">Philadelphia, PA</t>
  </si>
  <si>
    <t xml:space="preserve">Nr.-1-Pick 2023, Heisman 2021. Fifth-Year-Option 2027 vor Livegang prüfen.</t>
  </si>
  <si>
    <t xml:space="preserve">Michael Penix Jr.</t>
  </si>
  <si>
    <t xml:space="preserve">Starter seit Ende 2024. Rookie-Vertrag 4 J./22,9 Mio.</t>
  </si>
  <si>
    <t xml:space="preserve">J.J. McCarthy</t>
  </si>
  <si>
    <t xml:space="preserve">La Grange Park, IL</t>
  </si>
  <si>
    <t xml:space="preserve">National Champion Michigan 2023. Rookie-Saison 2024 verletzt verpasst.</t>
  </si>
  <si>
    <t xml:space="preserve">Sam Darnold</t>
  </si>
  <si>
    <t xml:space="preserve">Long Beach, CA</t>
  </si>
  <si>
    <t xml:space="preserve">Super-Bowl-LX-Sieger als Starter. 5 Teams (Jets, Panthers, 49ers, Vikings, Seahawks). Vertrag 3 J./100,5 Mio. (2025).</t>
  </si>
  <si>
    <t xml:space="preserve">Cam Ward</t>
  </si>
  <si>
    <t xml:space="preserve">Tennessee Titans</t>
  </si>
  <si>
    <t xml:space="preserve">West Columbia, TX</t>
  </si>
  <si>
    <t xml:space="preserve">Nr.-1-Pick 2025. Rookie-Vertrag 4 J./48,8 Mio.</t>
  </si>
  <si>
    <t xml:space="preserve">Fernando Mendoza</t>
  </si>
  <si>
    <t xml:space="preserve">Miami, FL</t>
  </si>
  <si>
    <t xml:space="preserve">Nr.-1-Pick 2026, Heisman 2025 (Indiana). Geburtsdatum, Rückennummer und Rookie-Vertrag vor Livegang prüfen.</t>
  </si>
  <si>
    <t xml:space="preserve">Kenneth Walker III</t>
  </si>
  <si>
    <t xml:space="preserve">Arlington, TN</t>
  </si>
  <si>
    <t xml:space="preserve">Super-Bowl-LX-MVP. Rookie-Vertrag lief 2025 aus – Vertragsstatus 2026 (Tag/Verlängerung) vor Livegang prüfen, Gehalt = Schätzung.</t>
  </si>
  <si>
    <t xml:space="preserve">Josh Jacobs</t>
  </si>
  <si>
    <t xml:space="preserve">Tulsa, OK</t>
  </si>
  <si>
    <t xml:space="preserve">Rushing-Leader 2022 (Raiders). Vertrag 4 J./48 Mio. (2024).</t>
  </si>
  <si>
    <t xml:space="preserve">James Cook</t>
  </si>
  <si>
    <t xml:space="preserve">Bruder von Dalvin Cook. Vertrag 4 J./48 Mio. (2025). Playoff-Spiele 2025 vor Livegang prüfen.</t>
  </si>
  <si>
    <t xml:space="preserve">Kyren Williams</t>
  </si>
  <si>
    <t xml:space="preserve">St. Louis, MO</t>
  </si>
  <si>
    <t xml:space="preserve">Fünftrundenpick. Vertrag 3 J./33 Mio. (2025).</t>
  </si>
  <si>
    <t xml:space="preserve">De'Von Achane</t>
  </si>
  <si>
    <t xml:space="preserve">Missouri City, TX</t>
  </si>
  <si>
    <t xml:space="preserve">Einer der leichtesten Spieler der Liste (85 kg). Rookie-Vertrag läuft 2026 aus.</t>
  </si>
  <si>
    <t xml:space="preserve">Jonathan Taylor</t>
  </si>
  <si>
    <t xml:space="preserve">Indianapolis Colts</t>
  </si>
  <si>
    <t xml:space="preserve">Salem, NJ</t>
  </si>
  <si>
    <t xml:space="preserve">Rushing-Leader 2021 (1'811 Yards). Vertrag 3 J./42 Mio. läuft 2026 aus. Playoffs 2025 prüfen.</t>
  </si>
  <si>
    <t xml:space="preserve">TreVeyon Henderson</t>
  </si>
  <si>
    <t xml:space="preserve">Hopewell, VA</t>
  </si>
  <si>
    <t xml:space="preserve">Super Bowl LX (Niederlage) als Rookie. National Champion Ohio State 2024.</t>
  </si>
  <si>
    <t xml:space="preserve">Davante Adams</t>
  </si>
  <si>
    <t xml:space="preserve">Redwood City, CA</t>
  </si>
  <si>
    <t xml:space="preserve">4 Teams (Packers, Raiders, Jets, Rams). Meiste Playoff-Spiele unter den Receivern. Vertrag 2 J./44 Mio. (2025).</t>
  </si>
  <si>
    <t xml:space="preserve">DK Metcalf</t>
  </si>
  <si>
    <t xml:space="preserve">Pittsburgh Steelers</t>
  </si>
  <si>
    <t xml:space="preserve">Oxford, MS</t>
  </si>
  <si>
    <t xml:space="preserve">Trade 2025 von Seattle. Vertrag 4 J./132 Mio. Schwerster Receiver der Liste.</t>
  </si>
  <si>
    <t xml:space="preserve">Garrett Wilson</t>
  </si>
  <si>
    <t xml:space="preserve">New York Jets</t>
  </si>
  <si>
    <t xml:space="preserve">Columbus, OH</t>
  </si>
  <si>
    <t xml:space="preserve">Offensive Rookie of the Year 2022. Vertrag 4 J./130 Mio. (2025). Kein Playoff-Spiel.</t>
  </si>
  <si>
    <t xml:space="preserve">Nico Collins</t>
  </si>
  <si>
    <t xml:space="preserve">Leeds, AL</t>
  </si>
  <si>
    <t xml:space="preserve">Drittrundenpick. Vertrag 3 J./72,75 Mio. (2024). Playoffs 2025 prüfen.</t>
  </si>
  <si>
    <t xml:space="preserve">Drake London</t>
  </si>
  <si>
    <t xml:space="preserve">Moorpark, CA</t>
  </si>
  <si>
    <t xml:space="preserve">Fifth-Year-Option 2026 – Verlängerung vor Livegang prüfen. Kein Playoff-Spiel.</t>
  </si>
  <si>
    <t xml:space="preserve">Tee Higgins</t>
  </si>
  <si>
    <t xml:space="preserve">Oak Ridge, TN</t>
  </si>
  <si>
    <t xml:space="preserve">Zweimal Franchise-Tag, dann 4 J./115 Mio. (2025). Super Bowl LVI.</t>
  </si>
  <si>
    <t xml:space="preserve">Terry McLaurin</t>
  </si>
  <si>
    <t xml:space="preserve">Indianapolis, IN</t>
  </si>
  <si>
    <t xml:space="preserve">Drittrundenpick. Vertrag 3 J./96 Mio. (2025). NFC-Finalist 2024.</t>
  </si>
  <si>
    <t xml:space="preserve">Mike Evans</t>
  </si>
  <si>
    <t xml:space="preserve">Galveston, TX</t>
  </si>
  <si>
    <t xml:space="preserve">11 Saisons in Folge mit 1'000 Yards (Rekord, bis 2024). Super Bowl LV. Vertragsstatus 2026 vor Livegang prüfen.</t>
  </si>
  <si>
    <t xml:space="preserve">Jaylen Waddle</t>
  </si>
  <si>
    <t xml:space="preserve">Vertrag 3 J./84,75 Mio. (2024). Rookie-Rekord 104 Catches 2021.</t>
  </si>
  <si>
    <t xml:space="preserve">Brian Thomas Jr.</t>
  </si>
  <si>
    <t xml:space="preserve">Walker, LA</t>
  </si>
  <si>
    <t xml:space="preserve">1'282 Yards als Rookie 2024 (Second-Team All-Pro). Playoffs 2025 prüfen.</t>
  </si>
  <si>
    <t xml:space="preserve">Ladd McConkey</t>
  </si>
  <si>
    <t xml:space="preserve">Chatsworth, GA</t>
  </si>
  <si>
    <t xml:space="preserve">Rookie-Rekord der Chargers (1'149 Yards). Kleiner Geburtsort.</t>
  </si>
  <si>
    <t xml:space="preserve">Marvin Harrison Jr.</t>
  </si>
  <si>
    <t xml:space="preserve">Sohn von Hall-of-Famer Marvin Harrison. Kein Playoff-Spiel.</t>
  </si>
  <si>
    <t xml:space="preserve">Travis Hunter</t>
  </si>
  <si>
    <t xml:space="preserve">WR/CB</t>
  </si>
  <si>
    <t xml:space="preserve">Suwanee, GA</t>
  </si>
  <si>
    <t xml:space="preserve">Heisman 2024, spielt beidseitig (WR und CB). Playoffs 2025 vor Livegang prüfen.</t>
  </si>
  <si>
    <t xml:space="preserve">Tetairoa McMillan</t>
  </si>
  <si>
    <t xml:space="preserve">Waimanalo, HI</t>
  </si>
  <si>
    <t xml:space="preserve">Erster Pick der Panthers 2025. Aus Hawaii.</t>
  </si>
  <si>
    <t xml:space="preserve">Zay Flowers</t>
  </si>
  <si>
    <t xml:space="preserve">Fort Lauderdale, FL</t>
  </si>
  <si>
    <t xml:space="preserve">Pro Bowl 2024. Fifth-Year-Option 2027 vor Livegang prüfen.</t>
  </si>
  <si>
    <t xml:space="preserve">DeVonta Smith</t>
  </si>
  <si>
    <t xml:space="preserve">Amite City, LA</t>
  </si>
  <si>
    <t xml:space="preserve">Leichtester Spieler der Liste (77 kg). Heisman 2020. Super Bowls LVII und LIX. Kleinster Geburtsort (Amite City, ca. 1'000).</t>
  </si>
  <si>
    <t xml:space="preserve">Rome Odunze</t>
  </si>
  <si>
    <t xml:space="preserve">Las Vegas, NV</t>
  </si>
  <si>
    <t xml:space="preserve">Erste Playoff-Spiele der Bears seit 2020 (Jan. 2026).</t>
  </si>
  <si>
    <t xml:space="preserve">Sam LaPorta</t>
  </si>
  <si>
    <t xml:space="preserve">Highland, IL</t>
  </si>
  <si>
    <t xml:space="preserve">Rookie-Rekord Tight End 86 Catches (2023). Rookie-Vertrag läuft 2026 aus.</t>
  </si>
  <si>
    <t xml:space="preserve">T.J. Hockenson</t>
  </si>
  <si>
    <t xml:space="preserve">Chariton, IA</t>
  </si>
  <si>
    <t xml:space="preserve">Trade 2022 von Detroit. Vertrag 4 J./66 Mio. (2023).</t>
  </si>
  <si>
    <t xml:space="preserve">Tyler Warren</t>
  </si>
  <si>
    <t xml:space="preserve">Mechanicsville, VA</t>
  </si>
  <si>
    <t xml:space="preserve">Mackey Award 2024 (Penn State). Playoffs 2025 prüfen.</t>
  </si>
  <si>
    <t xml:space="preserve">Colston Loveland</t>
  </si>
  <si>
    <t xml:space="preserve">Gooding, ID</t>
  </si>
  <si>
    <t xml:space="preserve">Jüngster Spieler der Liste (Jahrgang 2004). Aus Idaho.</t>
  </si>
  <si>
    <t xml:space="preserve">Trent Williams</t>
  </si>
  <si>
    <t xml:space="preserve">OT</t>
  </si>
  <si>
    <t xml:space="preserve">Longview, TX</t>
  </si>
  <si>
    <t xml:space="preserve">11 Pro Bowls (meiste der Liste). Washington 2010–2019. Super Bowl LVIII. Vertragsende/Rücktritt 2026 prüfen.</t>
  </si>
  <si>
    <t xml:space="preserve">Lane Johnson</t>
  </si>
  <si>
    <t xml:space="preserve">Groveton, TX</t>
  </si>
  <si>
    <t xml:space="preserve">3 Super Bowls (2 Siege). 13 Saisons Eagles. Playoff-Zählung (verpasste Spiele) vor Livegang prüfen.</t>
  </si>
  <si>
    <t xml:space="preserve">Penei Sewell</t>
  </si>
  <si>
    <t xml:space="preserve">Malaefou, Amerikanisch-Samoa</t>
  </si>
  <si>
    <t xml:space="preserve">Bestbezahlter Tackle (4 J./112 Mio., 2024). Geburtsort Dorf in Amerikanisch-Samoa – Einwohnerwert Schätzung, prüfen.</t>
  </si>
  <si>
    <t xml:space="preserve">Tristan Wirfs</t>
  </si>
  <si>
    <t xml:space="preserve">Mount Vernon, IA</t>
  </si>
  <si>
    <t xml:space="preserve">Super Bowl LV als Rookie. Wechsel Right → Left Tackle 2023, All-Pro auf beiden Seiten.</t>
  </si>
  <si>
    <t xml:space="preserve">Rashawn Slater</t>
  </si>
  <si>
    <t xml:space="preserve">Sugar Land, TX</t>
  </si>
  <si>
    <t xml:space="preserve">Vertrag 4 J./114 Mio. (Juli 2025), danach Patellasehnenriss – Saison 2026 prüfen.</t>
  </si>
  <si>
    <t xml:space="preserve">Quenton Nelson</t>
  </si>
  <si>
    <t xml:space="preserve">OG</t>
  </si>
  <si>
    <t xml:space="preserve">Holmdel, NJ</t>
  </si>
  <si>
    <t xml:space="preserve">Pro Bowl in jeder der ersten 7 Saisons. Vertrag läuft 2026 aus.</t>
  </si>
  <si>
    <t xml:space="preserve">Creed Humphrey</t>
  </si>
  <si>
    <t xml:space="preserve">C</t>
  </si>
  <si>
    <t xml:space="preserve">Shawnee, OK</t>
  </si>
  <si>
    <t xml:space="preserve">Bestbezahlter Center (4 J./72 Mio., 2024). 3 Super Bowls (2 Siege).</t>
  </si>
  <si>
    <t xml:space="preserve">Myles Garrett</t>
  </si>
  <si>
    <t xml:space="preserve">Cleveland Browns</t>
  </si>
  <si>
    <t xml:space="preserve">DE</t>
  </si>
  <si>
    <t xml:space="preserve">Arlington, TX</t>
  </si>
  <si>
    <t xml:space="preserve">Nr.-1-Pick 2017, DPOY 2023. Vertrag 4 J./160 Mio. (2025) – bestbezahlter Nicht-QB zu dem Zeitpunkt.</t>
  </si>
  <si>
    <t xml:space="preserve">T.J. Watt</t>
  </si>
  <si>
    <t xml:space="preserve">OLB</t>
  </si>
  <si>
    <t xml:space="preserve">Pewaukee, WI</t>
  </si>
  <si>
    <t xml:space="preserve">22,5 Sacks 2021 (Rekord eingestellt), DPOY 2021. Vertrag 3 J./123 Mio. (2025). Bruder von J.J. Watt.</t>
  </si>
  <si>
    <t xml:space="preserve">Micah Parsons</t>
  </si>
  <si>
    <t xml:space="preserve">Harrisburg, PA</t>
  </si>
  <si>
    <t xml:space="preserve">Trade Cowboys → Packers Aug. 2025, Vertrag 4 J./188 Mio. (bestbezahlter Nicht-QB). Playoff-Spiele 2025 prüfen.</t>
  </si>
  <si>
    <t xml:space="preserve">Nick Bosa</t>
  </si>
  <si>
    <t xml:space="preserve">DPOY 2022. Super Bowls LIV und LVIII. Bruder von Joey Bosa.</t>
  </si>
  <si>
    <t xml:space="preserve">Maxx Crosby</t>
  </si>
  <si>
    <t xml:space="preserve">Lansing, MI</t>
  </si>
  <si>
    <t xml:space="preserve">Viertrundenpick (Nr. 106). Vertrag 3 J./106,5 Mio. (2025). Nur 1 Playoff-Spiel.</t>
  </si>
  <si>
    <t xml:space="preserve">Aidan Hutchinson</t>
  </si>
  <si>
    <t xml:space="preserve">Plymouth, MI</t>
  </si>
  <si>
    <t xml:space="preserve">Grösster Spieler der Liste (201 cm). Beinbruch 2024. Fifth-Year-Option 2026 – Verlängerung vor Livegang prüfen.</t>
  </si>
  <si>
    <t xml:space="preserve">Will Anderson Jr.</t>
  </si>
  <si>
    <t xml:space="preserve">Hampton, GA</t>
  </si>
  <si>
    <t xml:space="preserve">Defensive Rookie of the Year 2023. Fifth-Year-Option 2027 prüfen.</t>
  </si>
  <si>
    <t xml:space="preserve">Chris Jones</t>
  </si>
  <si>
    <t xml:space="preserve">DT</t>
  </si>
  <si>
    <t xml:space="preserve">Houston, MS</t>
  </si>
  <si>
    <t xml:space="preserve">Meiste Playoff-Spiele der Liste (23). 5 Super Bowls (3 Siege). Kleiner Geburtsort (Houston, Mississippi – nicht Texas).</t>
  </si>
  <si>
    <t xml:space="preserve">Jalen Carter</t>
  </si>
  <si>
    <t xml:space="preserve">Apopka, FL</t>
  </si>
  <si>
    <t xml:space="preserve">Super Bowl LIX. Fifth-Year-Option 2027 prüfen.</t>
  </si>
  <si>
    <t xml:space="preserve">Abdul Carter</t>
  </si>
  <si>
    <t xml:space="preserve">Nr.-3-Pick 2025 (Penn State). Kein Playoff-Spiel.</t>
  </si>
  <si>
    <t xml:space="preserve">Jared Verse</t>
  </si>
  <si>
    <t xml:space="preserve">Dansville, NY</t>
  </si>
  <si>
    <t xml:space="preserve">Defensive Rookie of the Year 2024. Kleiner Geburtsort.</t>
  </si>
  <si>
    <t xml:space="preserve">Dexter Lawrence</t>
  </si>
  <si>
    <t xml:space="preserve">Wake Forest, NC</t>
  </si>
  <si>
    <t xml:space="preserve">Schwerster Spieler der Liste (154 kg). First-Team All-Pro 2022.</t>
  </si>
  <si>
    <t xml:space="preserve">Fred Warner</t>
  </si>
  <si>
    <t xml:space="preserve">LB</t>
  </si>
  <si>
    <t xml:space="preserve">San Marcos, CA</t>
  </si>
  <si>
    <t xml:space="preserve">Drittrundenpick. Super Bowls LIV und LVIII. Bestbezahlter Linebacker (3 J./63 Mio., 2025).</t>
  </si>
  <si>
    <t xml:space="preserve">Roquan Smith</t>
  </si>
  <si>
    <t xml:space="preserve">Montezuma, GA</t>
  </si>
  <si>
    <t xml:space="preserve">Trikotnummer 0. Trade Bears → Ravens 2022. Kleiner Geburtsort.</t>
  </si>
  <si>
    <t xml:space="preserve">Patrick Surtain II</t>
  </si>
  <si>
    <t xml:space="preserve">CB</t>
  </si>
  <si>
    <t xml:space="preserve">Plantation, FL</t>
  </si>
  <si>
    <t xml:space="preserve">DPOY 2024. Sohn von Ex-Pro-Bowler Patrick Surtain. AFC-Finalist 2025.</t>
  </si>
  <si>
    <t xml:space="preserve">Sauce Gardner</t>
  </si>
  <si>
    <t xml:space="preserve">Detroit, MI</t>
  </si>
  <si>
    <t xml:space="preserve">Trade Jets → Colts Nov. 2025 (zwei Erstrundenpicks). Vertrag 4 J./120,4 Mio. (2025). Playoffs 2025 prüfen.</t>
  </si>
  <si>
    <t xml:space="preserve">Derek Stingley Jr.</t>
  </si>
  <si>
    <t xml:space="preserve">Baton Rouge, LA</t>
  </si>
  <si>
    <t xml:space="preserve">First-Team All-Pro 2024. Bestbezahlter Cornerback (3 J./90 Mio., 2025).</t>
  </si>
  <si>
    <t xml:space="preserve">Devon Witherspoon</t>
  </si>
  <si>
    <t xml:space="preserve">Pensacola, FL</t>
  </si>
  <si>
    <t xml:space="preserve">Super-Bowl-LX-Sieger. Fifth-Year-Option 2027 prüfen.</t>
  </si>
  <si>
    <t xml:space="preserve">Jalen Ramsey</t>
  </si>
  <si>
    <t xml:space="preserve">Smyrna, TN</t>
  </si>
  <si>
    <t xml:space="preserve">4 Teams (Jaguars, Rams, Dolphins, Steelers). Super Bowl LVI. Playoff-Zählung vor Livegang prüfen.</t>
  </si>
  <si>
    <t xml:space="preserve">Kyle Hamilton</t>
  </si>
  <si>
    <t xml:space="preserve">S</t>
  </si>
  <si>
    <t xml:space="preserve">Heraklion, Griechenland</t>
  </si>
  <si>
    <t xml:space="preserve">Einziger in Europa geborener Spieler der Liste (Vater Basketballprofi in Griechenland). Bestbezahlter Safety (4 J./100,4 Mio., 2025).</t>
  </si>
  <si>
    <t xml:space="preserve">Derwin James</t>
  </si>
  <si>
    <t xml:space="preserve">Haines City, FL</t>
  </si>
  <si>
    <t xml:space="preserve">First-Team All-Pro als Rookie 2018. Vertrag läuft 2026 aus.</t>
  </si>
  <si>
    <t xml:space="preserve">Brian Branch</t>
  </si>
  <si>
    <t xml:space="preserve">Tyrone, GA</t>
  </si>
  <si>
    <t xml:space="preserve">Zweitrundenpick. Pro Bowl 2024. Rookie-Vertrag läuft 2026 aus.</t>
  </si>
  <si>
    <t xml:space="preserve">Referenzjahr / Stichtag (für Formeln)</t>
  </si>
  <si>
    <t xml:space="preserve">Graue Spalten = Hilfsspalten (Rohdaten für Formeln), nicht als Attribut im Spiel verwenden. Formelspalten rechnen live aus den Hilfsspalten.</t>
  </si>
  <si>
    <t xml:space="preserve">Werte mit dem Vermerk 'vor Livegang prüfen' in der Anmerkung/Kategorien-Tabelle vor Veröffentlichung gegenprüfen.</t>
  </si>
  <si>
    <t xml:space="preserve">Geburtsdatum</t>
  </si>
  <si>
    <t xml:space="preserve">Grösse</t>
  </si>
  <si>
    <t xml:space="preserve">Gewicht</t>
  </si>
  <si>
    <t xml:space="preserve">Draft-Jahr</t>
  </si>
  <si>
    <t xml:space="preserve">Draft-Position</t>
  </si>
  <si>
    <t xml:space="preserve">Alter beim NFL-Debüt</t>
  </si>
  <si>
    <t xml:space="preserve">Playoff-Spiele Karriere</t>
  </si>
  <si>
    <t xml:space="preserve">Saisons im aktuellen Team</t>
  </si>
  <si>
    <t xml:space="preserve">Pro-Bowl-Nominierungen</t>
  </si>
  <si>
    <t xml:space="preserve">First-Team All-Pro</t>
  </si>
  <si>
    <t xml:space="preserve">Super-Bowl-Teilnahmen</t>
  </si>
  <si>
    <t xml:space="preserve">Rückennummer</t>
  </si>
  <si>
    <t xml:space="preserve">Ø Jahresgehalt aktueller Vertrag</t>
  </si>
  <si>
    <t xml:space="preserve">Vertrag läuft bis</t>
  </si>
  <si>
    <t xml:space="preserve">Einwohner Geburtsort</t>
  </si>
  <si>
    <t xml:space="preserve">Anzahl Top-3-Ränge</t>
  </si>
  <si>
    <t xml:space="preserve">Anzahl Rang 1</t>
  </si>
  <si>
    <t xml:space="preserve">Einträge mit mind. 1 Top-3-Rang</t>
  </si>
  <si>
    <t xml:space="preserve">Einträge ohne Top-3-Rang</t>
  </si>
  <si>
    <t xml:space="preserve">Verschiedene Nr. 1 (Einträge mit mind. 1 Rang 1)</t>
  </si>
  <si>
    <t xml:space="preserve">Rang 1 = bester Wert in Spielrichtung (siehe Blatt Kategorien). Gleiche Werte = gleicher Rang. Formeln beziehen sich live auf das Datenblatt.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</si>
  <si>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</si>
  <si>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</si>
  <si>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</si>
  <si>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</si>
  <si>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</si>
  <si>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</si>
  <si>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</si>
  <si>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</si>
  <si>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</si>
  <si>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</si>
  <si>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</si>
  <si>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</si>
  <si>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Datum</t>
  </si>
  <si>
    <t xml:space="preserve">ältester</t>
  </si>
  <si>
    <t xml:space="preserve">hart</t>
  </si>
  <si>
    <t xml:space="preserve">≥ 90 Tage</t>
  </si>
  <si>
    <t xml:space="preserve">Geburtsdatum laut NFL.com/Wikipedia.</t>
  </si>
  <si>
    <t xml:space="preserve">Wikipedia / NFL.com Spielerprofile</t>
  </si>
  <si>
    <t xml:space="preserve">Rang 1 = ältester Spieler (Stafford, 1988), Rang 100 = jüngster (Loveland, 2004).</t>
  </si>
  <si>
    <t xml:space="preserve">Nie (nur bei Kaderwechsel).</t>
  </si>
  <si>
    <t xml:space="preserve">cm</t>
  </si>
  <si>
    <t xml:space="preserve">grösster</t>
  </si>
  <si>
    <t xml:space="preserve">mittel</t>
  </si>
  <si>
    <t xml:space="preserve">≥ 2 cm</t>
  </si>
  <si>
    <t xml:space="preserve">Körpergrösse laut NFL.com (Fuss/Zoll, auf cm gerundet).</t>
  </si>
  <si>
    <t xml:space="preserve">NFL.com / Wikipedia</t>
  </si>
  <si>
    <t xml:space="preserve">Viele Gleichstände bei 185/188/193 cm (Zoll-Raster) – Paar-Check beachten. Gewicht/BMI bewusst nicht kombiniert (Regel 8: nur Grösse + Gewicht).</t>
  </si>
  <si>
    <t xml:space="preserve">Nie.</t>
  </si>
  <si>
    <t xml:space="preserve">kg</t>
  </si>
  <si>
    <t xml:space="preserve">schwerster</t>
  </si>
  <si>
    <t xml:space="preserve">≥ 2 kg</t>
  </si>
  <si>
    <t xml:space="preserve">Kampfgewicht laut NFL.com (lbs, auf kg gerundet), Stand 2025.</t>
  </si>
  <si>
    <t xml:space="preserve">Mit O-Line/D-Line jetzt grosse Spreizung: D. Lawrence 154 kg bis DeVonta Smith 77 kg.</t>
  </si>
  <si>
    <t xml:space="preserve">Jährlich (Roster-Angaben).</t>
  </si>
  <si>
    <t xml:space="preserve">Jahr</t>
  </si>
  <si>
    <t xml:space="preserve">frühestes (dienstältester)</t>
  </si>
  <si>
    <t xml:space="preserve">≥ 1 Jahre</t>
  </si>
  <si>
    <t xml:space="preserve">Jahr des NFL Drafts (= Profi seit).</t>
  </si>
  <si>
    <t xml:space="preserve">Wikipedia / PFR</t>
  </si>
  <si>
    <t xml:space="preserve">Viele Gleichstände (2020: 7 Spieler, 2024: 6) – als Runde nur mit Mindestabstand verwenden.</t>
  </si>
  <si>
    <t xml:space="preserve">Bei Kaderwechsel.</t>
  </si>
  <si>
    <t xml:space="preserve">Overall-Pick</t>
  </si>
  <si>
    <t xml:space="preserve">frühester Pick (Nr. 1)</t>
  </si>
  <si>
    <t xml:space="preserve">Baker Mayfield, Bryce Young, Caleb Williams, Cam Ward, Fernando Mendoza, Jared Goff, Joe Burrow, Kyler Murray, Matthew Stafford, Myles Garrett, Trevor Lawrence</t>
  </si>
  <si>
    <t xml:space="preserve">≥ 3 Positionen</t>
  </si>
  <si>
    <t xml:space="preserve">Gesamtposition im NFL Draft.</t>
  </si>
  <si>
    <t xml:space="preserve">Drei Nr.-1-Picks (Goff 2016, Burrow 2020, Williams 2024) vs. Purdy Nr. 262 ('Mr. Irrelevant').</t>
  </si>
  <si>
    <t xml:space="preserve">Jahre</t>
  </si>
  <si>
    <t xml:space="preserve">jüngstes Debüt</t>
  </si>
  <si>
    <t xml:space="preserve">≥ 0.25 Jahre</t>
  </si>
  <si>
    <t xml:space="preserve">Alter am 1. September des Draftjahres (Saisonstart), aus Geburtsdatum und Draft-Jahr berechnet.</t>
  </si>
  <si>
    <t xml:space="preserve">Formel aus Geburtsdatum + Draft-Jahr</t>
  </si>
  <si>
    <t xml:space="preserve">Dezimalwert (2 Nachkommastellen) → praktisch keine Gleichstände.</t>
  </si>
  <si>
    <t xml:space="preserve">Spiele</t>
  </si>
  <si>
    <t xml:space="preserve">meiste</t>
  </si>
  <si>
    <t xml:space="preserve">≥ 1 Spiele</t>
  </si>
  <si>
    <t xml:space="preserve">Playoff-Spiele im aktiven Kader (Wild Card bis Super Bowl), bis inkl. Super Bowl LX (Feb. 2026).</t>
  </si>
  <si>
    <t xml:space="preserve">PFR Spielerprofile (Playoffs), eigene Zählung</t>
  </si>
  <si>
    <t xml:space="preserve">Chris Jones 23 vor Mahomes 21 und Lane Johnson 17. Viele Nullen bei jungen Spielern – als Runde sparsam. Vor Livegang gegen PFR prüfen.</t>
  </si>
  <si>
    <t xml:space="preserve">Jährlich nach den Playoffs.</t>
  </si>
  <si>
    <t xml:space="preserve">Saisons</t>
  </si>
  <si>
    <t xml:space="preserve">≥ 1 Saisons</t>
  </si>
  <si>
    <t xml:space="preserve">Referenzjahr minus erste Saison beim aktuellen Team plus 1 (Saison 2026 zählt).</t>
  </si>
  <si>
    <t xml:space="preserve">Formel aus Hilfsspalte 'Erste Saison beim Team'</t>
  </si>
  <si>
    <t xml:space="preserve">Mahomes/Kittle 10 Saisons. Gleichstände bei Draft-Jahrgängen unvermeidbar.</t>
  </si>
  <si>
    <t xml:space="preserve">Jährlich (Referenzjahr) und bei Wechsel.</t>
  </si>
  <si>
    <t xml:space="preserve">Anzahl</t>
  </si>
  <si>
    <t xml:space="preserve">≥ 1 Nominierungen</t>
  </si>
  <si>
    <t xml:space="preserve">Pro-Bowl-Nominierungen bis inkl. Saison 2024 (Original-Nominierungen, ohne Nachrücker-Zählweise-Unterschiede).</t>
  </si>
  <si>
    <t xml:space="preserve">Saison 2025 (Pro Bowl Games Feb. 2026) vor Livegang ergänzen – dann Beschriftung auf 'bis Saison 2025' ändern.</t>
  </si>
  <si>
    <t xml:space="preserve">Jährlich im Januar.</t>
  </si>
  <si>
    <t xml:space="preserve">Myles Garrett, T.J. Watt</t>
  </si>
  <si>
    <t xml:space="preserve">≥ 1 Auszeichnungen</t>
  </si>
  <si>
    <t xml:space="preserve">AP First-Team All-Pro bis inkl. Saison 2024.</t>
  </si>
  <si>
    <t xml:space="preserve">Viele Nullen – sparsam einsetzen. Saison 2025 vor Livegang ergänzen (z. B. Smith-Njigba).</t>
  </si>
  <si>
    <t xml:space="preserve">Chris Jones, Patrick Mahomes</t>
  </si>
  <si>
    <t xml:space="preserve">≥ 1 Teilnahmen</t>
  </si>
  <si>
    <t xml:space="preserve">Super Bowls als Spieler im aktiven Kader, bis inkl. Super Bowl LX.</t>
  </si>
  <si>
    <t xml:space="preserve">Mahomes und Chris Jones 5. Mehrheit ohne Super Bowl – sparsam als Runde.</t>
  </si>
  <si>
    <t xml:space="preserve">Jährlich nach dem Super Bowl.</t>
  </si>
  <si>
    <t xml:space="preserve">Nr.</t>
  </si>
  <si>
    <t xml:space="preserve">kleinste Nummer</t>
  </si>
  <si>
    <t xml:space="preserve">≥ 2 Nummern</t>
  </si>
  <si>
    <t xml:space="preserve">Trikotnummer Saison 2026.</t>
  </si>
  <si>
    <t xml:space="preserve">Team-Roster / NFL.com</t>
  </si>
  <si>
    <t xml:space="preserve">Roquan Smith trägt die 0; mehrere Spieler die 1. Höchste Nummern: Crosby/J. Carter 98. Spielerisch: 'Wer hat die tiefste Nummer?'</t>
  </si>
  <si>
    <t xml:space="preserve">Jährlich.</t>
  </si>
  <si>
    <t xml:space="preserve">Mio. USD</t>
  </si>
  <si>
    <t xml:space="preserve">höchstes</t>
  </si>
  <si>
    <t xml:space="preserve">≥ 10 % Unterschied</t>
  </si>
  <si>
    <t xml:space="preserve">Durchschnittlicher Jahreswert (APY) des aktuell laufenden Vertrags inkl. Rookie-Verträgen.</t>
  </si>
  <si>
    <t xml:space="preserve">Spotrac / Over The Cap (Stand Vertragsabschluss)</t>
  </si>
  <si>
    <t xml:space="preserve">Rookie-Verträge (Nacua 0,98) vs. Prescott 60; Parsons 46,5 als bestbezahlter Nicht-QB. Verlängerungen aus der Offseason 2026 vor Livegang prüfen (Stroud, Robinson, Nacua, Smith-Njigba, Henry, Kittle).</t>
  </si>
  <si>
    <t xml:space="preserve">Bei jeder Vertragsverlängerung.</t>
  </si>
  <si>
    <t xml:space="preserve">Saison</t>
  </si>
  <si>
    <t xml:space="preserve">längste Bindung</t>
  </si>
  <si>
    <t xml:space="preserve">Letzte Saison des aktuell laufenden Vertrags (ohne Optionen).</t>
  </si>
  <si>
    <t xml:space="preserve">Spotrac / Over The Cap</t>
  </si>
  <si>
    <t xml:space="preserve">Mahomes bis 2031; Lawrence, Garrett, G. Wilson, Gardner bis 2030. Vor Livegang mit Verlängerungen 2026 abgleichen.</t>
  </si>
  <si>
    <t xml:space="preserve">Bei Vertragsänderung.</t>
  </si>
  <si>
    <t xml:space="preserve">Tsd.</t>
  </si>
  <si>
    <t xml:space="preserve">grösste Stadt</t>
  </si>
  <si>
    <t xml:space="preserve">Jalen Hurts, Jaylen Waddle</t>
  </si>
  <si>
    <t xml:space="preserve">Einwohner der Geburtsstadt laut Wikipedia (US Census 2020/2023-Schätzung, auf Tausend gerundet); Barkley = Bezirk Bronx.</t>
  </si>
  <si>
    <t xml:space="preserve">Wikipedia Spielerprofil (Geburtsort) + Wikipedia Stadtartikel (Census)</t>
  </si>
  <si>
    <t xml:space="preserve">Analog 'Kantonseinwohner'. Hurts/Waddle (Houston) vorne; Hamilton in Griechenland geboren. Geburtsort ≠ Heimatstadt (z. B. Burrow Ames/Athens). Vor Livegang Stadtwerte gegen Census prüfen.</t>
  </si>
  <si>
    <t xml:space="preserve">Alle 2–3 Jahre.</t>
  </si>
  <si>
    <t xml:space="preserve">Auswahl v2: 100 Spieler aller Positionen (26 QB, 13 RB, 27 WR, 7 TE, 7 OL, 12 DL/Edge, 2 LB, 5 CB, 3 S), alle gedraftet (Undrafted wie Brandon Aubrey/Jordan Mailata nicht enthalten, da Draft-Position fehlt). Teams Stand Sept. 2026 laut Kaderstand nach der Offseason 2026 (Wechsel vor Livegang prüfen).</t>
  </si>
  <si>
    <t xml:space="preserve">Spieler 33–100 wurden neu ergänzt; ihre Werte stammen aus Modellwissen (Stand Mitte 2026) und sind nicht einzeln gegen PFR/Spotrac geprüft – Einträge mit dem Vermerk 'prüfen' in der Anmerkung zuerst kontrollieren.</t>
  </si>
  <si>
    <t xml:space="preserve">Zeitbezug: Karriere-Auszeichnungen (Pro Bowl, All-Pro) bis inkl. Saison 2024 gesichert; Saison 2025 vor Livegang ergänzen und Beschriftung anpassen. Super Bowls bis LX. Verträge Stand Vertragsabschluss.</t>
  </si>
  <si>
    <t xml:space="preserve">Bewusst weggelassen: Karriere-Yards/-Touchdowns (nicht positionsübergreifend vergleichbar), Vertragsvolumen gesamt (korreliert mit Jahresgehalt), Madden-Rating (Regel 3), Instagram-Follower (zu volatil, nicht belegbar).</t>
  </si>
  <si>
    <t xml:space="preserve">Travis Kelce, Tyreek Hill und Aaron Rodgers nicht aufgenommen (Rücktritts-/Kaderstatus 2026 unsicher). Reserve-Kandidaten: Garrett Wilson, Nico Collins, DK Metcalf, Davante Adams, James Cook, Sam LaPorta.</t>
  </si>
  <si>
    <t xml:space="preserve">Mindestabstand: siehe Blatt 'Paar-Check'. Grösse und Draft-Jahr haben systembedingt viele Gleichstände.</t>
  </si>
  <si>
    <t xml:space="preserve">Spieler A</t>
  </si>
  <si>
    <t xml:space="preserve">Wert A</t>
  </si>
  <si>
    <t xml:space="preserve">Spieler B</t>
  </si>
  <si>
    <t xml:space="preserve">Wert B</t>
  </si>
  <si>
    <t xml:space="preserve">Differenz</t>
  </si>
  <si>
    <t xml:space="preserve">Gleichstand?</t>
  </si>
  <si>
    <t xml:space="preserve">Hinweis: bei Listen &gt; 40 Einträgen werden nur benachbarte Paare in der Rangfolge geprüft (nicht alle Kombinationen).</t>
  </si>
  <si>
    <t xml:space="preserve">29.07.1993</t>
  </si>
  <si>
    <t xml:space="preserve">21.08.1993</t>
  </si>
  <si>
    <t xml:space="preserve">23 Tage</t>
  </si>
  <si>
    <t xml:space="preserve">09.10.1993</t>
  </si>
  <si>
    <t xml:space="preserve">49 Tage</t>
  </si>
  <si>
    <t xml:space="preserve">04.01.1994</t>
  </si>
  <si>
    <t xml:space="preserve">87 Tage</t>
  </si>
  <si>
    <t xml:space="preserve">11.10.1994</t>
  </si>
  <si>
    <t xml:space="preserve">14.10.1994</t>
  </si>
  <si>
    <t xml:space="preserve">3 Tage</t>
  </si>
  <si>
    <t xml:space="preserve">24.10.1994</t>
  </si>
  <si>
    <t xml:space="preserve">10 Tage</t>
  </si>
  <si>
    <t xml:space="preserve">15.09.1995</t>
  </si>
  <si>
    <t xml:space="preserve">17.09.1995</t>
  </si>
  <si>
    <t xml:space="preserve">2 Tage</t>
  </si>
  <si>
    <t xml:space="preserve">29.12.1995</t>
  </si>
  <si>
    <t xml:space="preserve">19.03.1996</t>
  </si>
  <si>
    <t xml:space="preserve">81 Tage</t>
  </si>
  <si>
    <t xml:space="preserve">21.05.1996</t>
  </si>
  <si>
    <t xml:space="preserve">63 Tage</t>
  </si>
  <si>
    <t xml:space="preserve">07.06.1996</t>
  </si>
  <si>
    <t xml:space="preserve">17 Tage</t>
  </si>
  <si>
    <t xml:space="preserve">03.08.1996</t>
  </si>
  <si>
    <t xml:space="preserve">57 Tage</t>
  </si>
  <si>
    <t xml:space="preserve">19.11.1996</t>
  </si>
  <si>
    <t xml:space="preserve">10.12.1996</t>
  </si>
  <si>
    <t xml:space="preserve">21 Tage</t>
  </si>
  <si>
    <t xml:space="preserve">07.01.1997</t>
  </si>
  <si>
    <t xml:space="preserve">28 Tage</t>
  </si>
  <si>
    <t xml:space="preserve">09.02.1997</t>
  </si>
  <si>
    <t xml:space="preserve">33 Tage</t>
  </si>
  <si>
    <t xml:space="preserve">08.04.1997</t>
  </si>
  <si>
    <t xml:space="preserve">58 Tage</t>
  </si>
  <si>
    <t xml:space="preserve">05.06.1997</t>
  </si>
  <si>
    <t xml:space="preserve">30.06.1997</t>
  </si>
  <si>
    <t xml:space="preserve">25 Tage</t>
  </si>
  <si>
    <t xml:space="preserve">03.07.1997</t>
  </si>
  <si>
    <t xml:space="preserve">07.08.1997</t>
  </si>
  <si>
    <t xml:space="preserve">35 Tage</t>
  </si>
  <si>
    <t xml:space="preserve">22.08.1997</t>
  </si>
  <si>
    <t xml:space="preserve">15 Tage</t>
  </si>
  <si>
    <t xml:space="preserve">23.10.1997</t>
  </si>
  <si>
    <t xml:space="preserve">62 Tage</t>
  </si>
  <si>
    <t xml:space="preserve">12.11.1997</t>
  </si>
  <si>
    <t xml:space="preserve">20 Tage</t>
  </si>
  <si>
    <t xml:space="preserve">14.12.1997</t>
  </si>
  <si>
    <t xml:space="preserve">32 Tage</t>
  </si>
  <si>
    <t xml:space="preserve">11.02.1998</t>
  </si>
  <si>
    <t xml:space="preserve">59 Tage</t>
  </si>
  <si>
    <t xml:space="preserve">02.03.1998</t>
  </si>
  <si>
    <t xml:space="preserve">19 Tage</t>
  </si>
  <si>
    <t xml:space="preserve">10.03.1998</t>
  </si>
  <si>
    <t xml:space="preserve">8 Tage</t>
  </si>
  <si>
    <t xml:space="preserve">07.08.1998</t>
  </si>
  <si>
    <t xml:space="preserve">02.11.1998</t>
  </si>
  <si>
    <t xml:space="preserve">14.11.1998</t>
  </si>
  <si>
    <t xml:space="preserve">12 Tage</t>
  </si>
  <si>
    <t xml:space="preserve">25.11.1998</t>
  </si>
  <si>
    <t xml:space="preserve">11 Tage</t>
  </si>
  <si>
    <t xml:space="preserve">18.01.1999</t>
  </si>
  <si>
    <t xml:space="preserve">54 Tage</t>
  </si>
  <si>
    <t xml:space="preserve">22.01.1999</t>
  </si>
  <si>
    <t xml:space="preserve">4 Tage</t>
  </si>
  <si>
    <t xml:space="preserve">24.01.1999</t>
  </si>
  <si>
    <t xml:space="preserve">19.03.1999</t>
  </si>
  <si>
    <t xml:space="preserve">26.03.1999</t>
  </si>
  <si>
    <t xml:space="preserve">7 Tage</t>
  </si>
  <si>
    <t xml:space="preserve">08.04.1999</t>
  </si>
  <si>
    <t xml:space="preserve">13 Tage</t>
  </si>
  <si>
    <t xml:space="preserve">26.05.1999</t>
  </si>
  <si>
    <t xml:space="preserve">48 Tage</t>
  </si>
  <si>
    <t xml:space="preserve">16.06.1999</t>
  </si>
  <si>
    <t xml:space="preserve">28.06.1999</t>
  </si>
  <si>
    <t xml:space="preserve">25.09.1999</t>
  </si>
  <si>
    <t xml:space="preserve">89 Tage</t>
  </si>
  <si>
    <t xml:space="preserve">06.10.1999</t>
  </si>
  <si>
    <t xml:space="preserve">24.10.1999</t>
  </si>
  <si>
    <t xml:space="preserve">18 Tage</t>
  </si>
  <si>
    <t xml:space="preserve">22.11.1999</t>
  </si>
  <si>
    <t xml:space="preserve">29 Tage</t>
  </si>
  <si>
    <t xml:space="preserve">27.12.1999</t>
  </si>
  <si>
    <t xml:space="preserve">25.02.2000</t>
  </si>
  <si>
    <t xml:space="preserve">60 Tage</t>
  </si>
  <si>
    <t xml:space="preserve">01.03.2000</t>
  </si>
  <si>
    <t xml:space="preserve">5 Tage</t>
  </si>
  <si>
    <t xml:space="preserve">14.04.2000</t>
  </si>
  <si>
    <t xml:space="preserve">44 Tage</t>
  </si>
  <si>
    <t xml:space="preserve">08.05.2000</t>
  </si>
  <si>
    <t xml:space="preserve">24 Tage</t>
  </si>
  <si>
    <t xml:space="preserve">22.07.2000</t>
  </si>
  <si>
    <t xml:space="preserve">75 Tage</t>
  </si>
  <si>
    <t xml:space="preserve">09.08.2000</t>
  </si>
  <si>
    <t xml:space="preserve">26.08.2000</t>
  </si>
  <si>
    <t xml:space="preserve">31.08.2000</t>
  </si>
  <si>
    <t xml:space="preserve">01.09.2000</t>
  </si>
  <si>
    <t xml:space="preserve">1 Tage</t>
  </si>
  <si>
    <t xml:space="preserve">09.10.2000</t>
  </si>
  <si>
    <t xml:space="preserve">38 Tage</t>
  </si>
  <si>
    <t xml:space="preserve">20.10.2000</t>
  </si>
  <si>
    <t xml:space="preserve">21.10.2000</t>
  </si>
  <si>
    <t xml:space="preserve">01.11.2000</t>
  </si>
  <si>
    <t xml:space="preserve">18.12.2000</t>
  </si>
  <si>
    <t xml:space="preserve">47 Tage</t>
  </si>
  <si>
    <t xml:space="preserve">12.01.2001</t>
  </si>
  <si>
    <t xml:space="preserve">16.03.2001</t>
  </si>
  <si>
    <t xml:space="preserve">04.04.2001</t>
  </si>
  <si>
    <t xml:space="preserve">29.05.2001</t>
  </si>
  <si>
    <t xml:space="preserve">55 Tage</t>
  </si>
  <si>
    <t xml:space="preserve">20.06.2001</t>
  </si>
  <si>
    <t xml:space="preserve">22 Tage</t>
  </si>
  <si>
    <t xml:space="preserve">24.07.2001</t>
  </si>
  <si>
    <t xml:space="preserve">34 Tage</t>
  </si>
  <si>
    <t xml:space="preserve">25.07.2001</t>
  </si>
  <si>
    <t xml:space="preserve">02.09.2001</t>
  </si>
  <si>
    <t xml:space="preserve">39 Tage</t>
  </si>
  <si>
    <t xml:space="preserve">03.10.2001</t>
  </si>
  <si>
    <t xml:space="preserve">31 Tage</t>
  </si>
  <si>
    <t xml:space="preserve">04.10.2001</t>
  </si>
  <si>
    <t xml:space="preserve">15.11.2001</t>
  </si>
  <si>
    <t xml:space="preserve">42 Tage</t>
  </si>
  <si>
    <t xml:space="preserve">18.11.2001</t>
  </si>
  <si>
    <t xml:space="preserve">22.12.2001</t>
  </si>
  <si>
    <t xml:space="preserve">30.01.2002</t>
  </si>
  <si>
    <t xml:space="preserve">14.02.2002</t>
  </si>
  <si>
    <t xml:space="preserve">20.03.2002</t>
  </si>
  <si>
    <t xml:space="preserve">02.05.2002</t>
  </si>
  <si>
    <t xml:space="preserve">43 Tage</t>
  </si>
  <si>
    <t xml:space="preserve">25.05.2002</t>
  </si>
  <si>
    <t xml:space="preserve">06.06.2002</t>
  </si>
  <si>
    <t xml:space="preserve">07.08.2002</t>
  </si>
  <si>
    <t xml:space="preserve">30.08.2002</t>
  </si>
  <si>
    <t xml:space="preserve">03.10.2002</t>
  </si>
  <si>
    <t xml:space="preserve">23.10.2002</t>
  </si>
  <si>
    <t xml:space="preserve">14.12.2002</t>
  </si>
  <si>
    <t xml:space="preserve">52 Tage</t>
  </si>
  <si>
    <t xml:space="preserve">20.01.2003</t>
  </si>
  <si>
    <t xml:space="preserve">37 Tage</t>
  </si>
  <si>
    <t xml:space="preserve">05.04.2003</t>
  </si>
  <si>
    <t xml:space="preserve">18.05.2003</t>
  </si>
  <si>
    <t xml:space="preserve">28.07.2003</t>
  </si>
  <si>
    <t xml:space="preserve">71 Tage</t>
  </si>
  <si>
    <t xml:space="preserve">0 Tage</t>
  </si>
  <si>
    <t xml:space="preserve">ja</t>
  </si>
  <si>
    <t xml:space="preserve">14.11.2003</t>
  </si>
  <si>
    <t xml:space="preserve">02.12.2003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</si>
</sst>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5"/>
    <col collapsed="false" customWidth="true" hidden="false" outlineLevel="0" max="21" min="17" style="0" width="13"/>
    <col collapsed="false" customWidth="true" hidden="false" outlineLevel="0" max="22" min="22" style="0" width="60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customFormat="false" ht="22.35" hidden="false" customHeight="false" outlineLevel="0" collapsed="false">
      <c r="A2" s="3" t="s">
        <v>22</v>
      </c>
      <c r="B2" s="4" t="n">
        <v>34959</v>
      </c>
      <c r="C2" s="5" t="n">
        <v>188</v>
      </c>
      <c r="D2" s="5" t="n">
        <v>102</v>
      </c>
      <c r="E2" s="5" t="n">
        <v>2017</v>
      </c>
      <c r="F2" s="5" t="n">
        <v>10</v>
      </c>
      <c r="G2" s="6" t="n">
        <f aca="false">ROUND((DATE(E2,9,1)-B2)/365.25,2)</f>
        <v>21.96</v>
      </c>
      <c r="H2" s="5" t="n">
        <v>21</v>
      </c>
      <c r="I2" s="5" t="n">
        <f aca="false">$B$103-S2+1</f>
        <v>10</v>
      </c>
      <c r="J2" s="5" t="n">
        <v>6</v>
      </c>
      <c r="K2" s="5" t="n">
        <v>2</v>
      </c>
      <c r="L2" s="5" t="n">
        <v>5</v>
      </c>
      <c r="M2" s="5" t="n">
        <v>15</v>
      </c>
      <c r="N2" s="6" t="n">
        <v>45</v>
      </c>
      <c r="O2" s="5" t="n">
        <v>2031</v>
      </c>
      <c r="P2" s="5" t="n">
        <v>108</v>
      </c>
      <c r="Q2" s="7" t="s">
        <v>23</v>
      </c>
      <c r="R2" s="7" t="s">
        <v>24</v>
      </c>
      <c r="S2" s="7" t="n">
        <v>2017</v>
      </c>
      <c r="T2" s="7" t="s">
        <v>25</v>
      </c>
      <c r="U2" s="7" t="n">
        <v>1</v>
      </c>
      <c r="V2" s="8" t="s">
        <v>26</v>
      </c>
    </row>
    <row r="3" customFormat="false" ht="15" hidden="false" customHeight="false" outlineLevel="0" collapsed="false">
      <c r="A3" s="3" t="s">
        <v>27</v>
      </c>
      <c r="B3" s="4" t="n">
        <v>35206</v>
      </c>
      <c r="C3" s="5" t="n">
        <v>196</v>
      </c>
      <c r="D3" s="5" t="n">
        <v>107</v>
      </c>
      <c r="E3" s="5" t="n">
        <v>2018</v>
      </c>
      <c r="F3" s="5" t="n">
        <v>7</v>
      </c>
      <c r="G3" s="6" t="n">
        <f aca="false">ROUND((DATE(E3,9,1)-B3)/365.25,2)</f>
        <v>22.28</v>
      </c>
      <c r="H3" s="5" t="n">
        <v>15</v>
      </c>
      <c r="I3" s="5" t="n">
        <f aca="false">$B$103-S3+1</f>
        <v>9</v>
      </c>
      <c r="J3" s="5" t="n">
        <v>4</v>
      </c>
      <c r="K3" s="5" t="n">
        <v>1</v>
      </c>
      <c r="L3" s="5" t="n">
        <v>0</v>
      </c>
      <c r="M3" s="5" t="n">
        <v>17</v>
      </c>
      <c r="N3" s="6" t="n">
        <v>55</v>
      </c>
      <c r="O3" s="5" t="n">
        <v>2030</v>
      </c>
      <c r="P3" s="5" t="n">
        <v>8</v>
      </c>
      <c r="Q3" s="7" t="s">
        <v>28</v>
      </c>
      <c r="R3" s="7" t="s">
        <v>24</v>
      </c>
      <c r="S3" s="7" t="n">
        <v>2018</v>
      </c>
      <c r="T3" s="7" t="s">
        <v>29</v>
      </c>
      <c r="U3" s="7" t="n">
        <v>1</v>
      </c>
      <c r="V3" s="8" t="s">
        <v>30</v>
      </c>
    </row>
    <row r="4" customFormat="false" ht="15" hidden="false" customHeight="false" outlineLevel="0" collapsed="false">
      <c r="A4" s="3" t="s">
        <v>31</v>
      </c>
      <c r="B4" s="4" t="n">
        <v>35437</v>
      </c>
      <c r="C4" s="5" t="n">
        <v>188</v>
      </c>
      <c r="D4" s="5" t="n">
        <v>98</v>
      </c>
      <c r="E4" s="5" t="n">
        <v>2018</v>
      </c>
      <c r="F4" s="5" t="n">
        <v>32</v>
      </c>
      <c r="G4" s="6" t="n">
        <f aca="false">ROUND((DATE(E4,9,1)-B4)/365.25,2)</f>
        <v>21.65</v>
      </c>
      <c r="H4" s="5" t="n">
        <v>9</v>
      </c>
      <c r="I4" s="5" t="n">
        <f aca="false">$B$103-S4+1</f>
        <v>9</v>
      </c>
      <c r="J4" s="5" t="n">
        <v>4</v>
      </c>
      <c r="K4" s="5" t="n">
        <v>3</v>
      </c>
      <c r="L4" s="5" t="n">
        <v>0</v>
      </c>
      <c r="M4" s="5" t="n">
        <v>8</v>
      </c>
      <c r="N4" s="6" t="n">
        <v>52</v>
      </c>
      <c r="O4" s="5" t="n">
        <v>2027</v>
      </c>
      <c r="P4" s="5" t="n">
        <v>112</v>
      </c>
      <c r="Q4" s="7" t="s">
        <v>32</v>
      </c>
      <c r="R4" s="7" t="s">
        <v>24</v>
      </c>
      <c r="S4" s="7" t="n">
        <v>2018</v>
      </c>
      <c r="T4" s="7" t="s">
        <v>33</v>
      </c>
      <c r="U4" s="7" t="n">
        <v>1</v>
      </c>
      <c r="V4" s="8" t="s">
        <v>34</v>
      </c>
    </row>
    <row r="5" customFormat="false" ht="22.35" hidden="false" customHeight="false" outlineLevel="0" collapsed="false">
      <c r="A5" s="3" t="s">
        <v>35</v>
      </c>
      <c r="B5" s="4" t="n">
        <v>35409</v>
      </c>
      <c r="C5" s="5" t="n">
        <v>193</v>
      </c>
      <c r="D5" s="5" t="n">
        <v>100</v>
      </c>
      <c r="E5" s="5" t="n">
        <v>2020</v>
      </c>
      <c r="F5" s="5" t="n">
        <v>1</v>
      </c>
      <c r="G5" s="6" t="n">
        <f aca="false">ROUND((DATE(E5,9,1)-B5)/365.25,2)</f>
        <v>23.73</v>
      </c>
      <c r="H5" s="5" t="n">
        <v>7</v>
      </c>
      <c r="I5" s="5" t="n">
        <f aca="false">$B$103-S5+1</f>
        <v>7</v>
      </c>
      <c r="J5" s="5" t="n">
        <v>2</v>
      </c>
      <c r="K5" s="5" t="n">
        <v>0</v>
      </c>
      <c r="L5" s="5" t="n">
        <v>1</v>
      </c>
      <c r="M5" s="5" t="n">
        <v>9</v>
      </c>
      <c r="N5" s="6" t="n">
        <v>55</v>
      </c>
      <c r="O5" s="5" t="n">
        <v>2029</v>
      </c>
      <c r="P5" s="5" t="n">
        <v>66</v>
      </c>
      <c r="Q5" s="7" t="s">
        <v>36</v>
      </c>
      <c r="R5" s="7" t="s">
        <v>24</v>
      </c>
      <c r="S5" s="7" t="n">
        <v>2020</v>
      </c>
      <c r="T5" s="7" t="s">
        <v>37</v>
      </c>
      <c r="U5" s="7" t="n">
        <v>1</v>
      </c>
      <c r="V5" s="8" t="s">
        <v>38</v>
      </c>
    </row>
    <row r="6" customFormat="false" ht="15" hidden="false" customHeight="false" outlineLevel="0" collapsed="false">
      <c r="A6" s="3" t="s">
        <v>39</v>
      </c>
      <c r="B6" s="4" t="n">
        <v>36014</v>
      </c>
      <c r="C6" s="5" t="n">
        <v>185</v>
      </c>
      <c r="D6" s="5" t="n">
        <v>101</v>
      </c>
      <c r="E6" s="5" t="n">
        <v>2020</v>
      </c>
      <c r="F6" s="5" t="n">
        <v>53</v>
      </c>
      <c r="G6" s="6" t="n">
        <f aca="false">ROUND((DATE(E6,9,1)-B6)/365.25,2)</f>
        <v>22.07</v>
      </c>
      <c r="H6" s="5" t="n">
        <v>10</v>
      </c>
      <c r="I6" s="5" t="n">
        <f aca="false">$B$103-S6+1</f>
        <v>7</v>
      </c>
      <c r="J6" s="5" t="n">
        <v>2</v>
      </c>
      <c r="K6" s="5" t="n">
        <v>0</v>
      </c>
      <c r="L6" s="5" t="n">
        <v>2</v>
      </c>
      <c r="M6" s="5" t="n">
        <v>1</v>
      </c>
      <c r="N6" s="6" t="n">
        <v>51</v>
      </c>
      <c r="O6" s="5" t="n">
        <v>2028</v>
      </c>
      <c r="P6" s="5" t="n">
        <v>2314</v>
      </c>
      <c r="Q6" s="7" t="s">
        <v>40</v>
      </c>
      <c r="R6" s="7" t="s">
        <v>24</v>
      </c>
      <c r="S6" s="7" t="n">
        <v>2020</v>
      </c>
      <c r="T6" s="7" t="s">
        <v>41</v>
      </c>
      <c r="U6" s="7" t="n">
        <v>1</v>
      </c>
      <c r="V6" s="8" t="s">
        <v>42</v>
      </c>
    </row>
    <row r="7" customFormat="false" ht="15" hidden="false" customHeight="false" outlineLevel="0" collapsed="false">
      <c r="A7" s="3" t="s">
        <v>43</v>
      </c>
      <c r="B7" s="4" t="n">
        <v>35864</v>
      </c>
      <c r="C7" s="5" t="n">
        <v>198</v>
      </c>
      <c r="D7" s="5" t="n">
        <v>107</v>
      </c>
      <c r="E7" s="5" t="n">
        <v>2020</v>
      </c>
      <c r="F7" s="5" t="n">
        <v>6</v>
      </c>
      <c r="G7" s="6" t="n">
        <f aca="false">ROUND((DATE(E7,9,1)-B7)/365.25,2)</f>
        <v>22.48</v>
      </c>
      <c r="H7" s="5" t="n">
        <v>3</v>
      </c>
      <c r="I7" s="5" t="n">
        <f aca="false">$B$103-S7+1</f>
        <v>7</v>
      </c>
      <c r="J7" s="5" t="n">
        <v>1</v>
      </c>
      <c r="K7" s="5" t="n">
        <v>0</v>
      </c>
      <c r="L7" s="5" t="n">
        <v>0</v>
      </c>
      <c r="M7" s="5" t="n">
        <v>10</v>
      </c>
      <c r="N7" s="6" t="n">
        <v>52.5</v>
      </c>
      <c r="O7" s="5" t="n">
        <v>2029</v>
      </c>
      <c r="P7" s="5" t="n">
        <v>178</v>
      </c>
      <c r="Q7" s="7" t="s">
        <v>44</v>
      </c>
      <c r="R7" s="7" t="s">
        <v>24</v>
      </c>
      <c r="S7" s="7" t="n">
        <v>2020</v>
      </c>
      <c r="T7" s="7" t="s">
        <v>45</v>
      </c>
      <c r="U7" s="7" t="n">
        <v>1</v>
      </c>
      <c r="V7" s="8" t="s">
        <v>46</v>
      </c>
    </row>
    <row r="8" customFormat="false" ht="22.35" hidden="false" customHeight="false" outlineLevel="0" collapsed="false">
      <c r="A8" s="3" t="s">
        <v>47</v>
      </c>
      <c r="B8" s="4" t="n">
        <v>37167</v>
      </c>
      <c r="C8" s="5" t="n">
        <v>191</v>
      </c>
      <c r="D8" s="5" t="n">
        <v>98</v>
      </c>
      <c r="E8" s="5" t="n">
        <v>2023</v>
      </c>
      <c r="F8" s="5" t="n">
        <v>2</v>
      </c>
      <c r="G8" s="6" t="n">
        <f aca="false">ROUND((DATE(E8,9,1)-B8)/365.25,2)</f>
        <v>21.91</v>
      </c>
      <c r="H8" s="5" t="n">
        <v>6</v>
      </c>
      <c r="I8" s="5" t="n">
        <f aca="false">$B$103-S8+1</f>
        <v>4</v>
      </c>
      <c r="J8" s="5" t="n">
        <v>1</v>
      </c>
      <c r="K8" s="5" t="n">
        <v>0</v>
      </c>
      <c r="L8" s="5" t="n">
        <v>0</v>
      </c>
      <c r="M8" s="5" t="n">
        <v>7</v>
      </c>
      <c r="N8" s="6" t="n">
        <v>9.08</v>
      </c>
      <c r="O8" s="5" t="n">
        <v>2026</v>
      </c>
      <c r="P8" s="5" t="n">
        <v>174</v>
      </c>
      <c r="Q8" s="7" t="s">
        <v>48</v>
      </c>
      <c r="R8" s="7" t="s">
        <v>24</v>
      </c>
      <c r="S8" s="7" t="n">
        <v>2023</v>
      </c>
      <c r="T8" s="7" t="s">
        <v>49</v>
      </c>
      <c r="U8" s="7" t="n">
        <v>1</v>
      </c>
      <c r="V8" s="8" t="s">
        <v>50</v>
      </c>
    </row>
    <row r="9" customFormat="false" ht="22.35" hidden="false" customHeight="false" outlineLevel="0" collapsed="false">
      <c r="A9" s="3" t="s">
        <v>51</v>
      </c>
      <c r="B9" s="4" t="n">
        <v>36878</v>
      </c>
      <c r="C9" s="5" t="n">
        <v>193</v>
      </c>
      <c r="D9" s="5" t="n">
        <v>95</v>
      </c>
      <c r="E9" s="5" t="n">
        <v>2024</v>
      </c>
      <c r="F9" s="5" t="n">
        <v>2</v>
      </c>
      <c r="G9" s="6" t="n">
        <f aca="false">ROUND((DATE(E9,9,1)-B9)/365.25,2)</f>
        <v>23.7</v>
      </c>
      <c r="H9" s="5" t="n">
        <v>3</v>
      </c>
      <c r="I9" s="5" t="n">
        <f aca="false">$B$103-S9+1</f>
        <v>3</v>
      </c>
      <c r="J9" s="5" t="n">
        <v>1</v>
      </c>
      <c r="K9" s="5" t="n">
        <v>0</v>
      </c>
      <c r="L9" s="5" t="n">
        <v>0</v>
      </c>
      <c r="M9" s="5" t="n">
        <v>5</v>
      </c>
      <c r="N9" s="6" t="n">
        <v>9.44</v>
      </c>
      <c r="O9" s="5" t="n">
        <v>2027</v>
      </c>
      <c r="P9" s="5" t="n">
        <v>222</v>
      </c>
      <c r="Q9" s="7" t="s">
        <v>52</v>
      </c>
      <c r="R9" s="7" t="s">
        <v>24</v>
      </c>
      <c r="S9" s="7" t="n">
        <v>2024</v>
      </c>
      <c r="T9" s="7" t="s">
        <v>53</v>
      </c>
      <c r="U9" s="7" t="n">
        <v>1</v>
      </c>
      <c r="V9" s="8" t="s">
        <v>54</v>
      </c>
    </row>
    <row r="10" customFormat="false" ht="22.35" hidden="false" customHeight="false" outlineLevel="0" collapsed="false">
      <c r="A10" s="3" t="s">
        <v>55</v>
      </c>
      <c r="B10" s="4" t="n">
        <v>37498</v>
      </c>
      <c r="C10" s="5" t="n">
        <v>193</v>
      </c>
      <c r="D10" s="5" t="n">
        <v>102</v>
      </c>
      <c r="E10" s="5" t="n">
        <v>2024</v>
      </c>
      <c r="F10" s="5" t="n">
        <v>3</v>
      </c>
      <c r="G10" s="6" t="n">
        <f aca="false">ROUND((DATE(E10,9,1)-B10)/365.25,2)</f>
        <v>22.01</v>
      </c>
      <c r="H10" s="5" t="n">
        <v>4</v>
      </c>
      <c r="I10" s="5" t="n">
        <f aca="false">$B$103-S10+1</f>
        <v>3</v>
      </c>
      <c r="J10" s="5" t="n">
        <v>0</v>
      </c>
      <c r="K10" s="5" t="n">
        <v>0</v>
      </c>
      <c r="L10" s="5" t="n">
        <v>1</v>
      </c>
      <c r="M10" s="5" t="n">
        <v>10</v>
      </c>
      <c r="N10" s="6" t="n">
        <v>9.16</v>
      </c>
      <c r="O10" s="5" t="n">
        <v>2027</v>
      </c>
      <c r="P10" s="5" t="n">
        <v>897</v>
      </c>
      <c r="Q10" s="7" t="s">
        <v>56</v>
      </c>
      <c r="R10" s="7" t="s">
        <v>24</v>
      </c>
      <c r="S10" s="7" t="n">
        <v>2024</v>
      </c>
      <c r="T10" s="7" t="s">
        <v>57</v>
      </c>
      <c r="U10" s="7" t="n">
        <v>1</v>
      </c>
      <c r="V10" s="8" t="s">
        <v>58</v>
      </c>
    </row>
    <row r="11" customFormat="false" ht="22.35" hidden="false" customHeight="false" outlineLevel="0" collapsed="false">
      <c r="A11" s="3" t="s">
        <v>59</v>
      </c>
      <c r="B11" s="4" t="n">
        <v>37213</v>
      </c>
      <c r="C11" s="5" t="n">
        <v>185</v>
      </c>
      <c r="D11" s="5" t="n">
        <v>97</v>
      </c>
      <c r="E11" s="5" t="n">
        <v>2024</v>
      </c>
      <c r="F11" s="5" t="n">
        <v>1</v>
      </c>
      <c r="G11" s="6" t="n">
        <f aca="false">ROUND((DATE(E11,9,1)-B11)/365.25,2)</f>
        <v>22.79</v>
      </c>
      <c r="H11" s="5" t="n">
        <v>2</v>
      </c>
      <c r="I11" s="5" t="n">
        <f aca="false">$B$103-S11+1</f>
        <v>3</v>
      </c>
      <c r="J11" s="5" t="n">
        <v>0</v>
      </c>
      <c r="K11" s="5" t="n">
        <v>0</v>
      </c>
      <c r="L11" s="5" t="n">
        <v>0</v>
      </c>
      <c r="M11" s="5" t="n">
        <v>18</v>
      </c>
      <c r="N11" s="6" t="n">
        <v>9.87</v>
      </c>
      <c r="O11" s="5" t="n">
        <v>2027</v>
      </c>
      <c r="P11" s="5" t="n">
        <v>678</v>
      </c>
      <c r="Q11" s="7" t="s">
        <v>60</v>
      </c>
      <c r="R11" s="7" t="s">
        <v>24</v>
      </c>
      <c r="S11" s="7" t="n">
        <v>2024</v>
      </c>
      <c r="T11" s="7" t="s">
        <v>61</v>
      </c>
      <c r="U11" s="7" t="n">
        <v>1</v>
      </c>
      <c r="V11" s="8" t="s">
        <v>62</v>
      </c>
    </row>
    <row r="12" customFormat="false" ht="22.35" hidden="false" customHeight="false" outlineLevel="0" collapsed="false">
      <c r="A12" s="3" t="s">
        <v>63</v>
      </c>
      <c r="B12" s="4" t="n">
        <v>36101</v>
      </c>
      <c r="C12" s="5" t="n">
        <v>193</v>
      </c>
      <c r="D12" s="5" t="n">
        <v>99</v>
      </c>
      <c r="E12" s="5" t="n">
        <v>2020</v>
      </c>
      <c r="F12" s="5" t="n">
        <v>26</v>
      </c>
      <c r="G12" s="6" t="n">
        <f aca="false">ROUND((DATE(E12,9,1)-B12)/365.25,2)</f>
        <v>21.83</v>
      </c>
      <c r="H12" s="5" t="n">
        <v>4</v>
      </c>
      <c r="I12" s="5" t="n">
        <f aca="false">$B$103-S12+1</f>
        <v>7</v>
      </c>
      <c r="J12" s="5" t="n">
        <v>0</v>
      </c>
      <c r="K12" s="5" t="n">
        <v>0</v>
      </c>
      <c r="L12" s="5" t="n">
        <v>0</v>
      </c>
      <c r="M12" s="5" t="n">
        <v>10</v>
      </c>
      <c r="N12" s="6" t="n">
        <v>55</v>
      </c>
      <c r="O12" s="5" t="n">
        <v>2028</v>
      </c>
      <c r="P12" s="5" t="n">
        <v>413</v>
      </c>
      <c r="Q12" s="7" t="s">
        <v>64</v>
      </c>
      <c r="R12" s="7" t="s">
        <v>24</v>
      </c>
      <c r="S12" s="7" t="n">
        <v>2020</v>
      </c>
      <c r="T12" s="7" t="s">
        <v>65</v>
      </c>
      <c r="U12" s="7" t="n">
        <v>1</v>
      </c>
      <c r="V12" s="8" t="s">
        <v>66</v>
      </c>
    </row>
    <row r="13" customFormat="false" ht="22.35" hidden="false" customHeight="false" outlineLevel="0" collapsed="false">
      <c r="A13" s="3" t="s">
        <v>67</v>
      </c>
      <c r="B13" s="4" t="n">
        <v>36521</v>
      </c>
      <c r="C13" s="5" t="n">
        <v>185</v>
      </c>
      <c r="D13" s="5" t="n">
        <v>100</v>
      </c>
      <c r="E13" s="5" t="n">
        <v>2022</v>
      </c>
      <c r="F13" s="5" t="n">
        <v>262</v>
      </c>
      <c r="G13" s="6" t="n">
        <f aca="false">ROUND((DATE(E13,9,1)-B13)/365.25,2)</f>
        <v>22.68</v>
      </c>
      <c r="H13" s="5" t="n">
        <v>8</v>
      </c>
      <c r="I13" s="5" t="n">
        <f aca="false">$B$103-S13+1</f>
        <v>5</v>
      </c>
      <c r="J13" s="5" t="n">
        <v>1</v>
      </c>
      <c r="K13" s="5" t="n">
        <v>0</v>
      </c>
      <c r="L13" s="5" t="n">
        <v>1</v>
      </c>
      <c r="M13" s="5" t="n">
        <v>13</v>
      </c>
      <c r="N13" s="6" t="n">
        <v>53</v>
      </c>
      <c r="O13" s="5" t="n">
        <v>2030</v>
      </c>
      <c r="P13" s="5" t="n">
        <v>76</v>
      </c>
      <c r="Q13" s="7" t="s">
        <v>68</v>
      </c>
      <c r="R13" s="7" t="s">
        <v>24</v>
      </c>
      <c r="S13" s="7" t="n">
        <v>2022</v>
      </c>
      <c r="T13" s="7" t="s">
        <v>69</v>
      </c>
      <c r="U13" s="7" t="n">
        <v>1</v>
      </c>
      <c r="V13" s="8" t="s">
        <v>70</v>
      </c>
    </row>
    <row r="14" customFormat="false" ht="22.35" hidden="false" customHeight="false" outlineLevel="0" collapsed="false">
      <c r="A14" s="3" t="s">
        <v>71</v>
      </c>
      <c r="B14" s="4" t="n">
        <v>36581</v>
      </c>
      <c r="C14" s="5" t="n">
        <v>188</v>
      </c>
      <c r="D14" s="5" t="n">
        <v>98</v>
      </c>
      <c r="E14" s="5" t="n">
        <v>2024</v>
      </c>
      <c r="F14" s="5" t="n">
        <v>12</v>
      </c>
      <c r="G14" s="6" t="n">
        <f aca="false">ROUND((DATE(E14,9,1)-B14)/365.25,2)</f>
        <v>24.52</v>
      </c>
      <c r="H14" s="5" t="n">
        <v>2</v>
      </c>
      <c r="I14" s="5" t="n">
        <f aca="false">$B$103-S14+1</f>
        <v>3</v>
      </c>
      <c r="J14" s="5" t="n">
        <v>0</v>
      </c>
      <c r="K14" s="5" t="n">
        <v>0</v>
      </c>
      <c r="L14" s="5" t="n">
        <v>0</v>
      </c>
      <c r="M14" s="5" t="n">
        <v>10</v>
      </c>
      <c r="N14" s="6" t="n">
        <v>4.65</v>
      </c>
      <c r="O14" s="5" t="n">
        <v>2027</v>
      </c>
      <c r="P14" s="5" t="n">
        <v>7</v>
      </c>
      <c r="Q14" s="7" t="s">
        <v>72</v>
      </c>
      <c r="R14" s="7" t="s">
        <v>24</v>
      </c>
      <c r="S14" s="7" t="n">
        <v>2024</v>
      </c>
      <c r="T14" s="7" t="s">
        <v>73</v>
      </c>
      <c r="U14" s="7" t="n">
        <v>1</v>
      </c>
      <c r="V14" s="8" t="s">
        <v>74</v>
      </c>
    </row>
    <row r="15" customFormat="false" ht="22.35" hidden="false" customHeight="false" outlineLevel="0" collapsed="false">
      <c r="A15" s="3" t="s">
        <v>75</v>
      </c>
      <c r="B15" s="4" t="n">
        <v>34179</v>
      </c>
      <c r="C15" s="5" t="n">
        <v>188</v>
      </c>
      <c r="D15" s="5" t="n">
        <v>108</v>
      </c>
      <c r="E15" s="5" t="n">
        <v>2016</v>
      </c>
      <c r="F15" s="5" t="n">
        <v>135</v>
      </c>
      <c r="G15" s="6" t="n">
        <f aca="false">ROUND((DATE(E15,9,1)-B15)/365.25,2)</f>
        <v>23.09</v>
      </c>
      <c r="H15" s="5" t="n">
        <v>7</v>
      </c>
      <c r="I15" s="5" t="n">
        <f aca="false">$B$103-S15+1</f>
        <v>11</v>
      </c>
      <c r="J15" s="5" t="n">
        <v>3</v>
      </c>
      <c r="K15" s="5" t="n">
        <v>0</v>
      </c>
      <c r="L15" s="5" t="n">
        <v>0</v>
      </c>
      <c r="M15" s="5" t="n">
        <v>4</v>
      </c>
      <c r="N15" s="6" t="n">
        <v>60</v>
      </c>
      <c r="O15" s="5" t="n">
        <v>2028</v>
      </c>
      <c r="P15" s="5" t="n">
        <v>20</v>
      </c>
      <c r="Q15" s="7" t="s">
        <v>76</v>
      </c>
      <c r="R15" s="7" t="s">
        <v>24</v>
      </c>
      <c r="S15" s="7" t="n">
        <v>2016</v>
      </c>
      <c r="T15" s="7" t="s">
        <v>77</v>
      </c>
      <c r="U15" s="7" t="n">
        <v>1</v>
      </c>
      <c r="V15" s="8" t="s">
        <v>78</v>
      </c>
    </row>
    <row r="16" customFormat="false" ht="15" hidden="false" customHeight="false" outlineLevel="0" collapsed="false">
      <c r="A16" s="3" t="s">
        <v>79</v>
      </c>
      <c r="B16" s="4" t="n">
        <v>34621</v>
      </c>
      <c r="C16" s="5" t="n">
        <v>193</v>
      </c>
      <c r="D16" s="5" t="n">
        <v>100</v>
      </c>
      <c r="E16" s="5" t="n">
        <v>2016</v>
      </c>
      <c r="F16" s="5" t="n">
        <v>1</v>
      </c>
      <c r="G16" s="6" t="n">
        <f aca="false">ROUND((DATE(E16,9,1)-B16)/365.25,2)</f>
        <v>21.88</v>
      </c>
      <c r="H16" s="5" t="n">
        <v>10</v>
      </c>
      <c r="I16" s="5" t="n">
        <f aca="false">$B$103-S16+1</f>
        <v>6</v>
      </c>
      <c r="J16" s="5" t="n">
        <v>4</v>
      </c>
      <c r="K16" s="5" t="n">
        <v>0</v>
      </c>
      <c r="L16" s="5" t="n">
        <v>1</v>
      </c>
      <c r="M16" s="5" t="n">
        <v>16</v>
      </c>
      <c r="N16" s="6" t="n">
        <v>53</v>
      </c>
      <c r="O16" s="5" t="n">
        <v>2028</v>
      </c>
      <c r="P16" s="5" t="n">
        <v>53</v>
      </c>
      <c r="Q16" s="7" t="s">
        <v>80</v>
      </c>
      <c r="R16" s="7" t="s">
        <v>24</v>
      </c>
      <c r="S16" s="7" t="n">
        <v>2021</v>
      </c>
      <c r="T16" s="7" t="s">
        <v>81</v>
      </c>
      <c r="U16" s="7" t="n">
        <v>2</v>
      </c>
      <c r="V16" s="8" t="s">
        <v>82</v>
      </c>
    </row>
    <row r="17" customFormat="false" ht="22.35" hidden="false" customHeight="false" outlineLevel="0" collapsed="false">
      <c r="A17" s="3" t="s">
        <v>83</v>
      </c>
      <c r="B17" s="4" t="n">
        <v>35470</v>
      </c>
      <c r="C17" s="5" t="n">
        <v>183</v>
      </c>
      <c r="D17" s="5" t="n">
        <v>105</v>
      </c>
      <c r="E17" s="5" t="n">
        <v>2018</v>
      </c>
      <c r="F17" s="5" t="n">
        <v>2</v>
      </c>
      <c r="G17" s="6" t="n">
        <f aca="false">ROUND((DATE(E17,9,1)-B17)/365.25,2)</f>
        <v>21.56</v>
      </c>
      <c r="H17" s="5" t="n">
        <v>7</v>
      </c>
      <c r="I17" s="5" t="n">
        <f aca="false">$B$103-S17+1</f>
        <v>3</v>
      </c>
      <c r="J17" s="5" t="n">
        <v>3</v>
      </c>
      <c r="K17" s="5" t="n">
        <v>1</v>
      </c>
      <c r="L17" s="5" t="n">
        <v>1</v>
      </c>
      <c r="M17" s="5" t="n">
        <v>26</v>
      </c>
      <c r="N17" s="6" t="n">
        <v>20.6</v>
      </c>
      <c r="O17" s="5" t="n">
        <v>2028</v>
      </c>
      <c r="P17" s="5" t="n">
        <v>1356</v>
      </c>
      <c r="Q17" s="7" t="s">
        <v>40</v>
      </c>
      <c r="R17" s="7" t="s">
        <v>84</v>
      </c>
      <c r="S17" s="7" t="n">
        <v>2024</v>
      </c>
      <c r="T17" s="7" t="s">
        <v>85</v>
      </c>
      <c r="U17" s="7" t="n">
        <v>2</v>
      </c>
      <c r="V17" s="8" t="s">
        <v>86</v>
      </c>
    </row>
    <row r="18" customFormat="false" ht="22.35" hidden="false" customHeight="false" outlineLevel="0" collapsed="false">
      <c r="A18" s="3" t="s">
        <v>87</v>
      </c>
      <c r="B18" s="4" t="n">
        <v>34338</v>
      </c>
      <c r="C18" s="5" t="n">
        <v>191</v>
      </c>
      <c r="D18" s="5" t="n">
        <v>112</v>
      </c>
      <c r="E18" s="5" t="n">
        <v>2016</v>
      </c>
      <c r="F18" s="5" t="n">
        <v>45</v>
      </c>
      <c r="G18" s="6" t="n">
        <f aca="false">ROUND((DATE(E18,9,1)-B18)/365.25,2)</f>
        <v>22.66</v>
      </c>
      <c r="H18" s="5" t="n">
        <v>9</v>
      </c>
      <c r="I18" s="5" t="n">
        <f aca="false">$B$103-S18+1</f>
        <v>3</v>
      </c>
      <c r="J18" s="5" t="n">
        <v>5</v>
      </c>
      <c r="K18" s="5" t="n">
        <v>2</v>
      </c>
      <c r="L18" s="5" t="n">
        <v>0</v>
      </c>
      <c r="M18" s="5" t="n">
        <v>22</v>
      </c>
      <c r="N18" s="6" t="n">
        <v>15</v>
      </c>
      <c r="O18" s="5" t="n">
        <v>2026</v>
      </c>
      <c r="P18" s="5" t="n">
        <v>14</v>
      </c>
      <c r="Q18" s="7" t="s">
        <v>32</v>
      </c>
      <c r="R18" s="7" t="s">
        <v>84</v>
      </c>
      <c r="S18" s="7" t="n">
        <v>2024</v>
      </c>
      <c r="T18" s="7" t="s">
        <v>88</v>
      </c>
      <c r="U18" s="7" t="n">
        <v>2</v>
      </c>
      <c r="V18" s="8" t="s">
        <v>89</v>
      </c>
    </row>
    <row r="19" customFormat="false" ht="15" hidden="false" customHeight="false" outlineLevel="0" collapsed="false">
      <c r="A19" s="3" t="s">
        <v>90</v>
      </c>
      <c r="B19" s="4" t="n">
        <v>35223</v>
      </c>
      <c r="C19" s="5" t="n">
        <v>180</v>
      </c>
      <c r="D19" s="5" t="n">
        <v>95</v>
      </c>
      <c r="E19" s="5" t="n">
        <v>2017</v>
      </c>
      <c r="F19" s="5" t="n">
        <v>8</v>
      </c>
      <c r="G19" s="6" t="n">
        <f aca="false">ROUND((DATE(E19,9,1)-B19)/365.25,2)</f>
        <v>21.23</v>
      </c>
      <c r="H19" s="5" t="n">
        <v>8</v>
      </c>
      <c r="I19" s="5" t="n">
        <f aca="false">$B$103-S19+1</f>
        <v>5</v>
      </c>
      <c r="J19" s="5" t="n">
        <v>3</v>
      </c>
      <c r="K19" s="5" t="n">
        <v>2</v>
      </c>
      <c r="L19" s="5" t="n">
        <v>1</v>
      </c>
      <c r="M19" s="5" t="n">
        <v>23</v>
      </c>
      <c r="N19" s="6" t="n">
        <v>19</v>
      </c>
      <c r="O19" s="5" t="n">
        <v>2027</v>
      </c>
      <c r="P19" s="5" t="n">
        <v>82</v>
      </c>
      <c r="Q19" s="7" t="s">
        <v>68</v>
      </c>
      <c r="R19" s="7" t="s">
        <v>84</v>
      </c>
      <c r="S19" s="7" t="n">
        <v>2022</v>
      </c>
      <c r="T19" s="7" t="s">
        <v>91</v>
      </c>
      <c r="U19" s="7" t="n">
        <v>2</v>
      </c>
      <c r="V19" s="8" t="s">
        <v>92</v>
      </c>
    </row>
    <row r="20" customFormat="false" ht="22.35" hidden="false" customHeight="false" outlineLevel="0" collapsed="false">
      <c r="A20" s="3" t="s">
        <v>93</v>
      </c>
      <c r="B20" s="4" t="n">
        <v>37286</v>
      </c>
      <c r="C20" s="5" t="n">
        <v>180</v>
      </c>
      <c r="D20" s="5" t="n">
        <v>97</v>
      </c>
      <c r="E20" s="5" t="n">
        <v>2023</v>
      </c>
      <c r="F20" s="5" t="n">
        <v>8</v>
      </c>
      <c r="G20" s="6" t="n">
        <f aca="false">ROUND((DATE(E20,9,1)-B20)/365.25,2)</f>
        <v>21.59</v>
      </c>
      <c r="H20" s="5" t="n">
        <v>0</v>
      </c>
      <c r="I20" s="5" t="n">
        <f aca="false">$B$103-S20+1</f>
        <v>4</v>
      </c>
      <c r="J20" s="5" t="n">
        <v>1</v>
      </c>
      <c r="K20" s="5" t="n">
        <v>1</v>
      </c>
      <c r="L20" s="5" t="n">
        <v>0</v>
      </c>
      <c r="M20" s="5" t="n">
        <v>7</v>
      </c>
      <c r="N20" s="6" t="n">
        <v>5.49</v>
      </c>
      <c r="O20" s="5" t="n">
        <v>2026</v>
      </c>
      <c r="P20" s="5" t="n">
        <v>547</v>
      </c>
      <c r="Q20" s="7" t="s">
        <v>94</v>
      </c>
      <c r="R20" s="7" t="s">
        <v>84</v>
      </c>
      <c r="S20" s="7" t="n">
        <v>2023</v>
      </c>
      <c r="T20" s="7" t="s">
        <v>95</v>
      </c>
      <c r="U20" s="7" t="n">
        <v>1</v>
      </c>
      <c r="V20" s="8" t="s">
        <v>96</v>
      </c>
    </row>
    <row r="21" customFormat="false" ht="15" hidden="false" customHeight="false" outlineLevel="0" collapsed="false">
      <c r="A21" s="3" t="s">
        <v>97</v>
      </c>
      <c r="B21" s="4" t="n">
        <v>37335</v>
      </c>
      <c r="C21" s="5" t="n">
        <v>175</v>
      </c>
      <c r="D21" s="5" t="n">
        <v>90</v>
      </c>
      <c r="E21" s="5" t="n">
        <v>2023</v>
      </c>
      <c r="F21" s="5" t="n">
        <v>12</v>
      </c>
      <c r="G21" s="6" t="n">
        <f aca="false">ROUND((DATE(E21,9,1)-B21)/365.25,2)</f>
        <v>21.45</v>
      </c>
      <c r="H21" s="5" t="n">
        <v>4</v>
      </c>
      <c r="I21" s="5" t="n">
        <f aca="false">$B$103-S21+1</f>
        <v>4</v>
      </c>
      <c r="J21" s="5" t="n">
        <v>2</v>
      </c>
      <c r="K21" s="5" t="n">
        <v>0</v>
      </c>
      <c r="L21" s="5" t="n">
        <v>0</v>
      </c>
      <c r="M21" s="5" t="n">
        <v>26</v>
      </c>
      <c r="N21" s="6" t="n">
        <v>4.46</v>
      </c>
      <c r="O21" s="5" t="n">
        <v>2026</v>
      </c>
      <c r="P21" s="5" t="n">
        <v>34</v>
      </c>
      <c r="Q21" s="7" t="s">
        <v>80</v>
      </c>
      <c r="R21" s="7" t="s">
        <v>84</v>
      </c>
      <c r="S21" s="7" t="n">
        <v>2023</v>
      </c>
      <c r="T21" s="7" t="s">
        <v>98</v>
      </c>
      <c r="U21" s="7" t="n">
        <v>1</v>
      </c>
      <c r="V21" s="8" t="s">
        <v>99</v>
      </c>
    </row>
    <row r="22" customFormat="false" ht="22.35" hidden="false" customHeight="false" outlineLevel="0" collapsed="false">
      <c r="A22" s="3" t="s">
        <v>100</v>
      </c>
      <c r="B22" s="4" t="n">
        <v>37957</v>
      </c>
      <c r="C22" s="5" t="n">
        <v>173</v>
      </c>
      <c r="D22" s="5" t="n">
        <v>96</v>
      </c>
      <c r="E22" s="5" t="n">
        <v>2025</v>
      </c>
      <c r="F22" s="5" t="n">
        <v>6</v>
      </c>
      <c r="G22" s="6" t="n">
        <f aca="false">ROUND((DATE(E22,9,1)-B22)/365.25,2)</f>
        <v>21.75</v>
      </c>
      <c r="H22" s="5" t="n">
        <v>0</v>
      </c>
      <c r="I22" s="5" t="n">
        <f aca="false">$B$103-S22+1</f>
        <v>2</v>
      </c>
      <c r="J22" s="5" t="n">
        <v>0</v>
      </c>
      <c r="K22" s="5" t="n">
        <v>0</v>
      </c>
      <c r="L22" s="5" t="n">
        <v>0</v>
      </c>
      <c r="M22" s="5" t="n">
        <v>2</v>
      </c>
      <c r="N22" s="6" t="n">
        <v>8.97</v>
      </c>
      <c r="O22" s="5" t="n">
        <v>2028</v>
      </c>
      <c r="P22" s="5" t="n">
        <v>985</v>
      </c>
      <c r="Q22" s="7" t="s">
        <v>101</v>
      </c>
      <c r="R22" s="7" t="s">
        <v>84</v>
      </c>
      <c r="S22" s="7" t="n">
        <v>2025</v>
      </c>
      <c r="T22" s="7" t="s">
        <v>102</v>
      </c>
      <c r="U22" s="7" t="n">
        <v>1</v>
      </c>
      <c r="V22" s="8" t="s">
        <v>103</v>
      </c>
    </row>
    <row r="23" customFormat="false" ht="15" hidden="false" customHeight="false" outlineLevel="0" collapsed="false">
      <c r="A23" s="3" t="s">
        <v>104</v>
      </c>
      <c r="B23" s="4" t="n">
        <v>36327</v>
      </c>
      <c r="C23" s="5" t="n">
        <v>185</v>
      </c>
      <c r="D23" s="5" t="n">
        <v>88</v>
      </c>
      <c r="E23" s="5" t="n">
        <v>2020</v>
      </c>
      <c r="F23" s="5" t="n">
        <v>22</v>
      </c>
      <c r="G23" s="6" t="n">
        <f aca="false">ROUND((DATE(E23,9,1)-B23)/365.25,2)</f>
        <v>21.21</v>
      </c>
      <c r="H23" s="5" t="n">
        <v>2</v>
      </c>
      <c r="I23" s="5" t="n">
        <f aca="false">$B$103-S23+1</f>
        <v>7</v>
      </c>
      <c r="J23" s="5" t="n">
        <v>4</v>
      </c>
      <c r="K23" s="5" t="n">
        <v>2</v>
      </c>
      <c r="L23" s="5" t="n">
        <v>0</v>
      </c>
      <c r="M23" s="5" t="n">
        <v>18</v>
      </c>
      <c r="N23" s="6" t="n">
        <v>35</v>
      </c>
      <c r="O23" s="5" t="n">
        <v>2028</v>
      </c>
      <c r="P23" s="5" t="n">
        <v>8</v>
      </c>
      <c r="Q23" s="7" t="s">
        <v>105</v>
      </c>
      <c r="R23" s="7" t="s">
        <v>106</v>
      </c>
      <c r="S23" s="7" t="n">
        <v>2020</v>
      </c>
      <c r="T23" s="7" t="s">
        <v>107</v>
      </c>
      <c r="U23" s="7" t="n">
        <v>1</v>
      </c>
      <c r="V23" s="8" t="s">
        <v>108</v>
      </c>
    </row>
    <row r="24" customFormat="false" ht="22.35" hidden="false" customHeight="false" outlineLevel="0" collapsed="false">
      <c r="A24" s="3" t="s">
        <v>109</v>
      </c>
      <c r="B24" s="4" t="n">
        <v>36586</v>
      </c>
      <c r="C24" s="5" t="n">
        <v>183</v>
      </c>
      <c r="D24" s="5" t="n">
        <v>93</v>
      </c>
      <c r="E24" s="5" t="n">
        <v>2021</v>
      </c>
      <c r="F24" s="5" t="n">
        <v>5</v>
      </c>
      <c r="G24" s="6" t="n">
        <f aca="false">ROUND((DATE(E24,9,1)-B24)/365.25,2)</f>
        <v>21.5</v>
      </c>
      <c r="H24" s="5" t="n">
        <v>7</v>
      </c>
      <c r="I24" s="5" t="n">
        <f aca="false">$B$103-S24+1</f>
        <v>6</v>
      </c>
      <c r="J24" s="5" t="n">
        <v>4</v>
      </c>
      <c r="K24" s="5" t="n">
        <v>1</v>
      </c>
      <c r="L24" s="5" t="n">
        <v>1</v>
      </c>
      <c r="M24" s="5" t="n">
        <v>1</v>
      </c>
      <c r="N24" s="6" t="n">
        <v>40.25</v>
      </c>
      <c r="O24" s="5" t="n">
        <v>2029</v>
      </c>
      <c r="P24" s="5" t="n">
        <v>20</v>
      </c>
      <c r="Q24" s="7" t="s">
        <v>36</v>
      </c>
      <c r="R24" s="7" t="s">
        <v>106</v>
      </c>
      <c r="S24" s="7" t="n">
        <v>2021</v>
      </c>
      <c r="T24" s="7" t="s">
        <v>110</v>
      </c>
      <c r="U24" s="7" t="n">
        <v>1</v>
      </c>
      <c r="V24" s="8" t="s">
        <v>111</v>
      </c>
    </row>
    <row r="25" customFormat="false" ht="15" hidden="false" customHeight="false" outlineLevel="0" collapsed="false">
      <c r="A25" s="3" t="s">
        <v>112</v>
      </c>
      <c r="B25" s="4" t="n">
        <v>36258</v>
      </c>
      <c r="C25" s="5" t="n">
        <v>188</v>
      </c>
      <c r="D25" s="5" t="n">
        <v>91</v>
      </c>
      <c r="E25" s="5" t="n">
        <v>2020</v>
      </c>
      <c r="F25" s="5" t="n">
        <v>17</v>
      </c>
      <c r="G25" s="6" t="n">
        <f aca="false">ROUND((DATE(E25,9,1)-B25)/365.25,2)</f>
        <v>21.4</v>
      </c>
      <c r="H25" s="5" t="n">
        <v>4</v>
      </c>
      <c r="I25" s="5" t="n">
        <f aca="false">$B$103-S25+1</f>
        <v>7</v>
      </c>
      <c r="J25" s="5" t="n">
        <v>4</v>
      </c>
      <c r="K25" s="5" t="n">
        <v>1</v>
      </c>
      <c r="L25" s="5" t="n">
        <v>0</v>
      </c>
      <c r="M25" s="5" t="n">
        <v>88</v>
      </c>
      <c r="N25" s="6" t="n">
        <v>34</v>
      </c>
      <c r="O25" s="5" t="n">
        <v>2028</v>
      </c>
      <c r="P25" s="5" t="n">
        <v>15</v>
      </c>
      <c r="Q25" s="7" t="s">
        <v>76</v>
      </c>
      <c r="R25" s="7" t="s">
        <v>106</v>
      </c>
      <c r="S25" s="7" t="n">
        <v>2020</v>
      </c>
      <c r="T25" s="7" t="s">
        <v>113</v>
      </c>
      <c r="U25" s="7" t="n">
        <v>1</v>
      </c>
      <c r="V25" s="8" t="s">
        <v>114</v>
      </c>
    </row>
    <row r="26" customFormat="false" ht="22.35" hidden="false" customHeight="false" outlineLevel="0" collapsed="false">
      <c r="A26" s="3" t="s">
        <v>115</v>
      </c>
      <c r="B26" s="4" t="n">
        <v>36457</v>
      </c>
      <c r="C26" s="5" t="n">
        <v>183</v>
      </c>
      <c r="D26" s="5" t="n">
        <v>91</v>
      </c>
      <c r="E26" s="5" t="n">
        <v>2021</v>
      </c>
      <c r="F26" s="5" t="n">
        <v>112</v>
      </c>
      <c r="G26" s="6" t="n">
        <f aca="false">ROUND((DATE(E26,9,1)-B26)/365.25,2)</f>
        <v>21.86</v>
      </c>
      <c r="H26" s="5" t="n">
        <v>4</v>
      </c>
      <c r="I26" s="5" t="n">
        <f aca="false">$B$103-S26+1</f>
        <v>6</v>
      </c>
      <c r="J26" s="5" t="n">
        <v>3</v>
      </c>
      <c r="K26" s="5" t="n">
        <v>1</v>
      </c>
      <c r="L26" s="5" t="n">
        <v>0</v>
      </c>
      <c r="M26" s="5" t="n">
        <v>14</v>
      </c>
      <c r="N26" s="6" t="n">
        <v>30</v>
      </c>
      <c r="O26" s="5" t="n">
        <v>2028</v>
      </c>
      <c r="P26" s="5" t="n">
        <v>340</v>
      </c>
      <c r="Q26" s="7" t="s">
        <v>80</v>
      </c>
      <c r="R26" s="7" t="s">
        <v>106</v>
      </c>
      <c r="S26" s="7" t="n">
        <v>2021</v>
      </c>
      <c r="T26" s="7" t="s">
        <v>116</v>
      </c>
      <c r="U26" s="7" t="n">
        <v>1</v>
      </c>
      <c r="V26" s="8" t="s">
        <v>117</v>
      </c>
    </row>
    <row r="27" customFormat="false" ht="22.35" hidden="false" customHeight="false" outlineLevel="0" collapsed="false">
      <c r="A27" s="3" t="s">
        <v>118</v>
      </c>
      <c r="B27" s="4" t="n">
        <v>37040</v>
      </c>
      <c r="C27" s="5" t="n">
        <v>188</v>
      </c>
      <c r="D27" s="5" t="n">
        <v>96</v>
      </c>
      <c r="E27" s="5" t="n">
        <v>2023</v>
      </c>
      <c r="F27" s="5" t="n">
        <v>177</v>
      </c>
      <c r="G27" s="6" t="n">
        <f aca="false">ROUND((DATE(E27,9,1)-B27)/365.25,2)</f>
        <v>22.26</v>
      </c>
      <c r="H27" s="5" t="n">
        <v>6</v>
      </c>
      <c r="I27" s="5" t="n">
        <f aca="false">$B$103-S27+1</f>
        <v>4</v>
      </c>
      <c r="J27" s="5" t="n">
        <v>1</v>
      </c>
      <c r="K27" s="5" t="n">
        <v>0</v>
      </c>
      <c r="L27" s="5" t="n">
        <v>0</v>
      </c>
      <c r="M27" s="5" t="n">
        <v>17</v>
      </c>
      <c r="N27" s="6" t="n">
        <v>0.98</v>
      </c>
      <c r="O27" s="5" t="n">
        <v>2026</v>
      </c>
      <c r="P27" s="5" t="n">
        <v>115</v>
      </c>
      <c r="Q27" s="7" t="s">
        <v>119</v>
      </c>
      <c r="R27" s="7" t="s">
        <v>106</v>
      </c>
      <c r="S27" s="7" t="n">
        <v>2023</v>
      </c>
      <c r="T27" s="7" t="s">
        <v>120</v>
      </c>
      <c r="U27" s="7" t="n">
        <v>1</v>
      </c>
      <c r="V27" s="8" t="s">
        <v>121</v>
      </c>
    </row>
    <row r="28" customFormat="false" ht="22.35" hidden="false" customHeight="false" outlineLevel="0" collapsed="false">
      <c r="A28" s="3" t="s">
        <v>122</v>
      </c>
      <c r="B28" s="4" t="n">
        <v>37301</v>
      </c>
      <c r="C28" s="5" t="n">
        <v>185</v>
      </c>
      <c r="D28" s="5" t="n">
        <v>89</v>
      </c>
      <c r="E28" s="5" t="n">
        <v>2023</v>
      </c>
      <c r="F28" s="5" t="n">
        <v>20</v>
      </c>
      <c r="G28" s="6" t="n">
        <f aca="false">ROUND((DATE(E28,9,1)-B28)/365.25,2)</f>
        <v>21.54</v>
      </c>
      <c r="H28" s="5" t="n">
        <v>3</v>
      </c>
      <c r="I28" s="5" t="n">
        <f aca="false">$B$103-S28+1</f>
        <v>4</v>
      </c>
      <c r="J28" s="5" t="n">
        <v>1</v>
      </c>
      <c r="K28" s="5" t="n">
        <v>0</v>
      </c>
      <c r="L28" s="5" t="n">
        <v>1</v>
      </c>
      <c r="M28" s="5" t="n">
        <v>11</v>
      </c>
      <c r="N28" s="6" t="n">
        <v>3.58</v>
      </c>
      <c r="O28" s="5" t="n">
        <v>2026</v>
      </c>
      <c r="P28" s="5" t="n">
        <v>51</v>
      </c>
      <c r="Q28" s="7" t="s">
        <v>123</v>
      </c>
      <c r="R28" s="7" t="s">
        <v>106</v>
      </c>
      <c r="S28" s="7" t="n">
        <v>2023</v>
      </c>
      <c r="T28" s="7" t="s">
        <v>124</v>
      </c>
      <c r="U28" s="7" t="n">
        <v>1</v>
      </c>
      <c r="V28" s="8" t="s">
        <v>125</v>
      </c>
    </row>
    <row r="29" customFormat="false" ht="15" hidden="false" customHeight="false" outlineLevel="0" collapsed="false">
      <c r="A29" s="3" t="s">
        <v>126</v>
      </c>
      <c r="B29" s="4" t="n">
        <v>35611</v>
      </c>
      <c r="C29" s="5" t="n">
        <v>185</v>
      </c>
      <c r="D29" s="5" t="n">
        <v>103</v>
      </c>
      <c r="E29" s="5" t="n">
        <v>2019</v>
      </c>
      <c r="F29" s="5" t="n">
        <v>51</v>
      </c>
      <c r="G29" s="6" t="n">
        <f aca="false">ROUND((DATE(E29,9,1)-B29)/365.25,2)</f>
        <v>22.17</v>
      </c>
      <c r="H29" s="5" t="n">
        <v>11</v>
      </c>
      <c r="I29" s="5" t="n">
        <f aca="false">$B$103-S29+1</f>
        <v>5</v>
      </c>
      <c r="J29" s="5" t="n">
        <v>4</v>
      </c>
      <c r="K29" s="5" t="n">
        <v>0</v>
      </c>
      <c r="L29" s="5" t="n">
        <v>2</v>
      </c>
      <c r="M29" s="5" t="n">
        <v>11</v>
      </c>
      <c r="N29" s="6" t="n">
        <v>32</v>
      </c>
      <c r="O29" s="5" t="n">
        <v>2028</v>
      </c>
      <c r="P29" s="5" t="n">
        <v>24</v>
      </c>
      <c r="Q29" s="7" t="s">
        <v>40</v>
      </c>
      <c r="R29" s="7" t="s">
        <v>106</v>
      </c>
      <c r="S29" s="7" t="n">
        <v>2022</v>
      </c>
      <c r="T29" s="7" t="s">
        <v>127</v>
      </c>
      <c r="U29" s="7" t="n">
        <v>2</v>
      </c>
      <c r="V29" s="8" t="s">
        <v>128</v>
      </c>
    </row>
    <row r="30" customFormat="false" ht="15" hidden="false" customHeight="false" outlineLevel="0" collapsed="false">
      <c r="A30" s="3" t="s">
        <v>129</v>
      </c>
      <c r="B30" s="4" t="n">
        <v>37830</v>
      </c>
      <c r="C30" s="5" t="n">
        <v>183</v>
      </c>
      <c r="D30" s="5" t="n">
        <v>91</v>
      </c>
      <c r="E30" s="5" t="n">
        <v>2024</v>
      </c>
      <c r="F30" s="5" t="n">
        <v>6</v>
      </c>
      <c r="G30" s="6" t="n">
        <f aca="false">ROUND((DATE(E30,9,1)-B30)/365.25,2)</f>
        <v>21.1</v>
      </c>
      <c r="H30" s="5" t="n">
        <v>0</v>
      </c>
      <c r="I30" s="5" t="n">
        <f aca="false">$B$103-S30+1</f>
        <v>3</v>
      </c>
      <c r="J30" s="5" t="n">
        <v>1</v>
      </c>
      <c r="K30" s="5" t="n">
        <v>0</v>
      </c>
      <c r="L30" s="5" t="n">
        <v>0</v>
      </c>
      <c r="M30" s="5" t="n">
        <v>1</v>
      </c>
      <c r="N30" s="6" t="n">
        <v>7.31</v>
      </c>
      <c r="O30" s="5" t="n">
        <v>2027</v>
      </c>
      <c r="P30" s="5" t="n">
        <v>17</v>
      </c>
      <c r="Q30" s="7" t="s">
        <v>130</v>
      </c>
      <c r="R30" s="7" t="s">
        <v>106</v>
      </c>
      <c r="S30" s="7" t="n">
        <v>2024</v>
      </c>
      <c r="T30" s="7" t="s">
        <v>131</v>
      </c>
      <c r="U30" s="7" t="n">
        <v>1</v>
      </c>
      <c r="V30" s="8" t="s">
        <v>132</v>
      </c>
    </row>
    <row r="31" customFormat="false" ht="22.35" hidden="false" customHeight="false" outlineLevel="0" collapsed="false">
      <c r="A31" s="3" t="s">
        <v>133</v>
      </c>
      <c r="B31" s="4" t="n">
        <v>34251</v>
      </c>
      <c r="C31" s="5" t="n">
        <v>193</v>
      </c>
      <c r="D31" s="5" t="n">
        <v>113</v>
      </c>
      <c r="E31" s="5" t="n">
        <v>2017</v>
      </c>
      <c r="F31" s="5" t="n">
        <v>146</v>
      </c>
      <c r="G31" s="6" t="n">
        <f aca="false">ROUND((DATE(E31,9,1)-B31)/365.25,2)</f>
        <v>23.9</v>
      </c>
      <c r="H31" s="5" t="n">
        <v>14</v>
      </c>
      <c r="I31" s="5" t="n">
        <f aca="false">$B$103-S31+1</f>
        <v>10</v>
      </c>
      <c r="J31" s="5" t="n">
        <v>6</v>
      </c>
      <c r="K31" s="5" t="n">
        <v>2</v>
      </c>
      <c r="L31" s="5" t="n">
        <v>2</v>
      </c>
      <c r="M31" s="5" t="n">
        <v>85</v>
      </c>
      <c r="N31" s="6" t="n">
        <v>19.1</v>
      </c>
      <c r="O31" s="5" t="n">
        <v>2029</v>
      </c>
      <c r="P31" s="5" t="n">
        <v>280</v>
      </c>
      <c r="Q31" s="7" t="s">
        <v>68</v>
      </c>
      <c r="R31" s="7" t="s">
        <v>134</v>
      </c>
      <c r="S31" s="7" t="n">
        <v>2017</v>
      </c>
      <c r="T31" s="7" t="s">
        <v>135</v>
      </c>
      <c r="U31" s="7" t="n">
        <v>1</v>
      </c>
      <c r="V31" s="8" t="s">
        <v>136</v>
      </c>
    </row>
    <row r="32" customFormat="false" ht="15" hidden="false" customHeight="false" outlineLevel="0" collapsed="false">
      <c r="A32" s="3" t="s">
        <v>137</v>
      </c>
      <c r="B32" s="4" t="n">
        <v>37604</v>
      </c>
      <c r="C32" s="5" t="n">
        <v>191</v>
      </c>
      <c r="D32" s="5" t="n">
        <v>108</v>
      </c>
      <c r="E32" s="5" t="n">
        <v>2024</v>
      </c>
      <c r="F32" s="5" t="n">
        <v>13</v>
      </c>
      <c r="G32" s="6" t="n">
        <f aca="false">ROUND((DATE(E32,9,1)-B32)/365.25,2)</f>
        <v>21.72</v>
      </c>
      <c r="H32" s="5" t="n">
        <v>0</v>
      </c>
      <c r="I32" s="5" t="n">
        <f aca="false">$B$103-S32+1</f>
        <v>3</v>
      </c>
      <c r="J32" s="5" t="n">
        <v>1</v>
      </c>
      <c r="K32" s="5" t="n">
        <v>1</v>
      </c>
      <c r="L32" s="5" t="n">
        <v>0</v>
      </c>
      <c r="M32" s="5" t="n">
        <v>89</v>
      </c>
      <c r="N32" s="6" t="n">
        <v>4.53</v>
      </c>
      <c r="O32" s="5" t="n">
        <v>2027</v>
      </c>
      <c r="P32" s="5" t="n">
        <v>78</v>
      </c>
      <c r="Q32" s="7" t="s">
        <v>101</v>
      </c>
      <c r="R32" s="7" t="s">
        <v>134</v>
      </c>
      <c r="S32" s="7" t="n">
        <v>2024</v>
      </c>
      <c r="T32" s="7" t="s">
        <v>138</v>
      </c>
      <c r="U32" s="7" t="n">
        <v>1</v>
      </c>
      <c r="V32" s="8" t="s">
        <v>139</v>
      </c>
    </row>
    <row r="33" customFormat="false" ht="15" hidden="false" customHeight="false" outlineLevel="0" collapsed="false">
      <c r="A33" s="3" t="s">
        <v>140</v>
      </c>
      <c r="B33" s="4" t="n">
        <v>36486</v>
      </c>
      <c r="C33" s="5" t="n">
        <v>193</v>
      </c>
      <c r="D33" s="5" t="n">
        <v>112</v>
      </c>
      <c r="E33" s="5" t="n">
        <v>2022</v>
      </c>
      <c r="F33" s="5" t="n">
        <v>55</v>
      </c>
      <c r="G33" s="6" t="n">
        <f aca="false">ROUND((DATE(E33,9,1)-B33)/365.25,2)</f>
        <v>22.78</v>
      </c>
      <c r="H33" s="5" t="n">
        <v>0</v>
      </c>
      <c r="I33" s="5" t="n">
        <f aca="false">$B$103-S33+1</f>
        <v>5</v>
      </c>
      <c r="J33" s="5" t="n">
        <v>1</v>
      </c>
      <c r="K33" s="5" t="n">
        <v>0</v>
      </c>
      <c r="L33" s="5" t="n">
        <v>0</v>
      </c>
      <c r="M33" s="5" t="n">
        <v>85</v>
      </c>
      <c r="N33" s="6" t="n">
        <v>19</v>
      </c>
      <c r="O33" s="5" t="n">
        <v>2028</v>
      </c>
      <c r="P33" s="5" t="n">
        <v>11</v>
      </c>
      <c r="Q33" s="7" t="s">
        <v>141</v>
      </c>
      <c r="R33" s="7" t="s">
        <v>134</v>
      </c>
      <c r="S33" s="7" t="n">
        <v>2022</v>
      </c>
      <c r="T33" s="7" t="s">
        <v>142</v>
      </c>
      <c r="U33" s="7" t="n">
        <v>1</v>
      </c>
      <c r="V33" s="8" t="s">
        <v>143</v>
      </c>
    </row>
    <row r="34" customFormat="false" ht="22.35" hidden="false" customHeight="false" outlineLevel="0" collapsed="false">
      <c r="A34" s="3" t="s">
        <v>144</v>
      </c>
      <c r="B34" s="4" t="n">
        <v>34803</v>
      </c>
      <c r="C34" s="5" t="n">
        <v>185</v>
      </c>
      <c r="D34" s="5" t="n">
        <v>98</v>
      </c>
      <c r="E34" s="5" t="n">
        <v>2018</v>
      </c>
      <c r="F34" s="5" t="n">
        <v>1</v>
      </c>
      <c r="G34" s="6" t="n">
        <f aca="false">ROUND((DATE(E34,9,1)-B34)/365.25,2)</f>
        <v>23.38</v>
      </c>
      <c r="H34" s="5" t="n">
        <v>5</v>
      </c>
      <c r="I34" s="5" t="n">
        <f aca="false">$B$103-S34+1</f>
        <v>4</v>
      </c>
      <c r="J34" s="5" t="n">
        <v>1</v>
      </c>
      <c r="K34" s="5" t="n">
        <v>0</v>
      </c>
      <c r="L34" s="5" t="n">
        <v>0</v>
      </c>
      <c r="M34" s="5" t="n">
        <v>6</v>
      </c>
      <c r="N34" s="6" t="n">
        <v>33.3</v>
      </c>
      <c r="O34" s="5" t="n">
        <v>2026</v>
      </c>
      <c r="P34" s="5" t="n">
        <v>979</v>
      </c>
      <c r="Q34" s="7" t="s">
        <v>145</v>
      </c>
      <c r="R34" s="7" t="s">
        <v>24</v>
      </c>
      <c r="S34" s="7" t="n">
        <v>2023</v>
      </c>
      <c r="T34" s="7" t="s">
        <v>146</v>
      </c>
      <c r="U34" s="7" t="n">
        <v>4</v>
      </c>
      <c r="V34" s="8" t="s">
        <v>147</v>
      </c>
    </row>
    <row r="35" customFormat="false" ht="22.35" hidden="false" customHeight="false" outlineLevel="0" collapsed="false">
      <c r="A35" s="3" t="s">
        <v>148</v>
      </c>
      <c r="B35" s="4" t="n">
        <v>35649</v>
      </c>
      <c r="C35" s="5" t="n">
        <v>178</v>
      </c>
      <c r="D35" s="5" t="n">
        <v>93</v>
      </c>
      <c r="E35" s="5" t="n">
        <v>2019</v>
      </c>
      <c r="F35" s="5" t="n">
        <v>1</v>
      </c>
      <c r="G35" s="6" t="n">
        <f aca="false">ROUND((DATE(E35,9,1)-B35)/365.25,2)</f>
        <v>22.07</v>
      </c>
      <c r="H35" s="5" t="n">
        <v>1</v>
      </c>
      <c r="I35" s="5" t="n">
        <f aca="false">$B$103-S35+1</f>
        <v>8</v>
      </c>
      <c r="J35" s="5" t="n">
        <v>2</v>
      </c>
      <c r="K35" s="5" t="n">
        <v>0</v>
      </c>
      <c r="L35" s="5" t="n">
        <v>0</v>
      </c>
      <c r="M35" s="5" t="n">
        <v>1</v>
      </c>
      <c r="N35" s="6" t="n">
        <v>46.1</v>
      </c>
      <c r="O35" s="5" t="n">
        <v>2028</v>
      </c>
      <c r="P35" s="5" t="n">
        <v>50</v>
      </c>
      <c r="Q35" s="7" t="s">
        <v>141</v>
      </c>
      <c r="R35" s="7" t="s">
        <v>24</v>
      </c>
      <c r="S35" s="7" t="n">
        <v>2019</v>
      </c>
      <c r="T35" s="7" t="s">
        <v>149</v>
      </c>
      <c r="U35" s="7" t="n">
        <v>1</v>
      </c>
      <c r="V35" s="8" t="s">
        <v>150</v>
      </c>
    </row>
    <row r="36" customFormat="false" ht="22.35" hidden="false" customHeight="false" outlineLevel="0" collapsed="false">
      <c r="A36" s="3" t="s">
        <v>151</v>
      </c>
      <c r="B36" s="4" t="n">
        <v>36439</v>
      </c>
      <c r="C36" s="5" t="n">
        <v>198</v>
      </c>
      <c r="D36" s="5" t="n">
        <v>100</v>
      </c>
      <c r="E36" s="5" t="n">
        <v>2021</v>
      </c>
      <c r="F36" s="5" t="n">
        <v>1</v>
      </c>
      <c r="G36" s="6" t="n">
        <f aca="false">ROUND((DATE(E36,9,1)-B36)/365.25,2)</f>
        <v>21.91</v>
      </c>
      <c r="H36" s="5" t="n">
        <v>2</v>
      </c>
      <c r="I36" s="5" t="n">
        <f aca="false">$B$103-S36+1</f>
        <v>6</v>
      </c>
      <c r="J36" s="5" t="n">
        <v>1</v>
      </c>
      <c r="K36" s="5" t="n">
        <v>0</v>
      </c>
      <c r="L36" s="5" t="n">
        <v>0</v>
      </c>
      <c r="M36" s="5" t="n">
        <v>16</v>
      </c>
      <c r="N36" s="6" t="n">
        <v>55</v>
      </c>
      <c r="O36" s="5" t="n">
        <v>2030</v>
      </c>
      <c r="P36" s="5" t="n">
        <v>191</v>
      </c>
      <c r="Q36" s="7" t="s">
        <v>152</v>
      </c>
      <c r="R36" s="7" t="s">
        <v>24</v>
      </c>
      <c r="S36" s="7" t="n">
        <v>2021</v>
      </c>
      <c r="T36" s="7" t="s">
        <v>153</v>
      </c>
      <c r="U36" s="7" t="n">
        <v>1</v>
      </c>
      <c r="V36" s="8" t="s">
        <v>154</v>
      </c>
    </row>
    <row r="37" customFormat="false" ht="15" hidden="false" customHeight="false" outlineLevel="0" collapsed="false">
      <c r="A37" s="3" t="s">
        <v>155</v>
      </c>
      <c r="B37" s="4" t="n">
        <v>35856</v>
      </c>
      <c r="C37" s="5" t="n">
        <v>185</v>
      </c>
      <c r="D37" s="5" t="n">
        <v>102</v>
      </c>
      <c r="E37" s="5" t="n">
        <v>2020</v>
      </c>
      <c r="F37" s="5" t="n">
        <v>5</v>
      </c>
      <c r="G37" s="6" t="n">
        <f aca="false">ROUND((DATE(E37,9,1)-B37)/365.25,2)</f>
        <v>22.5</v>
      </c>
      <c r="H37" s="5" t="n">
        <v>2</v>
      </c>
      <c r="I37" s="5" t="n">
        <f aca="false">$B$103-S37+1</f>
        <v>7</v>
      </c>
      <c r="J37" s="5" t="n">
        <v>1</v>
      </c>
      <c r="K37" s="5" t="n">
        <v>0</v>
      </c>
      <c r="L37" s="5" t="n">
        <v>0</v>
      </c>
      <c r="M37" s="5" t="n">
        <v>1</v>
      </c>
      <c r="N37" s="6" t="n">
        <v>53.1</v>
      </c>
      <c r="O37" s="5" t="n">
        <v>2028</v>
      </c>
      <c r="P37" s="5" t="n">
        <v>16</v>
      </c>
      <c r="Q37" s="7" t="s">
        <v>156</v>
      </c>
      <c r="R37" s="7" t="s">
        <v>24</v>
      </c>
      <c r="S37" s="7" t="n">
        <v>2020</v>
      </c>
      <c r="T37" s="7" t="s">
        <v>157</v>
      </c>
      <c r="U37" s="7" t="n">
        <v>1</v>
      </c>
      <c r="V37" s="8" t="s">
        <v>158</v>
      </c>
    </row>
    <row r="38" customFormat="false" ht="22.35" hidden="false" customHeight="false" outlineLevel="0" collapsed="false">
      <c r="A38" s="3" t="s">
        <v>159</v>
      </c>
      <c r="B38" s="4" t="n">
        <v>32180</v>
      </c>
      <c r="C38" s="5" t="n">
        <v>191</v>
      </c>
      <c r="D38" s="5" t="n">
        <v>100</v>
      </c>
      <c r="E38" s="5" t="n">
        <v>2009</v>
      </c>
      <c r="F38" s="5" t="n">
        <v>1</v>
      </c>
      <c r="G38" s="6" t="n">
        <f aca="false">ROUND((DATE(E38,9,1)-B38)/365.25,2)</f>
        <v>21.57</v>
      </c>
      <c r="H38" s="5" t="n">
        <v>13</v>
      </c>
      <c r="I38" s="5" t="n">
        <f aca="false">$B$103-S38+1</f>
        <v>6</v>
      </c>
      <c r="J38" s="5" t="n">
        <v>2</v>
      </c>
      <c r="K38" s="5" t="n">
        <v>0</v>
      </c>
      <c r="L38" s="5" t="n">
        <v>1</v>
      </c>
      <c r="M38" s="5" t="n">
        <v>9</v>
      </c>
      <c r="N38" s="6" t="n">
        <v>40</v>
      </c>
      <c r="O38" s="5" t="n">
        <v>2026</v>
      </c>
      <c r="P38" s="5" t="n">
        <v>403</v>
      </c>
      <c r="Q38" s="7" t="s">
        <v>119</v>
      </c>
      <c r="R38" s="7" t="s">
        <v>24</v>
      </c>
      <c r="S38" s="7" t="n">
        <v>2021</v>
      </c>
      <c r="T38" s="7" t="s">
        <v>160</v>
      </c>
      <c r="U38" s="7" t="n">
        <v>2</v>
      </c>
      <c r="V38" s="8" t="s">
        <v>161</v>
      </c>
    </row>
    <row r="39" customFormat="false" ht="15" hidden="false" customHeight="false" outlineLevel="0" collapsed="false">
      <c r="A39" s="3" t="s">
        <v>162</v>
      </c>
      <c r="B39" s="4" t="n">
        <v>37097</v>
      </c>
      <c r="C39" s="5" t="n">
        <v>178</v>
      </c>
      <c r="D39" s="5" t="n">
        <v>92</v>
      </c>
      <c r="E39" s="5" t="n">
        <v>2023</v>
      </c>
      <c r="F39" s="5" t="n">
        <v>1</v>
      </c>
      <c r="G39" s="6" t="n">
        <f aca="false">ROUND((DATE(E39,9,1)-B39)/365.25,2)</f>
        <v>22.1</v>
      </c>
      <c r="H39" s="5" t="n">
        <v>0</v>
      </c>
      <c r="I39" s="5" t="n">
        <f aca="false">$B$103-S39+1</f>
        <v>4</v>
      </c>
      <c r="J39" s="5" t="n">
        <v>0</v>
      </c>
      <c r="K39" s="5" t="n">
        <v>0</v>
      </c>
      <c r="L39" s="5" t="n">
        <v>0</v>
      </c>
      <c r="M39" s="5" t="n">
        <v>9</v>
      </c>
      <c r="N39" s="6" t="n">
        <v>9.5</v>
      </c>
      <c r="O39" s="5" t="n">
        <v>2026</v>
      </c>
      <c r="P39" s="5" t="n">
        <v>1603</v>
      </c>
      <c r="Q39" s="7" t="s">
        <v>163</v>
      </c>
      <c r="R39" s="7" t="s">
        <v>24</v>
      </c>
      <c r="S39" s="7" t="n">
        <v>2023</v>
      </c>
      <c r="T39" s="7" t="s">
        <v>164</v>
      </c>
      <c r="U39" s="7" t="n">
        <v>1</v>
      </c>
      <c r="V39" s="8" t="s">
        <v>165</v>
      </c>
    </row>
    <row r="40" customFormat="false" ht="15" hidden="false" customHeight="false" outlineLevel="0" collapsed="false">
      <c r="A40" s="3" t="s">
        <v>166</v>
      </c>
      <c r="B40" s="4" t="n">
        <v>36654</v>
      </c>
      <c r="C40" s="5" t="n">
        <v>188</v>
      </c>
      <c r="D40" s="5" t="n">
        <v>98</v>
      </c>
      <c r="E40" s="5" t="n">
        <v>2024</v>
      </c>
      <c r="F40" s="5" t="n">
        <v>8</v>
      </c>
      <c r="G40" s="6" t="n">
        <f aca="false">ROUND((DATE(E40,9,1)-B40)/365.25,2)</f>
        <v>24.32</v>
      </c>
      <c r="H40" s="5" t="n">
        <v>0</v>
      </c>
      <c r="I40" s="5" t="n">
        <f aca="false">$B$103-S40+1</f>
        <v>3</v>
      </c>
      <c r="J40" s="5" t="n">
        <v>0</v>
      </c>
      <c r="K40" s="5" t="n">
        <v>0</v>
      </c>
      <c r="L40" s="5" t="n">
        <v>0</v>
      </c>
      <c r="M40" s="5" t="n">
        <v>9</v>
      </c>
      <c r="N40" s="6" t="n">
        <v>5.7</v>
      </c>
      <c r="O40" s="5" t="n">
        <v>2027</v>
      </c>
      <c r="P40" s="5" t="n">
        <v>403</v>
      </c>
      <c r="Q40" s="7" t="s">
        <v>94</v>
      </c>
      <c r="R40" s="7" t="s">
        <v>24</v>
      </c>
      <c r="S40" s="7" t="n">
        <v>2024</v>
      </c>
      <c r="T40" s="7" t="s">
        <v>160</v>
      </c>
      <c r="U40" s="7" t="n">
        <v>1</v>
      </c>
      <c r="V40" s="8" t="s">
        <v>167</v>
      </c>
    </row>
    <row r="41" customFormat="false" ht="15" hidden="false" customHeight="false" outlineLevel="0" collapsed="false">
      <c r="A41" s="3" t="s">
        <v>168</v>
      </c>
      <c r="B41" s="4" t="n">
        <v>37641</v>
      </c>
      <c r="C41" s="5" t="n">
        <v>191</v>
      </c>
      <c r="D41" s="5" t="n">
        <v>98</v>
      </c>
      <c r="E41" s="5" t="n">
        <v>2024</v>
      </c>
      <c r="F41" s="5" t="n">
        <v>10</v>
      </c>
      <c r="G41" s="6" t="n">
        <f aca="false">ROUND((DATE(E41,9,1)-B41)/365.25,2)</f>
        <v>21.62</v>
      </c>
      <c r="H41" s="5" t="n">
        <v>0</v>
      </c>
      <c r="I41" s="5" t="n">
        <f aca="false">$B$103-S41+1</f>
        <v>3</v>
      </c>
      <c r="J41" s="5" t="n">
        <v>0</v>
      </c>
      <c r="K41" s="5" t="n">
        <v>0</v>
      </c>
      <c r="L41" s="5" t="n">
        <v>0</v>
      </c>
      <c r="M41" s="5" t="n">
        <v>9</v>
      </c>
      <c r="N41" s="6" t="n">
        <v>5.4</v>
      </c>
      <c r="O41" s="5" t="n">
        <v>2027</v>
      </c>
      <c r="P41" s="5" t="n">
        <v>13</v>
      </c>
      <c r="Q41" s="7" t="s">
        <v>105</v>
      </c>
      <c r="R41" s="7" t="s">
        <v>24</v>
      </c>
      <c r="S41" s="7" t="n">
        <v>2024</v>
      </c>
      <c r="T41" s="7" t="s">
        <v>169</v>
      </c>
      <c r="U41" s="7" t="n">
        <v>1</v>
      </c>
      <c r="V41" s="8" t="s">
        <v>170</v>
      </c>
    </row>
    <row r="42" customFormat="false" ht="22.35" hidden="false" customHeight="false" outlineLevel="0" collapsed="false">
      <c r="A42" s="3" t="s">
        <v>171</v>
      </c>
      <c r="B42" s="4" t="n">
        <v>35586</v>
      </c>
      <c r="C42" s="5" t="n">
        <v>191</v>
      </c>
      <c r="D42" s="5" t="n">
        <v>102</v>
      </c>
      <c r="E42" s="5" t="n">
        <v>2018</v>
      </c>
      <c r="F42" s="5" t="n">
        <v>3</v>
      </c>
      <c r="G42" s="6" t="n">
        <f aca="false">ROUND((DATE(E42,9,1)-B42)/365.25,2)</f>
        <v>21.24</v>
      </c>
      <c r="H42" s="5" t="n">
        <v>4</v>
      </c>
      <c r="I42" s="5" t="n">
        <f aca="false">$B$103-S42+1</f>
        <v>2</v>
      </c>
      <c r="J42" s="5" t="n">
        <v>1</v>
      </c>
      <c r="K42" s="5" t="n">
        <v>0</v>
      </c>
      <c r="L42" s="5" t="n">
        <v>1</v>
      </c>
      <c r="M42" s="5" t="n">
        <v>14</v>
      </c>
      <c r="N42" s="6" t="n">
        <v>33.5</v>
      </c>
      <c r="O42" s="5" t="n">
        <v>2027</v>
      </c>
      <c r="P42" s="5" t="n">
        <v>466</v>
      </c>
      <c r="Q42" s="7" t="s">
        <v>123</v>
      </c>
      <c r="R42" s="7" t="s">
        <v>24</v>
      </c>
      <c r="S42" s="7" t="n">
        <v>2025</v>
      </c>
      <c r="T42" s="7" t="s">
        <v>172</v>
      </c>
      <c r="U42" s="7" t="n">
        <v>5</v>
      </c>
      <c r="V42" s="8" t="s">
        <v>173</v>
      </c>
    </row>
    <row r="43" customFormat="false" ht="15" hidden="false" customHeight="false" outlineLevel="0" collapsed="false">
      <c r="A43" s="3" t="s">
        <v>174</v>
      </c>
      <c r="B43" s="4" t="n">
        <v>37401</v>
      </c>
      <c r="C43" s="5" t="n">
        <v>188</v>
      </c>
      <c r="D43" s="5" t="n">
        <v>100</v>
      </c>
      <c r="E43" s="5" t="n">
        <v>2025</v>
      </c>
      <c r="F43" s="5" t="n">
        <v>1</v>
      </c>
      <c r="G43" s="6" t="n">
        <f aca="false">ROUND((DATE(E43,9,1)-B43)/365.25,2)</f>
        <v>23.27</v>
      </c>
      <c r="H43" s="5" t="n">
        <v>0</v>
      </c>
      <c r="I43" s="5" t="n">
        <f aca="false">$B$103-S43+1</f>
        <v>2</v>
      </c>
      <c r="J43" s="5" t="n">
        <v>0</v>
      </c>
      <c r="K43" s="5" t="n">
        <v>0</v>
      </c>
      <c r="L43" s="5" t="n">
        <v>0</v>
      </c>
      <c r="M43" s="5" t="n">
        <v>1</v>
      </c>
      <c r="N43" s="6" t="n">
        <v>12.2</v>
      </c>
      <c r="O43" s="5" t="n">
        <v>2028</v>
      </c>
      <c r="P43" s="5" t="n">
        <v>4</v>
      </c>
      <c r="Q43" s="7" t="s">
        <v>175</v>
      </c>
      <c r="R43" s="7" t="s">
        <v>24</v>
      </c>
      <c r="S43" s="7" t="n">
        <v>2025</v>
      </c>
      <c r="T43" s="7" t="s">
        <v>176</v>
      </c>
      <c r="U43" s="7" t="n">
        <v>1</v>
      </c>
      <c r="V43" s="8" t="s">
        <v>177</v>
      </c>
    </row>
    <row r="44" customFormat="false" ht="22.35" hidden="false" customHeight="false" outlineLevel="0" collapsed="false">
      <c r="A44" s="3" t="s">
        <v>178</v>
      </c>
      <c r="B44" s="4" t="n">
        <v>37939</v>
      </c>
      <c r="C44" s="5" t="n">
        <v>196</v>
      </c>
      <c r="D44" s="5" t="n">
        <v>102</v>
      </c>
      <c r="E44" s="5" t="n">
        <v>2026</v>
      </c>
      <c r="F44" s="5" t="n">
        <v>1</v>
      </c>
      <c r="G44" s="6" t="n">
        <f aca="false">ROUND((DATE(E44,9,1)-B44)/365.25,2)</f>
        <v>22.8</v>
      </c>
      <c r="H44" s="5" t="n">
        <v>0</v>
      </c>
      <c r="I44" s="5" t="n">
        <f aca="false">$B$103-S44+1</f>
        <v>1</v>
      </c>
      <c r="J44" s="5" t="n">
        <v>0</v>
      </c>
      <c r="K44" s="5" t="n">
        <v>0</v>
      </c>
      <c r="L44" s="5" t="n">
        <v>0</v>
      </c>
      <c r="M44" s="5" t="n">
        <v>15</v>
      </c>
      <c r="N44" s="6" t="n">
        <v>12.5</v>
      </c>
      <c r="O44" s="5" t="n">
        <v>2029</v>
      </c>
      <c r="P44" s="5" t="n">
        <v>442</v>
      </c>
      <c r="Q44" s="7" t="s">
        <v>101</v>
      </c>
      <c r="R44" s="7" t="s">
        <v>24</v>
      </c>
      <c r="S44" s="7" t="n">
        <v>2026</v>
      </c>
      <c r="T44" s="7" t="s">
        <v>179</v>
      </c>
      <c r="U44" s="7" t="n">
        <v>1</v>
      </c>
      <c r="V44" s="8" t="s">
        <v>180</v>
      </c>
    </row>
    <row r="45" customFormat="false" ht="22.35" hidden="false" customHeight="false" outlineLevel="0" collapsed="false">
      <c r="A45" s="3" t="s">
        <v>181</v>
      </c>
      <c r="B45" s="4" t="n">
        <v>36819</v>
      </c>
      <c r="C45" s="5" t="n">
        <v>175</v>
      </c>
      <c r="D45" s="5" t="n">
        <v>96</v>
      </c>
      <c r="E45" s="5" t="n">
        <v>2022</v>
      </c>
      <c r="F45" s="5" t="n">
        <v>41</v>
      </c>
      <c r="G45" s="6" t="n">
        <f aca="false">ROUND((DATE(E45,9,1)-B45)/365.25,2)</f>
        <v>21.86</v>
      </c>
      <c r="H45" s="5" t="n">
        <v>4</v>
      </c>
      <c r="I45" s="5" t="n">
        <f aca="false">$B$103-S45+1</f>
        <v>5</v>
      </c>
      <c r="J45" s="5" t="n">
        <v>0</v>
      </c>
      <c r="K45" s="5" t="n">
        <v>0</v>
      </c>
      <c r="L45" s="5" t="n">
        <v>1</v>
      </c>
      <c r="M45" s="5" t="n">
        <v>9</v>
      </c>
      <c r="N45" s="6" t="n">
        <v>12</v>
      </c>
      <c r="O45" s="5" t="n">
        <v>2026</v>
      </c>
      <c r="P45" s="5" t="n">
        <v>15</v>
      </c>
      <c r="Q45" s="7" t="s">
        <v>123</v>
      </c>
      <c r="R45" s="7" t="s">
        <v>84</v>
      </c>
      <c r="S45" s="7" t="n">
        <v>2022</v>
      </c>
      <c r="T45" s="7" t="s">
        <v>182</v>
      </c>
      <c r="U45" s="7" t="n">
        <v>1</v>
      </c>
      <c r="V45" s="8" t="s">
        <v>183</v>
      </c>
    </row>
    <row r="46" customFormat="false" ht="15" hidden="false" customHeight="false" outlineLevel="0" collapsed="false">
      <c r="A46" s="3" t="s">
        <v>184</v>
      </c>
      <c r="B46" s="4" t="n">
        <v>35837</v>
      </c>
      <c r="C46" s="5" t="n">
        <v>178</v>
      </c>
      <c r="D46" s="5" t="n">
        <v>100</v>
      </c>
      <c r="E46" s="5" t="n">
        <v>2019</v>
      </c>
      <c r="F46" s="5" t="n">
        <v>24</v>
      </c>
      <c r="G46" s="6" t="n">
        <f aca="false">ROUND((DATE(E46,9,1)-B46)/365.25,2)</f>
        <v>21.55</v>
      </c>
      <c r="H46" s="5" t="n">
        <v>2</v>
      </c>
      <c r="I46" s="5" t="n">
        <f aca="false">$B$103-S46+1</f>
        <v>3</v>
      </c>
      <c r="J46" s="5" t="n">
        <v>3</v>
      </c>
      <c r="K46" s="5" t="n">
        <v>1</v>
      </c>
      <c r="L46" s="5" t="n">
        <v>0</v>
      </c>
      <c r="M46" s="5" t="n">
        <v>8</v>
      </c>
      <c r="N46" s="6" t="n">
        <v>12</v>
      </c>
      <c r="O46" s="5" t="n">
        <v>2027</v>
      </c>
      <c r="P46" s="5" t="n">
        <v>413</v>
      </c>
      <c r="Q46" s="7" t="s">
        <v>64</v>
      </c>
      <c r="R46" s="7" t="s">
        <v>84</v>
      </c>
      <c r="S46" s="7" t="n">
        <v>2024</v>
      </c>
      <c r="T46" s="7" t="s">
        <v>185</v>
      </c>
      <c r="U46" s="7" t="n">
        <v>2</v>
      </c>
      <c r="V46" s="8" t="s">
        <v>186</v>
      </c>
    </row>
    <row r="47" customFormat="false" ht="22.35" hidden="false" customHeight="false" outlineLevel="0" collapsed="false">
      <c r="A47" s="3" t="s">
        <v>187</v>
      </c>
      <c r="B47" s="4" t="n">
        <v>36428</v>
      </c>
      <c r="C47" s="5" t="n">
        <v>180</v>
      </c>
      <c r="D47" s="5" t="n">
        <v>86</v>
      </c>
      <c r="E47" s="5" t="n">
        <v>2022</v>
      </c>
      <c r="F47" s="5" t="n">
        <v>63</v>
      </c>
      <c r="G47" s="6" t="n">
        <f aca="false">ROUND((DATE(E47,9,1)-B47)/365.25,2)</f>
        <v>22.93</v>
      </c>
      <c r="H47" s="5" t="n">
        <v>8</v>
      </c>
      <c r="I47" s="5" t="n">
        <f aca="false">$B$103-S47+1</f>
        <v>5</v>
      </c>
      <c r="J47" s="5" t="n">
        <v>2</v>
      </c>
      <c r="K47" s="5" t="n">
        <v>0</v>
      </c>
      <c r="L47" s="5" t="n">
        <v>0</v>
      </c>
      <c r="M47" s="5" t="n">
        <v>4</v>
      </c>
      <c r="N47" s="6" t="n">
        <v>12</v>
      </c>
      <c r="O47" s="5" t="n">
        <v>2028</v>
      </c>
      <c r="P47" s="5" t="n">
        <v>442</v>
      </c>
      <c r="Q47" s="7" t="s">
        <v>28</v>
      </c>
      <c r="R47" s="7" t="s">
        <v>84</v>
      </c>
      <c r="S47" s="7" t="n">
        <v>2022</v>
      </c>
      <c r="T47" s="7" t="s">
        <v>179</v>
      </c>
      <c r="U47" s="7" t="n">
        <v>1</v>
      </c>
      <c r="V47" s="8" t="s">
        <v>188</v>
      </c>
    </row>
    <row r="48" customFormat="false" ht="15" hidden="false" customHeight="false" outlineLevel="0" collapsed="false">
      <c r="A48" s="3" t="s">
        <v>189</v>
      </c>
      <c r="B48" s="4" t="n">
        <v>36764</v>
      </c>
      <c r="C48" s="5" t="n">
        <v>175</v>
      </c>
      <c r="D48" s="5" t="n">
        <v>92</v>
      </c>
      <c r="E48" s="5" t="n">
        <v>2022</v>
      </c>
      <c r="F48" s="5" t="n">
        <v>164</v>
      </c>
      <c r="G48" s="6" t="n">
        <f aca="false">ROUND((DATE(E48,9,1)-B48)/365.25,2)</f>
        <v>22.02</v>
      </c>
      <c r="H48" s="5" t="n">
        <v>6</v>
      </c>
      <c r="I48" s="5" t="n">
        <f aca="false">$B$103-S48+1</f>
        <v>5</v>
      </c>
      <c r="J48" s="5" t="n">
        <v>1</v>
      </c>
      <c r="K48" s="5" t="n">
        <v>0</v>
      </c>
      <c r="L48" s="5" t="n">
        <v>0</v>
      </c>
      <c r="M48" s="5" t="n">
        <v>23</v>
      </c>
      <c r="N48" s="6" t="n">
        <v>11</v>
      </c>
      <c r="O48" s="5" t="n">
        <v>2028</v>
      </c>
      <c r="P48" s="5" t="n">
        <v>301</v>
      </c>
      <c r="Q48" s="7" t="s">
        <v>119</v>
      </c>
      <c r="R48" s="7" t="s">
        <v>84</v>
      </c>
      <c r="S48" s="7" t="n">
        <v>2022</v>
      </c>
      <c r="T48" s="7" t="s">
        <v>190</v>
      </c>
      <c r="U48" s="7" t="n">
        <v>1</v>
      </c>
      <c r="V48" s="8" t="s">
        <v>191</v>
      </c>
    </row>
    <row r="49" customFormat="false" ht="15" hidden="false" customHeight="false" outlineLevel="0" collapsed="false">
      <c r="A49" s="3" t="s">
        <v>192</v>
      </c>
      <c r="B49" s="4" t="n">
        <v>37168</v>
      </c>
      <c r="C49" s="5" t="n">
        <v>175</v>
      </c>
      <c r="D49" s="5" t="n">
        <v>85</v>
      </c>
      <c r="E49" s="5" t="n">
        <v>2023</v>
      </c>
      <c r="F49" s="5" t="n">
        <v>84</v>
      </c>
      <c r="G49" s="6" t="n">
        <f aca="false">ROUND((DATE(E49,9,1)-B49)/365.25,2)</f>
        <v>21.91</v>
      </c>
      <c r="H49" s="5" t="n">
        <v>1</v>
      </c>
      <c r="I49" s="5" t="n">
        <f aca="false">$B$103-S49+1</f>
        <v>4</v>
      </c>
      <c r="J49" s="5" t="n">
        <v>0</v>
      </c>
      <c r="K49" s="5" t="n">
        <v>0</v>
      </c>
      <c r="L49" s="5" t="n">
        <v>0</v>
      </c>
      <c r="M49" s="5" t="n">
        <v>28</v>
      </c>
      <c r="N49" s="6" t="n">
        <v>2.4</v>
      </c>
      <c r="O49" s="5" t="n">
        <v>2026</v>
      </c>
      <c r="P49" s="5" t="n">
        <v>74</v>
      </c>
      <c r="Q49" s="7" t="s">
        <v>156</v>
      </c>
      <c r="R49" s="7" t="s">
        <v>84</v>
      </c>
      <c r="S49" s="7" t="n">
        <v>2023</v>
      </c>
      <c r="T49" s="7" t="s">
        <v>193</v>
      </c>
      <c r="U49" s="7" t="n">
        <v>1</v>
      </c>
      <c r="V49" s="8" t="s">
        <v>194</v>
      </c>
    </row>
    <row r="50" customFormat="false" ht="22.35" hidden="false" customHeight="false" outlineLevel="0" collapsed="false">
      <c r="A50" s="3" t="s">
        <v>195</v>
      </c>
      <c r="B50" s="4" t="n">
        <v>36182</v>
      </c>
      <c r="C50" s="5" t="n">
        <v>178</v>
      </c>
      <c r="D50" s="5" t="n">
        <v>103</v>
      </c>
      <c r="E50" s="5" t="n">
        <v>2020</v>
      </c>
      <c r="F50" s="5" t="n">
        <v>41</v>
      </c>
      <c r="G50" s="6" t="n">
        <f aca="false">ROUND((DATE(E50,9,1)-B50)/365.25,2)</f>
        <v>21.61</v>
      </c>
      <c r="H50" s="5" t="n">
        <v>1</v>
      </c>
      <c r="I50" s="5" t="n">
        <f aca="false">$B$103-S50+1</f>
        <v>7</v>
      </c>
      <c r="J50" s="5" t="n">
        <v>1</v>
      </c>
      <c r="K50" s="5" t="n">
        <v>1</v>
      </c>
      <c r="L50" s="5" t="n">
        <v>0</v>
      </c>
      <c r="M50" s="5" t="n">
        <v>28</v>
      </c>
      <c r="N50" s="6" t="n">
        <v>14</v>
      </c>
      <c r="O50" s="5" t="n">
        <v>2026</v>
      </c>
      <c r="P50" s="5" t="n">
        <v>5</v>
      </c>
      <c r="Q50" s="7" t="s">
        <v>196</v>
      </c>
      <c r="R50" s="7" t="s">
        <v>84</v>
      </c>
      <c r="S50" s="7" t="n">
        <v>2020</v>
      </c>
      <c r="T50" s="7" t="s">
        <v>197</v>
      </c>
      <c r="U50" s="7" t="n">
        <v>1</v>
      </c>
      <c r="V50" s="8" t="s">
        <v>198</v>
      </c>
    </row>
    <row r="51" customFormat="false" ht="15" hidden="false" customHeight="false" outlineLevel="0" collapsed="false">
      <c r="A51" s="3" t="s">
        <v>199</v>
      </c>
      <c r="B51" s="4" t="n">
        <v>37552</v>
      </c>
      <c r="C51" s="5" t="n">
        <v>178</v>
      </c>
      <c r="D51" s="5" t="n">
        <v>92</v>
      </c>
      <c r="E51" s="5" t="n">
        <v>2025</v>
      </c>
      <c r="F51" s="5" t="n">
        <v>38</v>
      </c>
      <c r="G51" s="6" t="n">
        <f aca="false">ROUND((DATE(E51,9,1)-B51)/365.25,2)</f>
        <v>22.86</v>
      </c>
      <c r="H51" s="5" t="n">
        <v>4</v>
      </c>
      <c r="I51" s="5" t="n">
        <f aca="false">$B$103-S51+1</f>
        <v>2</v>
      </c>
      <c r="J51" s="5" t="n">
        <v>0</v>
      </c>
      <c r="K51" s="5" t="n">
        <v>0</v>
      </c>
      <c r="L51" s="5" t="n">
        <v>1</v>
      </c>
      <c r="M51" s="5" t="n">
        <v>32</v>
      </c>
      <c r="N51" s="6" t="n">
        <v>2.6</v>
      </c>
      <c r="O51" s="5" t="n">
        <v>2028</v>
      </c>
      <c r="P51" s="5" t="n">
        <v>23</v>
      </c>
      <c r="Q51" s="7" t="s">
        <v>56</v>
      </c>
      <c r="R51" s="7" t="s">
        <v>84</v>
      </c>
      <c r="S51" s="7" t="n">
        <v>2025</v>
      </c>
      <c r="T51" s="7" t="s">
        <v>200</v>
      </c>
      <c r="U51" s="7" t="n">
        <v>1</v>
      </c>
      <c r="V51" s="8" t="s">
        <v>201</v>
      </c>
    </row>
    <row r="52" customFormat="false" ht="22.35" hidden="false" customHeight="false" outlineLevel="0" collapsed="false">
      <c r="A52" s="3" t="s">
        <v>202</v>
      </c>
      <c r="B52" s="4" t="n">
        <v>33962</v>
      </c>
      <c r="C52" s="5" t="n">
        <v>185</v>
      </c>
      <c r="D52" s="5" t="n">
        <v>98</v>
      </c>
      <c r="E52" s="5" t="n">
        <v>2014</v>
      </c>
      <c r="F52" s="5" t="n">
        <v>53</v>
      </c>
      <c r="G52" s="6" t="n">
        <f aca="false">ROUND((DATE(E52,9,1)-B52)/365.25,2)</f>
        <v>21.69</v>
      </c>
      <c r="H52" s="5" t="n">
        <v>14</v>
      </c>
      <c r="I52" s="5" t="n">
        <f aca="false">$B$103-S52+1</f>
        <v>2</v>
      </c>
      <c r="J52" s="5" t="n">
        <v>6</v>
      </c>
      <c r="K52" s="5" t="n">
        <v>3</v>
      </c>
      <c r="L52" s="5" t="n">
        <v>0</v>
      </c>
      <c r="M52" s="5" t="n">
        <v>17</v>
      </c>
      <c r="N52" s="6" t="n">
        <v>22</v>
      </c>
      <c r="O52" s="5" t="n">
        <v>2026</v>
      </c>
      <c r="P52" s="5" t="n">
        <v>84</v>
      </c>
      <c r="Q52" s="7" t="s">
        <v>119</v>
      </c>
      <c r="R52" s="7" t="s">
        <v>106</v>
      </c>
      <c r="S52" s="7" t="n">
        <v>2025</v>
      </c>
      <c r="T52" s="7" t="s">
        <v>203</v>
      </c>
      <c r="U52" s="7" t="n">
        <v>4</v>
      </c>
      <c r="V52" s="8" t="s">
        <v>204</v>
      </c>
    </row>
    <row r="53" customFormat="false" ht="15" hidden="false" customHeight="false" outlineLevel="0" collapsed="false">
      <c r="A53" s="3" t="s">
        <v>205</v>
      </c>
      <c r="B53" s="4" t="n">
        <v>35778</v>
      </c>
      <c r="C53" s="5" t="n">
        <v>193</v>
      </c>
      <c r="D53" s="5" t="n">
        <v>106</v>
      </c>
      <c r="E53" s="5" t="n">
        <v>2019</v>
      </c>
      <c r="F53" s="5" t="n">
        <v>64</v>
      </c>
      <c r="G53" s="6" t="n">
        <f aca="false">ROUND((DATE(E53,9,1)-B53)/365.25,2)</f>
        <v>21.71</v>
      </c>
      <c r="H53" s="5" t="n">
        <v>5</v>
      </c>
      <c r="I53" s="5" t="n">
        <f aca="false">$B$103-S53+1</f>
        <v>2</v>
      </c>
      <c r="J53" s="5" t="n">
        <v>2</v>
      </c>
      <c r="K53" s="5" t="n">
        <v>0</v>
      </c>
      <c r="L53" s="5" t="n">
        <v>0</v>
      </c>
      <c r="M53" s="5" t="n">
        <v>4</v>
      </c>
      <c r="N53" s="6" t="n">
        <v>33</v>
      </c>
      <c r="O53" s="5" t="n">
        <v>2029</v>
      </c>
      <c r="P53" s="5" t="n">
        <v>26</v>
      </c>
      <c r="Q53" s="7" t="s">
        <v>206</v>
      </c>
      <c r="R53" s="7" t="s">
        <v>106</v>
      </c>
      <c r="S53" s="7" t="n">
        <v>2025</v>
      </c>
      <c r="T53" s="7" t="s">
        <v>207</v>
      </c>
      <c r="U53" s="7" t="n">
        <v>2</v>
      </c>
      <c r="V53" s="8" t="s">
        <v>208</v>
      </c>
    </row>
    <row r="54" customFormat="false" ht="22.35" hidden="false" customHeight="false" outlineLevel="0" collapsed="false">
      <c r="A54" s="3" t="s">
        <v>209</v>
      </c>
      <c r="B54" s="4" t="n">
        <v>36729</v>
      </c>
      <c r="C54" s="5" t="n">
        <v>183</v>
      </c>
      <c r="D54" s="5" t="n">
        <v>83</v>
      </c>
      <c r="E54" s="5" t="n">
        <v>2022</v>
      </c>
      <c r="F54" s="5" t="n">
        <v>10</v>
      </c>
      <c r="G54" s="6" t="n">
        <f aca="false">ROUND((DATE(E54,9,1)-B54)/365.25,2)</f>
        <v>22.11</v>
      </c>
      <c r="H54" s="5" t="n">
        <v>0</v>
      </c>
      <c r="I54" s="5" t="n">
        <f aca="false">$B$103-S54+1</f>
        <v>5</v>
      </c>
      <c r="J54" s="5" t="n">
        <v>1</v>
      </c>
      <c r="K54" s="5" t="n">
        <v>0</v>
      </c>
      <c r="L54" s="5" t="n">
        <v>0</v>
      </c>
      <c r="M54" s="5" t="n">
        <v>5</v>
      </c>
      <c r="N54" s="6" t="n">
        <v>32.5</v>
      </c>
      <c r="O54" s="5" t="n">
        <v>2030</v>
      </c>
      <c r="P54" s="5" t="n">
        <v>913</v>
      </c>
      <c r="Q54" s="7" t="s">
        <v>210</v>
      </c>
      <c r="R54" s="7" t="s">
        <v>106</v>
      </c>
      <c r="S54" s="7" t="n">
        <v>2022</v>
      </c>
      <c r="T54" s="7" t="s">
        <v>211</v>
      </c>
      <c r="U54" s="7" t="n">
        <v>1</v>
      </c>
      <c r="V54" s="8" t="s">
        <v>212</v>
      </c>
    </row>
    <row r="55" customFormat="false" ht="15" hidden="false" customHeight="false" outlineLevel="0" collapsed="false">
      <c r="A55" s="3" t="s">
        <v>213</v>
      </c>
      <c r="B55" s="4" t="n">
        <v>36238</v>
      </c>
      <c r="C55" s="5" t="n">
        <v>193</v>
      </c>
      <c r="D55" s="5" t="n">
        <v>100</v>
      </c>
      <c r="E55" s="5" t="n">
        <v>2021</v>
      </c>
      <c r="F55" s="5" t="n">
        <v>89</v>
      </c>
      <c r="G55" s="6" t="n">
        <f aca="false">ROUND((DATE(E55,9,1)-B55)/365.25,2)</f>
        <v>22.46</v>
      </c>
      <c r="H55" s="5" t="n">
        <v>5</v>
      </c>
      <c r="I55" s="5" t="n">
        <f aca="false">$B$103-S55+1</f>
        <v>6</v>
      </c>
      <c r="J55" s="5" t="n">
        <v>1</v>
      </c>
      <c r="K55" s="5" t="n">
        <v>0</v>
      </c>
      <c r="L55" s="5" t="n">
        <v>0</v>
      </c>
      <c r="M55" s="5" t="n">
        <v>12</v>
      </c>
      <c r="N55" s="6" t="n">
        <v>24.25</v>
      </c>
      <c r="O55" s="5" t="n">
        <v>2027</v>
      </c>
      <c r="P55" s="5" t="n">
        <v>12</v>
      </c>
      <c r="Q55" s="7" t="s">
        <v>48</v>
      </c>
      <c r="R55" s="7" t="s">
        <v>106</v>
      </c>
      <c r="S55" s="7" t="n">
        <v>2021</v>
      </c>
      <c r="T55" s="7" t="s">
        <v>214</v>
      </c>
      <c r="U55" s="7" t="n">
        <v>1</v>
      </c>
      <c r="V55" s="8" t="s">
        <v>215</v>
      </c>
    </row>
    <row r="56" customFormat="false" ht="15" hidden="false" customHeight="false" outlineLevel="0" collapsed="false">
      <c r="A56" s="3" t="s">
        <v>216</v>
      </c>
      <c r="B56" s="4" t="n">
        <v>37096</v>
      </c>
      <c r="C56" s="5" t="n">
        <v>191</v>
      </c>
      <c r="D56" s="5" t="n">
        <v>96</v>
      </c>
      <c r="E56" s="5" t="n">
        <v>2022</v>
      </c>
      <c r="F56" s="5" t="n">
        <v>8</v>
      </c>
      <c r="G56" s="6" t="n">
        <f aca="false">ROUND((DATE(E56,9,1)-B56)/365.25,2)</f>
        <v>21.11</v>
      </c>
      <c r="H56" s="5" t="n">
        <v>0</v>
      </c>
      <c r="I56" s="5" t="n">
        <f aca="false">$B$103-S56+1</f>
        <v>5</v>
      </c>
      <c r="J56" s="5" t="n">
        <v>0</v>
      </c>
      <c r="K56" s="5" t="n">
        <v>0</v>
      </c>
      <c r="L56" s="5" t="n">
        <v>0</v>
      </c>
      <c r="M56" s="5" t="n">
        <v>5</v>
      </c>
      <c r="N56" s="6" t="n">
        <v>4.3</v>
      </c>
      <c r="O56" s="5" t="n">
        <v>2026</v>
      </c>
      <c r="P56" s="5" t="n">
        <v>35</v>
      </c>
      <c r="Q56" s="7" t="s">
        <v>94</v>
      </c>
      <c r="R56" s="7" t="s">
        <v>106</v>
      </c>
      <c r="S56" s="7" t="n">
        <v>2022</v>
      </c>
      <c r="T56" s="7" t="s">
        <v>217</v>
      </c>
      <c r="U56" s="7" t="n">
        <v>1</v>
      </c>
      <c r="V56" s="8" t="s">
        <v>218</v>
      </c>
    </row>
    <row r="57" customFormat="false" ht="15" hidden="false" customHeight="false" outlineLevel="0" collapsed="false">
      <c r="A57" s="3" t="s">
        <v>219</v>
      </c>
      <c r="B57" s="4" t="n">
        <v>36178</v>
      </c>
      <c r="C57" s="5" t="n">
        <v>193</v>
      </c>
      <c r="D57" s="5" t="n">
        <v>98</v>
      </c>
      <c r="E57" s="5" t="n">
        <v>2020</v>
      </c>
      <c r="F57" s="5" t="n">
        <v>33</v>
      </c>
      <c r="G57" s="6" t="n">
        <f aca="false">ROUND((DATE(E57,9,1)-B57)/365.25,2)</f>
        <v>21.62</v>
      </c>
      <c r="H57" s="5" t="n">
        <v>7</v>
      </c>
      <c r="I57" s="5" t="n">
        <f aca="false">$B$103-S57+1</f>
        <v>7</v>
      </c>
      <c r="J57" s="5" t="n">
        <v>0</v>
      </c>
      <c r="K57" s="5" t="n">
        <v>0</v>
      </c>
      <c r="L57" s="5" t="n">
        <v>1</v>
      </c>
      <c r="M57" s="5" t="n">
        <v>5</v>
      </c>
      <c r="N57" s="6" t="n">
        <v>28.75</v>
      </c>
      <c r="O57" s="5" t="n">
        <v>2028</v>
      </c>
      <c r="P57" s="5" t="n">
        <v>31</v>
      </c>
      <c r="Q57" s="7" t="s">
        <v>36</v>
      </c>
      <c r="R57" s="7" t="s">
        <v>106</v>
      </c>
      <c r="S57" s="7" t="n">
        <v>2020</v>
      </c>
      <c r="T57" s="7" t="s">
        <v>220</v>
      </c>
      <c r="U57" s="7" t="n">
        <v>1</v>
      </c>
      <c r="V57" s="8" t="s">
        <v>221</v>
      </c>
    </row>
    <row r="58" customFormat="false" ht="15" hidden="false" customHeight="false" outlineLevel="0" collapsed="false">
      <c r="A58" s="3" t="s">
        <v>222</v>
      </c>
      <c r="B58" s="4" t="n">
        <v>34957</v>
      </c>
      <c r="C58" s="5" t="n">
        <v>183</v>
      </c>
      <c r="D58" s="5" t="n">
        <v>95</v>
      </c>
      <c r="E58" s="5" t="n">
        <v>2019</v>
      </c>
      <c r="F58" s="5" t="n">
        <v>76</v>
      </c>
      <c r="G58" s="6" t="n">
        <f aca="false">ROUND((DATE(E58,9,1)-B58)/365.25,2)</f>
        <v>23.96</v>
      </c>
      <c r="H58" s="5" t="n">
        <v>4</v>
      </c>
      <c r="I58" s="5" t="n">
        <f aca="false">$B$103-S58+1</f>
        <v>8</v>
      </c>
      <c r="J58" s="5" t="n">
        <v>2</v>
      </c>
      <c r="K58" s="5" t="n">
        <v>0</v>
      </c>
      <c r="L58" s="5" t="n">
        <v>0</v>
      </c>
      <c r="M58" s="5" t="n">
        <v>17</v>
      </c>
      <c r="N58" s="6" t="n">
        <v>32</v>
      </c>
      <c r="O58" s="5" t="n">
        <v>2028</v>
      </c>
      <c r="P58" s="5" t="n">
        <v>888</v>
      </c>
      <c r="Q58" s="7" t="s">
        <v>52</v>
      </c>
      <c r="R58" s="7" t="s">
        <v>106</v>
      </c>
      <c r="S58" s="7" t="n">
        <v>2019</v>
      </c>
      <c r="T58" s="7" t="s">
        <v>223</v>
      </c>
      <c r="U58" s="7" t="n">
        <v>1</v>
      </c>
      <c r="V58" s="8" t="s">
        <v>224</v>
      </c>
    </row>
    <row r="59" customFormat="false" ht="22.35" hidden="false" customHeight="false" outlineLevel="0" collapsed="false">
      <c r="A59" s="3" t="s">
        <v>225</v>
      </c>
      <c r="B59" s="4" t="n">
        <v>34202</v>
      </c>
      <c r="C59" s="5" t="n">
        <v>196</v>
      </c>
      <c r="D59" s="5" t="n">
        <v>104</v>
      </c>
      <c r="E59" s="5" t="n">
        <v>2014</v>
      </c>
      <c r="F59" s="5" t="n">
        <v>7</v>
      </c>
      <c r="G59" s="6" t="n">
        <f aca="false">ROUND((DATE(E59,9,1)-B59)/365.25,2)</f>
        <v>21.03</v>
      </c>
      <c r="H59" s="5" t="n">
        <v>10</v>
      </c>
      <c r="I59" s="5" t="n">
        <f aca="false">$B$103-S59+1</f>
        <v>13</v>
      </c>
      <c r="J59" s="5" t="n">
        <v>5</v>
      </c>
      <c r="K59" s="5" t="n">
        <v>0</v>
      </c>
      <c r="L59" s="5" t="n">
        <v>1</v>
      </c>
      <c r="M59" s="5" t="n">
        <v>13</v>
      </c>
      <c r="N59" s="6" t="n">
        <v>20.5</v>
      </c>
      <c r="O59" s="5" t="n">
        <v>2026</v>
      </c>
      <c r="P59" s="5" t="n">
        <v>53</v>
      </c>
      <c r="Q59" s="7" t="s">
        <v>145</v>
      </c>
      <c r="R59" s="7" t="s">
        <v>106</v>
      </c>
      <c r="S59" s="7" t="n">
        <v>2014</v>
      </c>
      <c r="T59" s="7" t="s">
        <v>226</v>
      </c>
      <c r="U59" s="7" t="n">
        <v>1</v>
      </c>
      <c r="V59" s="8" t="s">
        <v>227</v>
      </c>
    </row>
    <row r="60" customFormat="false" ht="15" hidden="false" customHeight="false" outlineLevel="0" collapsed="false">
      <c r="A60" s="3" t="s">
        <v>228</v>
      </c>
      <c r="B60" s="4" t="n">
        <v>36124</v>
      </c>
      <c r="C60" s="5" t="n">
        <v>178</v>
      </c>
      <c r="D60" s="5" t="n">
        <v>83</v>
      </c>
      <c r="E60" s="5" t="n">
        <v>2021</v>
      </c>
      <c r="F60" s="5" t="n">
        <v>6</v>
      </c>
      <c r="G60" s="6" t="n">
        <f aca="false">ROUND((DATE(E60,9,1)-B60)/365.25,2)</f>
        <v>22.77</v>
      </c>
      <c r="H60" s="5" t="n">
        <v>2</v>
      </c>
      <c r="I60" s="5" t="n">
        <f aca="false">$B$103-S60+1</f>
        <v>6</v>
      </c>
      <c r="J60" s="5" t="n">
        <v>1</v>
      </c>
      <c r="K60" s="5" t="n">
        <v>0</v>
      </c>
      <c r="L60" s="5" t="n">
        <v>0</v>
      </c>
      <c r="M60" s="5" t="n">
        <v>17</v>
      </c>
      <c r="N60" s="6" t="n">
        <v>28.25</v>
      </c>
      <c r="O60" s="5" t="n">
        <v>2028</v>
      </c>
      <c r="P60" s="5" t="n">
        <v>2314</v>
      </c>
      <c r="Q60" s="7" t="s">
        <v>156</v>
      </c>
      <c r="R60" s="7" t="s">
        <v>106</v>
      </c>
      <c r="S60" s="7" t="n">
        <v>2021</v>
      </c>
      <c r="T60" s="7" t="s">
        <v>41</v>
      </c>
      <c r="U60" s="7" t="n">
        <v>1</v>
      </c>
      <c r="V60" s="8" t="s">
        <v>229</v>
      </c>
    </row>
    <row r="61" customFormat="false" ht="15" hidden="false" customHeight="false" outlineLevel="0" collapsed="false">
      <c r="A61" s="3" t="s">
        <v>230</v>
      </c>
      <c r="B61" s="4" t="n">
        <v>37532</v>
      </c>
      <c r="C61" s="5" t="n">
        <v>191</v>
      </c>
      <c r="D61" s="5" t="n">
        <v>94</v>
      </c>
      <c r="E61" s="5" t="n">
        <v>2024</v>
      </c>
      <c r="F61" s="5" t="n">
        <v>23</v>
      </c>
      <c r="G61" s="6" t="n">
        <f aca="false">ROUND((DATE(E61,9,1)-B61)/365.25,2)</f>
        <v>21.91</v>
      </c>
      <c r="H61" s="5" t="n">
        <v>0</v>
      </c>
      <c r="I61" s="5" t="n">
        <f aca="false">$B$103-S61+1</f>
        <v>3</v>
      </c>
      <c r="J61" s="5" t="n">
        <v>0</v>
      </c>
      <c r="K61" s="5" t="n">
        <v>0</v>
      </c>
      <c r="L61" s="5" t="n">
        <v>0</v>
      </c>
      <c r="M61" s="5" t="n">
        <v>7</v>
      </c>
      <c r="N61" s="6" t="n">
        <v>3.9</v>
      </c>
      <c r="O61" s="5" t="n">
        <v>2027</v>
      </c>
      <c r="P61" s="5" t="n">
        <v>7</v>
      </c>
      <c r="Q61" s="7" t="s">
        <v>152</v>
      </c>
      <c r="R61" s="7" t="s">
        <v>106</v>
      </c>
      <c r="S61" s="7" t="n">
        <v>2024</v>
      </c>
      <c r="T61" s="7" t="s">
        <v>231</v>
      </c>
      <c r="U61" s="7" t="n">
        <v>1</v>
      </c>
      <c r="V61" s="8" t="s">
        <v>232</v>
      </c>
    </row>
    <row r="62" customFormat="false" ht="15" hidden="false" customHeight="false" outlineLevel="0" collapsed="false">
      <c r="A62" s="3" t="s">
        <v>233</v>
      </c>
      <c r="B62" s="4" t="n">
        <v>37210</v>
      </c>
      <c r="C62" s="5" t="n">
        <v>183</v>
      </c>
      <c r="D62" s="5" t="n">
        <v>84</v>
      </c>
      <c r="E62" s="5" t="n">
        <v>2024</v>
      </c>
      <c r="F62" s="5" t="n">
        <v>34</v>
      </c>
      <c r="G62" s="6" t="n">
        <f aca="false">ROUND((DATE(E62,9,1)-B62)/365.25,2)</f>
        <v>22.8</v>
      </c>
      <c r="H62" s="5" t="n">
        <v>1</v>
      </c>
      <c r="I62" s="5" t="n">
        <f aca="false">$B$103-S62+1</f>
        <v>3</v>
      </c>
      <c r="J62" s="5" t="n">
        <v>0</v>
      </c>
      <c r="K62" s="5" t="n">
        <v>0</v>
      </c>
      <c r="L62" s="5" t="n">
        <v>0</v>
      </c>
      <c r="M62" s="5" t="n">
        <v>15</v>
      </c>
      <c r="N62" s="6" t="n">
        <v>2.1</v>
      </c>
      <c r="O62" s="5" t="n">
        <v>2027</v>
      </c>
      <c r="P62" s="5" t="n">
        <v>5</v>
      </c>
      <c r="Q62" s="7" t="s">
        <v>44</v>
      </c>
      <c r="R62" s="7" t="s">
        <v>106</v>
      </c>
      <c r="S62" s="7" t="n">
        <v>2024</v>
      </c>
      <c r="T62" s="7" t="s">
        <v>234</v>
      </c>
      <c r="U62" s="7" t="n">
        <v>1</v>
      </c>
      <c r="V62" s="8" t="s">
        <v>235</v>
      </c>
    </row>
    <row r="63" customFormat="false" ht="15" hidden="false" customHeight="false" outlineLevel="0" collapsed="false">
      <c r="A63" s="3" t="s">
        <v>236</v>
      </c>
      <c r="B63" s="4" t="n">
        <v>37475</v>
      </c>
      <c r="C63" s="5" t="n">
        <v>191</v>
      </c>
      <c r="D63" s="5" t="n">
        <v>94</v>
      </c>
      <c r="E63" s="5" t="n">
        <v>2024</v>
      </c>
      <c r="F63" s="5" t="n">
        <v>4</v>
      </c>
      <c r="G63" s="6" t="n">
        <f aca="false">ROUND((DATE(E63,9,1)-B63)/365.25,2)</f>
        <v>22.07</v>
      </c>
      <c r="H63" s="5" t="n">
        <v>0</v>
      </c>
      <c r="I63" s="5" t="n">
        <f aca="false">$B$103-S63+1</f>
        <v>3</v>
      </c>
      <c r="J63" s="5" t="n">
        <v>0</v>
      </c>
      <c r="K63" s="5" t="n">
        <v>0</v>
      </c>
      <c r="L63" s="5" t="n">
        <v>0</v>
      </c>
      <c r="M63" s="5" t="n">
        <v>18</v>
      </c>
      <c r="N63" s="6" t="n">
        <v>8.9</v>
      </c>
      <c r="O63" s="5" t="n">
        <v>2027</v>
      </c>
      <c r="P63" s="5" t="n">
        <v>1603</v>
      </c>
      <c r="Q63" s="7" t="s">
        <v>141</v>
      </c>
      <c r="R63" s="7" t="s">
        <v>106</v>
      </c>
      <c r="S63" s="7" t="n">
        <v>2024</v>
      </c>
      <c r="T63" s="7" t="s">
        <v>164</v>
      </c>
      <c r="U63" s="7" t="n">
        <v>1</v>
      </c>
      <c r="V63" s="8" t="s">
        <v>237</v>
      </c>
    </row>
    <row r="64" customFormat="false" ht="22.35" hidden="false" customHeight="false" outlineLevel="0" collapsed="false">
      <c r="A64" s="3" t="s">
        <v>238</v>
      </c>
      <c r="B64" s="4" t="n">
        <v>37759</v>
      </c>
      <c r="C64" s="5" t="n">
        <v>185</v>
      </c>
      <c r="D64" s="5" t="n">
        <v>84</v>
      </c>
      <c r="E64" s="5" t="n">
        <v>2025</v>
      </c>
      <c r="F64" s="5" t="n">
        <v>2</v>
      </c>
      <c r="G64" s="6" t="n">
        <f aca="false">ROUND((DATE(E64,9,1)-B64)/365.25,2)</f>
        <v>22.29</v>
      </c>
      <c r="H64" s="5" t="n">
        <v>0</v>
      </c>
      <c r="I64" s="5" t="n">
        <f aca="false">$B$103-S64+1</f>
        <v>2</v>
      </c>
      <c r="J64" s="5" t="n">
        <v>0</v>
      </c>
      <c r="K64" s="5" t="n">
        <v>0</v>
      </c>
      <c r="L64" s="5" t="n">
        <v>0</v>
      </c>
      <c r="M64" s="5" t="n">
        <v>12</v>
      </c>
      <c r="N64" s="6" t="n">
        <v>11.7</v>
      </c>
      <c r="O64" s="5" t="n">
        <v>2028</v>
      </c>
      <c r="P64" s="5" t="n">
        <v>22</v>
      </c>
      <c r="Q64" s="7" t="s">
        <v>152</v>
      </c>
      <c r="R64" s="7" t="s">
        <v>239</v>
      </c>
      <c r="S64" s="7" t="n">
        <v>2025</v>
      </c>
      <c r="T64" s="7" t="s">
        <v>240</v>
      </c>
      <c r="U64" s="7" t="n">
        <v>1</v>
      </c>
      <c r="V64" s="8" t="s">
        <v>241</v>
      </c>
    </row>
    <row r="65" customFormat="false" ht="15" hidden="false" customHeight="false" outlineLevel="0" collapsed="false">
      <c r="A65" s="3" t="s">
        <v>242</v>
      </c>
      <c r="B65" s="4" t="n">
        <v>37716</v>
      </c>
      <c r="C65" s="5" t="n">
        <v>193</v>
      </c>
      <c r="D65" s="5" t="n">
        <v>98</v>
      </c>
      <c r="E65" s="5" t="n">
        <v>2025</v>
      </c>
      <c r="F65" s="5" t="n">
        <v>8</v>
      </c>
      <c r="G65" s="6" t="n">
        <f aca="false">ROUND((DATE(E65,9,1)-B65)/365.25,2)</f>
        <v>22.41</v>
      </c>
      <c r="H65" s="5" t="n">
        <v>0</v>
      </c>
      <c r="I65" s="5" t="n">
        <f aca="false">$B$103-S65+1</f>
        <v>2</v>
      </c>
      <c r="J65" s="5" t="n">
        <v>0</v>
      </c>
      <c r="K65" s="5" t="n">
        <v>0</v>
      </c>
      <c r="L65" s="5" t="n">
        <v>0</v>
      </c>
      <c r="M65" s="5" t="n">
        <v>4</v>
      </c>
      <c r="N65" s="6" t="n">
        <v>7.4</v>
      </c>
      <c r="O65" s="5" t="n">
        <v>2028</v>
      </c>
      <c r="P65" s="5" t="n">
        <v>5</v>
      </c>
      <c r="Q65" s="7" t="s">
        <v>163</v>
      </c>
      <c r="R65" s="7" t="s">
        <v>106</v>
      </c>
      <c r="S65" s="7" t="n">
        <v>2025</v>
      </c>
      <c r="T65" s="7" t="s">
        <v>243</v>
      </c>
      <c r="U65" s="7" t="n">
        <v>1</v>
      </c>
      <c r="V65" s="8" t="s">
        <v>244</v>
      </c>
    </row>
    <row r="66" customFormat="false" ht="15" hidden="false" customHeight="false" outlineLevel="0" collapsed="false">
      <c r="A66" s="3" t="s">
        <v>245</v>
      </c>
      <c r="B66" s="4" t="n">
        <v>36770</v>
      </c>
      <c r="C66" s="5" t="n">
        <v>175</v>
      </c>
      <c r="D66" s="5" t="n">
        <v>83</v>
      </c>
      <c r="E66" s="5" t="n">
        <v>2023</v>
      </c>
      <c r="F66" s="5" t="n">
        <v>22</v>
      </c>
      <c r="G66" s="6" t="n">
        <f aca="false">ROUND((DATE(E66,9,1)-B66)/365.25,2)</f>
        <v>23</v>
      </c>
      <c r="H66" s="5" t="n">
        <v>3</v>
      </c>
      <c r="I66" s="5" t="n">
        <f aca="false">$B$103-S66+1</f>
        <v>4</v>
      </c>
      <c r="J66" s="5" t="n">
        <v>1</v>
      </c>
      <c r="K66" s="5" t="n">
        <v>0</v>
      </c>
      <c r="L66" s="5" t="n">
        <v>0</v>
      </c>
      <c r="M66" s="5" t="n">
        <v>4</v>
      </c>
      <c r="N66" s="6" t="n">
        <v>3.6</v>
      </c>
      <c r="O66" s="5" t="n">
        <v>2026</v>
      </c>
      <c r="P66" s="5" t="n">
        <v>183</v>
      </c>
      <c r="Q66" s="7" t="s">
        <v>32</v>
      </c>
      <c r="R66" s="7" t="s">
        <v>106</v>
      </c>
      <c r="S66" s="7" t="n">
        <v>2023</v>
      </c>
      <c r="T66" s="7" t="s">
        <v>246</v>
      </c>
      <c r="U66" s="7" t="n">
        <v>1</v>
      </c>
      <c r="V66" s="8" t="s">
        <v>247</v>
      </c>
    </row>
    <row r="67" customFormat="false" ht="22.35" hidden="false" customHeight="false" outlineLevel="0" collapsed="false">
      <c r="A67" s="3" t="s">
        <v>248</v>
      </c>
      <c r="B67" s="4" t="n">
        <v>36113</v>
      </c>
      <c r="C67" s="5" t="n">
        <v>183</v>
      </c>
      <c r="D67" s="5" t="n">
        <v>77</v>
      </c>
      <c r="E67" s="5" t="n">
        <v>2021</v>
      </c>
      <c r="F67" s="5" t="n">
        <v>10</v>
      </c>
      <c r="G67" s="6" t="n">
        <f aca="false">ROUND((DATE(E67,9,1)-B67)/365.25,2)</f>
        <v>22.8</v>
      </c>
      <c r="H67" s="5" t="n">
        <v>10</v>
      </c>
      <c r="I67" s="5" t="n">
        <f aca="false">$B$103-S67+1</f>
        <v>6</v>
      </c>
      <c r="J67" s="5" t="n">
        <v>0</v>
      </c>
      <c r="K67" s="5" t="n">
        <v>0</v>
      </c>
      <c r="L67" s="5" t="n">
        <v>2</v>
      </c>
      <c r="M67" s="5" t="n">
        <v>6</v>
      </c>
      <c r="N67" s="6" t="n">
        <v>25</v>
      </c>
      <c r="O67" s="5" t="n">
        <v>2028</v>
      </c>
      <c r="P67" s="5" t="n">
        <v>1</v>
      </c>
      <c r="Q67" s="7" t="s">
        <v>40</v>
      </c>
      <c r="R67" s="7" t="s">
        <v>106</v>
      </c>
      <c r="S67" s="7" t="n">
        <v>2021</v>
      </c>
      <c r="T67" s="7" t="s">
        <v>249</v>
      </c>
      <c r="U67" s="7" t="n">
        <v>1</v>
      </c>
      <c r="V67" s="8" t="s">
        <v>250</v>
      </c>
    </row>
    <row r="68" customFormat="false" ht="15" hidden="false" customHeight="false" outlineLevel="0" collapsed="false">
      <c r="A68" s="3" t="s">
        <v>251</v>
      </c>
      <c r="B68" s="4" t="n">
        <v>37413</v>
      </c>
      <c r="C68" s="5" t="n">
        <v>191</v>
      </c>
      <c r="D68" s="5" t="n">
        <v>96</v>
      </c>
      <c r="E68" s="5" t="n">
        <v>2024</v>
      </c>
      <c r="F68" s="5" t="n">
        <v>9</v>
      </c>
      <c r="G68" s="6" t="n">
        <f aca="false">ROUND((DATE(E68,9,1)-B68)/365.25,2)</f>
        <v>22.24</v>
      </c>
      <c r="H68" s="5" t="n">
        <v>2</v>
      </c>
      <c r="I68" s="5" t="n">
        <f aca="false">$B$103-S68+1</f>
        <v>3</v>
      </c>
      <c r="J68" s="5" t="n">
        <v>0</v>
      </c>
      <c r="K68" s="5" t="n">
        <v>0</v>
      </c>
      <c r="L68" s="5" t="n">
        <v>0</v>
      </c>
      <c r="M68" s="5" t="n">
        <v>15</v>
      </c>
      <c r="N68" s="6" t="n">
        <v>5.7</v>
      </c>
      <c r="O68" s="5" t="n">
        <v>2027</v>
      </c>
      <c r="P68" s="5" t="n">
        <v>660</v>
      </c>
      <c r="Q68" s="7" t="s">
        <v>60</v>
      </c>
      <c r="R68" s="7" t="s">
        <v>106</v>
      </c>
      <c r="S68" s="7" t="n">
        <v>2024</v>
      </c>
      <c r="T68" s="7" t="s">
        <v>252</v>
      </c>
      <c r="U68" s="7" t="n">
        <v>1</v>
      </c>
      <c r="V68" s="8" t="s">
        <v>253</v>
      </c>
    </row>
    <row r="69" customFormat="false" ht="15" hidden="false" customHeight="false" outlineLevel="0" collapsed="false">
      <c r="A69" s="3" t="s">
        <v>254</v>
      </c>
      <c r="B69" s="4" t="n">
        <v>36903</v>
      </c>
      <c r="C69" s="5" t="n">
        <v>191</v>
      </c>
      <c r="D69" s="5" t="n">
        <v>111</v>
      </c>
      <c r="E69" s="5" t="n">
        <v>2023</v>
      </c>
      <c r="F69" s="5" t="n">
        <v>34</v>
      </c>
      <c r="G69" s="6" t="n">
        <f aca="false">ROUND((DATE(E69,9,1)-B69)/365.25,2)</f>
        <v>22.63</v>
      </c>
      <c r="H69" s="5" t="n">
        <v>5</v>
      </c>
      <c r="I69" s="5" t="n">
        <f aca="false">$B$103-S69+1</f>
        <v>4</v>
      </c>
      <c r="J69" s="5" t="n">
        <v>1</v>
      </c>
      <c r="K69" s="5" t="n">
        <v>0</v>
      </c>
      <c r="L69" s="5" t="n">
        <v>0</v>
      </c>
      <c r="M69" s="5" t="n">
        <v>87</v>
      </c>
      <c r="N69" s="6" t="n">
        <v>2.6</v>
      </c>
      <c r="O69" s="5" t="n">
        <v>2026</v>
      </c>
      <c r="P69" s="5" t="n">
        <v>12</v>
      </c>
      <c r="Q69" s="7" t="s">
        <v>80</v>
      </c>
      <c r="R69" s="7" t="s">
        <v>134</v>
      </c>
      <c r="S69" s="7" t="n">
        <v>2023</v>
      </c>
      <c r="T69" s="7" t="s">
        <v>255</v>
      </c>
      <c r="U69" s="7" t="n">
        <v>1</v>
      </c>
      <c r="V69" s="8" t="s">
        <v>256</v>
      </c>
    </row>
    <row r="70" customFormat="false" ht="15" hidden="false" customHeight="false" outlineLevel="0" collapsed="false">
      <c r="A70" s="3" t="s">
        <v>257</v>
      </c>
      <c r="B70" s="4" t="n">
        <v>35614</v>
      </c>
      <c r="C70" s="5" t="n">
        <v>196</v>
      </c>
      <c r="D70" s="5" t="n">
        <v>112</v>
      </c>
      <c r="E70" s="5" t="n">
        <v>2019</v>
      </c>
      <c r="F70" s="5" t="n">
        <v>8</v>
      </c>
      <c r="G70" s="6" t="n">
        <f aca="false">ROUND((DATE(E70,9,1)-B70)/365.25,2)</f>
        <v>22.16</v>
      </c>
      <c r="H70" s="5" t="n">
        <v>2</v>
      </c>
      <c r="I70" s="5" t="n">
        <f aca="false">$B$103-S70+1</f>
        <v>5</v>
      </c>
      <c r="J70" s="5" t="n">
        <v>2</v>
      </c>
      <c r="K70" s="5" t="n">
        <v>0</v>
      </c>
      <c r="L70" s="5" t="n">
        <v>0</v>
      </c>
      <c r="M70" s="5" t="n">
        <v>87</v>
      </c>
      <c r="N70" s="6" t="n">
        <v>16.5</v>
      </c>
      <c r="O70" s="5" t="n">
        <v>2027</v>
      </c>
      <c r="P70" s="5" t="n">
        <v>4</v>
      </c>
      <c r="Q70" s="7" t="s">
        <v>105</v>
      </c>
      <c r="R70" s="7" t="s">
        <v>134</v>
      </c>
      <c r="S70" s="7" t="n">
        <v>2022</v>
      </c>
      <c r="T70" s="7" t="s">
        <v>258</v>
      </c>
      <c r="U70" s="7" t="n">
        <v>2</v>
      </c>
      <c r="V70" s="8" t="s">
        <v>259</v>
      </c>
    </row>
    <row r="71" customFormat="false" ht="15" hidden="false" customHeight="false" outlineLevel="0" collapsed="false">
      <c r="A71" s="3" t="s">
        <v>260</v>
      </c>
      <c r="B71" s="4" t="n">
        <v>37378</v>
      </c>
      <c r="C71" s="5" t="n">
        <v>198</v>
      </c>
      <c r="D71" s="5" t="n">
        <v>116</v>
      </c>
      <c r="E71" s="5" t="n">
        <v>2025</v>
      </c>
      <c r="F71" s="5" t="n">
        <v>14</v>
      </c>
      <c r="G71" s="6" t="n">
        <f aca="false">ROUND((DATE(E71,9,1)-B71)/365.25,2)</f>
        <v>23.33</v>
      </c>
      <c r="H71" s="5" t="n">
        <v>0</v>
      </c>
      <c r="I71" s="5" t="n">
        <f aca="false">$B$103-S71+1</f>
        <v>2</v>
      </c>
      <c r="J71" s="5" t="n">
        <v>0</v>
      </c>
      <c r="K71" s="5" t="n">
        <v>0</v>
      </c>
      <c r="L71" s="5" t="n">
        <v>0</v>
      </c>
      <c r="M71" s="5" t="n">
        <v>84</v>
      </c>
      <c r="N71" s="6" t="n">
        <v>5.1</v>
      </c>
      <c r="O71" s="5" t="n">
        <v>2028</v>
      </c>
      <c r="P71" s="5" t="n">
        <v>37</v>
      </c>
      <c r="Q71" s="7" t="s">
        <v>196</v>
      </c>
      <c r="R71" s="7" t="s">
        <v>134</v>
      </c>
      <c r="S71" s="7" t="n">
        <v>2025</v>
      </c>
      <c r="T71" s="7" t="s">
        <v>261</v>
      </c>
      <c r="U71" s="7" t="n">
        <v>1</v>
      </c>
      <c r="V71" s="8" t="s">
        <v>262</v>
      </c>
    </row>
    <row r="72" customFormat="false" ht="15" hidden="false" customHeight="false" outlineLevel="0" collapsed="false">
      <c r="A72" s="3" t="s">
        <v>263</v>
      </c>
      <c r="B72" s="4" t="n">
        <v>38086</v>
      </c>
      <c r="C72" s="5" t="n">
        <v>198</v>
      </c>
      <c r="D72" s="5" t="n">
        <v>112</v>
      </c>
      <c r="E72" s="5" t="n">
        <v>2025</v>
      </c>
      <c r="F72" s="5" t="n">
        <v>10</v>
      </c>
      <c r="G72" s="6" t="n">
        <f aca="false">ROUND((DATE(E72,9,1)-B72)/365.25,2)</f>
        <v>21.4</v>
      </c>
      <c r="H72" s="5" t="n">
        <v>2</v>
      </c>
      <c r="I72" s="5" t="n">
        <f aca="false">$B$103-S72+1</f>
        <v>2</v>
      </c>
      <c r="J72" s="5" t="n">
        <v>0</v>
      </c>
      <c r="K72" s="5" t="n">
        <v>0</v>
      </c>
      <c r="L72" s="5" t="n">
        <v>0</v>
      </c>
      <c r="M72" s="5" t="n">
        <v>84</v>
      </c>
      <c r="N72" s="6" t="n">
        <v>6.3</v>
      </c>
      <c r="O72" s="5" t="n">
        <v>2028</v>
      </c>
      <c r="P72" s="5" t="n">
        <v>4</v>
      </c>
      <c r="Q72" s="7" t="s">
        <v>60</v>
      </c>
      <c r="R72" s="7" t="s">
        <v>134</v>
      </c>
      <c r="S72" s="7" t="n">
        <v>2025</v>
      </c>
      <c r="T72" s="7" t="s">
        <v>264</v>
      </c>
      <c r="U72" s="7" t="n">
        <v>1</v>
      </c>
      <c r="V72" s="8" t="s">
        <v>265</v>
      </c>
    </row>
    <row r="73" customFormat="false" ht="22.35" hidden="false" customHeight="false" outlineLevel="0" collapsed="false">
      <c r="A73" s="3" t="s">
        <v>266</v>
      </c>
      <c r="B73" s="4" t="n">
        <v>32343</v>
      </c>
      <c r="C73" s="5" t="n">
        <v>196</v>
      </c>
      <c r="D73" s="5" t="n">
        <v>145</v>
      </c>
      <c r="E73" s="5" t="n">
        <v>2010</v>
      </c>
      <c r="F73" s="5" t="n">
        <v>4</v>
      </c>
      <c r="G73" s="6" t="n">
        <f aca="false">ROUND((DATE(E73,9,1)-B73)/365.25,2)</f>
        <v>22.12</v>
      </c>
      <c r="H73" s="5" t="n">
        <v>9</v>
      </c>
      <c r="I73" s="5" t="n">
        <f aca="false">$B$103-S73+1</f>
        <v>7</v>
      </c>
      <c r="J73" s="5" t="n">
        <v>11</v>
      </c>
      <c r="K73" s="5" t="n">
        <v>3</v>
      </c>
      <c r="L73" s="5" t="n">
        <v>1</v>
      </c>
      <c r="M73" s="5" t="n">
        <v>71</v>
      </c>
      <c r="N73" s="6" t="n">
        <v>27.4</v>
      </c>
      <c r="O73" s="5" t="n">
        <v>2026</v>
      </c>
      <c r="P73" s="5" t="n">
        <v>82</v>
      </c>
      <c r="Q73" s="7" t="s">
        <v>68</v>
      </c>
      <c r="R73" s="7" t="s">
        <v>267</v>
      </c>
      <c r="S73" s="7" t="n">
        <v>2020</v>
      </c>
      <c r="T73" s="7" t="s">
        <v>268</v>
      </c>
      <c r="U73" s="7" t="n">
        <v>2</v>
      </c>
      <c r="V73" s="8" t="s">
        <v>269</v>
      </c>
    </row>
    <row r="74" customFormat="false" ht="22.35" hidden="false" customHeight="false" outlineLevel="0" collapsed="false">
      <c r="A74" s="3" t="s">
        <v>270</v>
      </c>
      <c r="B74" s="4" t="n">
        <v>33001</v>
      </c>
      <c r="C74" s="5" t="n">
        <v>198</v>
      </c>
      <c r="D74" s="5" t="n">
        <v>147</v>
      </c>
      <c r="E74" s="5" t="n">
        <v>2013</v>
      </c>
      <c r="F74" s="5" t="n">
        <v>4</v>
      </c>
      <c r="G74" s="6" t="n">
        <f aca="false">ROUND((DATE(E74,9,1)-B74)/365.25,2)</f>
        <v>23.32</v>
      </c>
      <c r="H74" s="5" t="n">
        <v>17</v>
      </c>
      <c r="I74" s="5" t="n">
        <f aca="false">$B$103-S74+1</f>
        <v>14</v>
      </c>
      <c r="J74" s="5" t="n">
        <v>6</v>
      </c>
      <c r="K74" s="5" t="n">
        <v>2</v>
      </c>
      <c r="L74" s="5" t="n">
        <v>3</v>
      </c>
      <c r="M74" s="5" t="n">
        <v>65</v>
      </c>
      <c r="N74" s="6" t="n">
        <v>22</v>
      </c>
      <c r="O74" s="5" t="n">
        <v>2027</v>
      </c>
      <c r="P74" s="5" t="n">
        <v>1</v>
      </c>
      <c r="Q74" s="7" t="s">
        <v>40</v>
      </c>
      <c r="R74" s="7" t="s">
        <v>267</v>
      </c>
      <c r="S74" s="7" t="n">
        <v>2013</v>
      </c>
      <c r="T74" s="7" t="s">
        <v>271</v>
      </c>
      <c r="U74" s="7" t="n">
        <v>1</v>
      </c>
      <c r="V74" s="8" t="s">
        <v>272</v>
      </c>
    </row>
    <row r="75" customFormat="false" ht="22.35" hidden="false" customHeight="false" outlineLevel="0" collapsed="false">
      <c r="A75" s="3" t="s">
        <v>273</v>
      </c>
      <c r="B75" s="4" t="n">
        <v>36808</v>
      </c>
      <c r="C75" s="5" t="n">
        <v>196</v>
      </c>
      <c r="D75" s="5" t="n">
        <v>152</v>
      </c>
      <c r="E75" s="5" t="n">
        <v>2021</v>
      </c>
      <c r="F75" s="5" t="n">
        <v>7</v>
      </c>
      <c r="G75" s="6" t="n">
        <f aca="false">ROUND((DATE(E75,9,1)-B75)/365.25,2)</f>
        <v>20.9</v>
      </c>
      <c r="H75" s="5" t="n">
        <v>4</v>
      </c>
      <c r="I75" s="5" t="n">
        <f aca="false">$B$103-S75+1</f>
        <v>6</v>
      </c>
      <c r="J75" s="5" t="n">
        <v>3</v>
      </c>
      <c r="K75" s="5" t="n">
        <v>2</v>
      </c>
      <c r="L75" s="5" t="n">
        <v>0</v>
      </c>
      <c r="M75" s="5" t="n">
        <v>58</v>
      </c>
      <c r="N75" s="6" t="n">
        <v>28</v>
      </c>
      <c r="O75" s="5" t="n">
        <v>2029</v>
      </c>
      <c r="P75" s="5" t="n">
        <v>1</v>
      </c>
      <c r="Q75" s="7" t="s">
        <v>80</v>
      </c>
      <c r="R75" s="7" t="s">
        <v>267</v>
      </c>
      <c r="S75" s="7" t="n">
        <v>2021</v>
      </c>
      <c r="T75" s="7" t="s">
        <v>274</v>
      </c>
      <c r="U75" s="7" t="n">
        <v>1</v>
      </c>
      <c r="V75" s="8" t="s">
        <v>275</v>
      </c>
    </row>
    <row r="76" customFormat="false" ht="22.35" hidden="false" customHeight="false" outlineLevel="0" collapsed="false">
      <c r="A76" s="3" t="s">
        <v>276</v>
      </c>
      <c r="B76" s="4" t="n">
        <v>36184</v>
      </c>
      <c r="C76" s="5" t="n">
        <v>196</v>
      </c>
      <c r="D76" s="5" t="n">
        <v>145</v>
      </c>
      <c r="E76" s="5" t="n">
        <v>2020</v>
      </c>
      <c r="F76" s="5" t="n">
        <v>13</v>
      </c>
      <c r="G76" s="6" t="n">
        <f aca="false">ROUND((DATE(E76,9,1)-B76)/365.25,2)</f>
        <v>21.6</v>
      </c>
      <c r="H76" s="5" t="n">
        <v>10</v>
      </c>
      <c r="I76" s="5" t="n">
        <f aca="false">$B$103-S76+1</f>
        <v>7</v>
      </c>
      <c r="J76" s="5" t="n">
        <v>4</v>
      </c>
      <c r="K76" s="5" t="n">
        <v>1</v>
      </c>
      <c r="L76" s="5" t="n">
        <v>1</v>
      </c>
      <c r="M76" s="5" t="n">
        <v>78</v>
      </c>
      <c r="N76" s="6" t="n">
        <v>28.1</v>
      </c>
      <c r="O76" s="5" t="n">
        <v>2029</v>
      </c>
      <c r="P76" s="5" t="n">
        <v>4</v>
      </c>
      <c r="Q76" s="7" t="s">
        <v>145</v>
      </c>
      <c r="R76" s="7" t="s">
        <v>267</v>
      </c>
      <c r="S76" s="7" t="n">
        <v>2020</v>
      </c>
      <c r="T76" s="7" t="s">
        <v>277</v>
      </c>
      <c r="U76" s="7" t="n">
        <v>1</v>
      </c>
      <c r="V76" s="8" t="s">
        <v>278</v>
      </c>
    </row>
    <row r="77" customFormat="false" ht="22.35" hidden="false" customHeight="false" outlineLevel="0" collapsed="false">
      <c r="A77" s="3" t="s">
        <v>279</v>
      </c>
      <c r="B77" s="4" t="n">
        <v>36245</v>
      </c>
      <c r="C77" s="5" t="n">
        <v>193</v>
      </c>
      <c r="D77" s="5" t="n">
        <v>143</v>
      </c>
      <c r="E77" s="5" t="n">
        <v>2021</v>
      </c>
      <c r="F77" s="5" t="n">
        <v>13</v>
      </c>
      <c r="G77" s="6" t="n">
        <f aca="false">ROUND((DATE(E77,9,1)-B77)/365.25,2)</f>
        <v>22.44</v>
      </c>
      <c r="H77" s="5" t="n">
        <v>2</v>
      </c>
      <c r="I77" s="5" t="n">
        <f aca="false">$B$103-S77+1</f>
        <v>6</v>
      </c>
      <c r="J77" s="5" t="n">
        <v>2</v>
      </c>
      <c r="K77" s="5" t="n">
        <v>0</v>
      </c>
      <c r="L77" s="5" t="n">
        <v>0</v>
      </c>
      <c r="M77" s="5" t="n">
        <v>70</v>
      </c>
      <c r="N77" s="6" t="n">
        <v>28.5</v>
      </c>
      <c r="O77" s="5" t="n">
        <v>2029</v>
      </c>
      <c r="P77" s="5" t="n">
        <v>111</v>
      </c>
      <c r="Q77" s="7" t="s">
        <v>44</v>
      </c>
      <c r="R77" s="7" t="s">
        <v>267</v>
      </c>
      <c r="S77" s="7" t="n">
        <v>2021</v>
      </c>
      <c r="T77" s="7" t="s">
        <v>280</v>
      </c>
      <c r="U77" s="7" t="n">
        <v>1</v>
      </c>
      <c r="V77" s="8" t="s">
        <v>281</v>
      </c>
    </row>
    <row r="78" customFormat="false" ht="15" hidden="false" customHeight="false" outlineLevel="0" collapsed="false">
      <c r="A78" s="3" t="s">
        <v>282</v>
      </c>
      <c r="B78" s="4" t="n">
        <v>35143</v>
      </c>
      <c r="C78" s="5" t="n">
        <v>196</v>
      </c>
      <c r="D78" s="5" t="n">
        <v>150</v>
      </c>
      <c r="E78" s="5" t="n">
        <v>2018</v>
      </c>
      <c r="F78" s="5" t="n">
        <v>6</v>
      </c>
      <c r="G78" s="6" t="n">
        <f aca="false">ROUND((DATE(E78,9,1)-B78)/365.25,2)</f>
        <v>22.45</v>
      </c>
      <c r="H78" s="5" t="n">
        <v>3</v>
      </c>
      <c r="I78" s="5" t="n">
        <f aca="false">$B$103-S78+1</f>
        <v>9</v>
      </c>
      <c r="J78" s="5" t="n">
        <v>7</v>
      </c>
      <c r="K78" s="5" t="n">
        <v>3</v>
      </c>
      <c r="L78" s="5" t="n">
        <v>0</v>
      </c>
      <c r="M78" s="5" t="n">
        <v>56</v>
      </c>
      <c r="N78" s="6" t="n">
        <v>20</v>
      </c>
      <c r="O78" s="5" t="n">
        <v>2026</v>
      </c>
      <c r="P78" s="5" t="n">
        <v>17</v>
      </c>
      <c r="Q78" s="7" t="s">
        <v>196</v>
      </c>
      <c r="R78" s="7" t="s">
        <v>283</v>
      </c>
      <c r="S78" s="7" t="n">
        <v>2018</v>
      </c>
      <c r="T78" s="7" t="s">
        <v>284</v>
      </c>
      <c r="U78" s="7" t="n">
        <v>1</v>
      </c>
      <c r="V78" s="8" t="s">
        <v>285</v>
      </c>
    </row>
    <row r="79" customFormat="false" ht="15" hidden="false" customHeight="false" outlineLevel="0" collapsed="false">
      <c r="A79" s="3" t="s">
        <v>286</v>
      </c>
      <c r="B79" s="4" t="n">
        <v>36339</v>
      </c>
      <c r="C79" s="5" t="n">
        <v>193</v>
      </c>
      <c r="D79" s="5" t="n">
        <v>140</v>
      </c>
      <c r="E79" s="5" t="n">
        <v>2021</v>
      </c>
      <c r="F79" s="5" t="n">
        <v>63</v>
      </c>
      <c r="G79" s="6" t="n">
        <f aca="false">ROUND((DATE(E79,9,1)-B79)/365.25,2)</f>
        <v>22.18</v>
      </c>
      <c r="H79" s="5" t="n">
        <v>13</v>
      </c>
      <c r="I79" s="5" t="n">
        <f aca="false">$B$103-S79+1</f>
        <v>6</v>
      </c>
      <c r="J79" s="5" t="n">
        <v>3</v>
      </c>
      <c r="K79" s="5" t="n">
        <v>2</v>
      </c>
      <c r="L79" s="5" t="n">
        <v>3</v>
      </c>
      <c r="M79" s="5" t="n">
        <v>52</v>
      </c>
      <c r="N79" s="6" t="n">
        <v>18</v>
      </c>
      <c r="O79" s="5" t="n">
        <v>2028</v>
      </c>
      <c r="P79" s="5" t="n">
        <v>31</v>
      </c>
      <c r="Q79" s="7" t="s">
        <v>23</v>
      </c>
      <c r="R79" s="7" t="s">
        <v>287</v>
      </c>
      <c r="S79" s="7" t="n">
        <v>2021</v>
      </c>
      <c r="T79" s="7" t="s">
        <v>288</v>
      </c>
      <c r="U79" s="7" t="n">
        <v>1</v>
      </c>
      <c r="V79" s="8" t="s">
        <v>289</v>
      </c>
    </row>
    <row r="80" customFormat="false" ht="22.35" hidden="false" customHeight="false" outlineLevel="0" collapsed="false">
      <c r="A80" s="3" t="s">
        <v>290</v>
      </c>
      <c r="B80" s="4" t="n">
        <v>35062</v>
      </c>
      <c r="C80" s="5" t="n">
        <v>193</v>
      </c>
      <c r="D80" s="5" t="n">
        <v>122</v>
      </c>
      <c r="E80" s="5" t="n">
        <v>2017</v>
      </c>
      <c r="F80" s="5" t="n">
        <v>1</v>
      </c>
      <c r="G80" s="6" t="n">
        <f aca="false">ROUND((DATE(E80,9,1)-B80)/365.25,2)</f>
        <v>21.68</v>
      </c>
      <c r="H80" s="5" t="n">
        <v>2</v>
      </c>
      <c r="I80" s="5" t="n">
        <f aca="false">$B$103-S80+1</f>
        <v>10</v>
      </c>
      <c r="J80" s="5" t="n">
        <v>6</v>
      </c>
      <c r="K80" s="5" t="n">
        <v>4</v>
      </c>
      <c r="L80" s="5" t="n">
        <v>0</v>
      </c>
      <c r="M80" s="5" t="n">
        <v>95</v>
      </c>
      <c r="N80" s="6" t="n">
        <v>40</v>
      </c>
      <c r="O80" s="5" t="n">
        <v>2030</v>
      </c>
      <c r="P80" s="5" t="n">
        <v>394</v>
      </c>
      <c r="Q80" s="7" t="s">
        <v>291</v>
      </c>
      <c r="R80" s="7" t="s">
        <v>292</v>
      </c>
      <c r="S80" s="7" t="n">
        <v>2017</v>
      </c>
      <c r="T80" s="7" t="s">
        <v>293</v>
      </c>
      <c r="U80" s="7" t="n">
        <v>1</v>
      </c>
      <c r="V80" s="8" t="s">
        <v>294</v>
      </c>
    </row>
    <row r="81" customFormat="false" ht="22.35" hidden="false" customHeight="false" outlineLevel="0" collapsed="false">
      <c r="A81" s="3" t="s">
        <v>295</v>
      </c>
      <c r="B81" s="4" t="n">
        <v>34618</v>
      </c>
      <c r="C81" s="5" t="n">
        <v>196</v>
      </c>
      <c r="D81" s="5" t="n">
        <v>115</v>
      </c>
      <c r="E81" s="5" t="n">
        <v>2017</v>
      </c>
      <c r="F81" s="5" t="n">
        <v>30</v>
      </c>
      <c r="G81" s="6" t="n">
        <f aca="false">ROUND((DATE(E81,9,1)-B81)/365.25,2)</f>
        <v>22.89</v>
      </c>
      <c r="H81" s="5" t="n">
        <v>6</v>
      </c>
      <c r="I81" s="5" t="n">
        <f aca="false">$B$103-S81+1</f>
        <v>10</v>
      </c>
      <c r="J81" s="5" t="n">
        <v>7</v>
      </c>
      <c r="K81" s="5" t="n">
        <v>4</v>
      </c>
      <c r="L81" s="5" t="n">
        <v>0</v>
      </c>
      <c r="M81" s="5" t="n">
        <v>90</v>
      </c>
      <c r="N81" s="6" t="n">
        <v>41</v>
      </c>
      <c r="O81" s="5" t="n">
        <v>2028</v>
      </c>
      <c r="P81" s="5" t="n">
        <v>15</v>
      </c>
      <c r="Q81" s="7" t="s">
        <v>206</v>
      </c>
      <c r="R81" s="7" t="s">
        <v>296</v>
      </c>
      <c r="S81" s="7" t="n">
        <v>2017</v>
      </c>
      <c r="T81" s="7" t="s">
        <v>297</v>
      </c>
      <c r="U81" s="7" t="n">
        <v>1</v>
      </c>
      <c r="V81" s="8" t="s">
        <v>298</v>
      </c>
    </row>
    <row r="82" customFormat="false" ht="22.35" hidden="false" customHeight="false" outlineLevel="0" collapsed="false">
      <c r="A82" s="3" t="s">
        <v>299</v>
      </c>
      <c r="B82" s="4" t="n">
        <v>36306</v>
      </c>
      <c r="C82" s="5" t="n">
        <v>191</v>
      </c>
      <c r="D82" s="5" t="n">
        <v>111</v>
      </c>
      <c r="E82" s="5" t="n">
        <v>2021</v>
      </c>
      <c r="F82" s="5" t="n">
        <v>12</v>
      </c>
      <c r="G82" s="6" t="n">
        <f aca="false">ROUND((DATE(E82,9,1)-B82)/365.25,2)</f>
        <v>22.27</v>
      </c>
      <c r="H82" s="5" t="n">
        <v>5</v>
      </c>
      <c r="I82" s="5" t="n">
        <f aca="false">$B$103-S82+1</f>
        <v>2</v>
      </c>
      <c r="J82" s="5" t="n">
        <v>4</v>
      </c>
      <c r="K82" s="5" t="n">
        <v>2</v>
      </c>
      <c r="L82" s="5" t="n">
        <v>0</v>
      </c>
      <c r="M82" s="5" t="n">
        <v>1</v>
      </c>
      <c r="N82" s="6" t="n">
        <v>46.5</v>
      </c>
      <c r="O82" s="5" t="n">
        <v>2029</v>
      </c>
      <c r="P82" s="5" t="n">
        <v>50</v>
      </c>
      <c r="Q82" s="7" t="s">
        <v>64</v>
      </c>
      <c r="R82" s="7" t="s">
        <v>292</v>
      </c>
      <c r="S82" s="7" t="n">
        <v>2025</v>
      </c>
      <c r="T82" s="7" t="s">
        <v>300</v>
      </c>
      <c r="U82" s="7" t="n">
        <v>2</v>
      </c>
      <c r="V82" s="8" t="s">
        <v>301</v>
      </c>
    </row>
    <row r="83" customFormat="false" ht="15" hidden="false" customHeight="false" outlineLevel="0" collapsed="false">
      <c r="A83" s="3" t="s">
        <v>302</v>
      </c>
      <c r="B83" s="4" t="n">
        <v>35726</v>
      </c>
      <c r="C83" s="5" t="n">
        <v>193</v>
      </c>
      <c r="D83" s="5" t="n">
        <v>120</v>
      </c>
      <c r="E83" s="5" t="n">
        <v>2019</v>
      </c>
      <c r="F83" s="5" t="n">
        <v>2</v>
      </c>
      <c r="G83" s="6" t="n">
        <f aca="false">ROUND((DATE(E83,9,1)-B83)/365.25,2)</f>
        <v>21.86</v>
      </c>
      <c r="H83" s="5" t="n">
        <v>12</v>
      </c>
      <c r="I83" s="5" t="n">
        <f aca="false">$B$103-S83+1</f>
        <v>8</v>
      </c>
      <c r="J83" s="5" t="n">
        <v>4</v>
      </c>
      <c r="K83" s="5" t="n">
        <v>1</v>
      </c>
      <c r="L83" s="5" t="n">
        <v>2</v>
      </c>
      <c r="M83" s="5" t="n">
        <v>97</v>
      </c>
      <c r="N83" s="6" t="n">
        <v>34</v>
      </c>
      <c r="O83" s="5" t="n">
        <v>2028</v>
      </c>
      <c r="P83" s="5" t="n">
        <v>183</v>
      </c>
      <c r="Q83" s="7" t="s">
        <v>68</v>
      </c>
      <c r="R83" s="7" t="s">
        <v>292</v>
      </c>
      <c r="S83" s="7" t="n">
        <v>2019</v>
      </c>
      <c r="T83" s="7" t="s">
        <v>246</v>
      </c>
      <c r="U83" s="7" t="n">
        <v>1</v>
      </c>
      <c r="V83" s="8" t="s">
        <v>303</v>
      </c>
    </row>
    <row r="84" customFormat="false" ht="15" hidden="false" customHeight="false" outlineLevel="0" collapsed="false">
      <c r="A84" s="3" t="s">
        <v>304</v>
      </c>
      <c r="B84" s="4" t="n">
        <v>35664</v>
      </c>
      <c r="C84" s="5" t="n">
        <v>196</v>
      </c>
      <c r="D84" s="5" t="n">
        <v>116</v>
      </c>
      <c r="E84" s="5" t="n">
        <v>2019</v>
      </c>
      <c r="F84" s="5" t="n">
        <v>106</v>
      </c>
      <c r="G84" s="6" t="n">
        <f aca="false">ROUND((DATE(E84,9,1)-B84)/365.25,2)</f>
        <v>22.03</v>
      </c>
      <c r="H84" s="5" t="n">
        <v>1</v>
      </c>
      <c r="I84" s="5" t="n">
        <f aca="false">$B$103-S84+1</f>
        <v>8</v>
      </c>
      <c r="J84" s="5" t="n">
        <v>4</v>
      </c>
      <c r="K84" s="5" t="n">
        <v>0</v>
      </c>
      <c r="L84" s="5" t="n">
        <v>0</v>
      </c>
      <c r="M84" s="5" t="n">
        <v>98</v>
      </c>
      <c r="N84" s="6" t="n">
        <v>35.5</v>
      </c>
      <c r="O84" s="5" t="n">
        <v>2028</v>
      </c>
      <c r="P84" s="5" t="n">
        <v>113</v>
      </c>
      <c r="Q84" s="7" t="s">
        <v>101</v>
      </c>
      <c r="R84" s="7" t="s">
        <v>292</v>
      </c>
      <c r="S84" s="7" t="n">
        <v>2019</v>
      </c>
      <c r="T84" s="7" t="s">
        <v>305</v>
      </c>
      <c r="U84" s="7" t="n">
        <v>1</v>
      </c>
      <c r="V84" s="8" t="s">
        <v>306</v>
      </c>
    </row>
    <row r="85" customFormat="false" ht="22.35" hidden="false" customHeight="false" outlineLevel="0" collapsed="false">
      <c r="A85" s="3" t="s">
        <v>307</v>
      </c>
      <c r="B85" s="4" t="n">
        <v>36747</v>
      </c>
      <c r="C85" s="5" t="n">
        <v>201</v>
      </c>
      <c r="D85" s="5" t="n">
        <v>122</v>
      </c>
      <c r="E85" s="5" t="n">
        <v>2022</v>
      </c>
      <c r="F85" s="5" t="n">
        <v>2</v>
      </c>
      <c r="G85" s="6" t="n">
        <f aca="false">ROUND((DATE(E85,9,1)-B85)/365.25,2)</f>
        <v>22.06</v>
      </c>
      <c r="H85" s="5" t="n">
        <v>3</v>
      </c>
      <c r="I85" s="5" t="n">
        <f aca="false">$B$103-S85+1</f>
        <v>5</v>
      </c>
      <c r="J85" s="5" t="n">
        <v>1</v>
      </c>
      <c r="K85" s="5" t="n">
        <v>0</v>
      </c>
      <c r="L85" s="5" t="n">
        <v>0</v>
      </c>
      <c r="M85" s="5" t="n">
        <v>97</v>
      </c>
      <c r="N85" s="6" t="n">
        <v>5.6</v>
      </c>
      <c r="O85" s="5" t="n">
        <v>2026</v>
      </c>
      <c r="P85" s="5" t="n">
        <v>9</v>
      </c>
      <c r="Q85" s="7" t="s">
        <v>80</v>
      </c>
      <c r="R85" s="7" t="s">
        <v>292</v>
      </c>
      <c r="S85" s="7" t="n">
        <v>2022</v>
      </c>
      <c r="T85" s="7" t="s">
        <v>308</v>
      </c>
      <c r="U85" s="7" t="n">
        <v>1</v>
      </c>
      <c r="V85" s="8" t="s">
        <v>309</v>
      </c>
    </row>
    <row r="86" customFormat="false" ht="15" hidden="false" customHeight="false" outlineLevel="0" collapsed="false">
      <c r="A86" s="3" t="s">
        <v>310</v>
      </c>
      <c r="B86" s="4" t="n">
        <v>37136</v>
      </c>
      <c r="C86" s="5" t="n">
        <v>193</v>
      </c>
      <c r="D86" s="5" t="n">
        <v>110</v>
      </c>
      <c r="E86" s="5" t="n">
        <v>2023</v>
      </c>
      <c r="F86" s="5" t="n">
        <v>3</v>
      </c>
      <c r="G86" s="6" t="n">
        <f aca="false">ROUND((DATE(E86,9,1)-B86)/365.25,2)</f>
        <v>22</v>
      </c>
      <c r="H86" s="5" t="n">
        <v>4</v>
      </c>
      <c r="I86" s="5" t="n">
        <f aca="false">$B$103-S86+1</f>
        <v>4</v>
      </c>
      <c r="J86" s="5" t="n">
        <v>1</v>
      </c>
      <c r="K86" s="5" t="n">
        <v>0</v>
      </c>
      <c r="L86" s="5" t="n">
        <v>0</v>
      </c>
      <c r="M86" s="5" t="n">
        <v>51</v>
      </c>
      <c r="N86" s="6" t="n">
        <v>8.7</v>
      </c>
      <c r="O86" s="5" t="n">
        <v>2026</v>
      </c>
      <c r="P86" s="5" t="n">
        <v>8</v>
      </c>
      <c r="Q86" s="7" t="s">
        <v>48</v>
      </c>
      <c r="R86" s="7" t="s">
        <v>292</v>
      </c>
      <c r="S86" s="7" t="n">
        <v>2023</v>
      </c>
      <c r="T86" s="7" t="s">
        <v>311</v>
      </c>
      <c r="U86" s="7" t="n">
        <v>1</v>
      </c>
      <c r="V86" s="8" t="s">
        <v>312</v>
      </c>
    </row>
    <row r="87" customFormat="false" ht="22.35" hidden="false" customHeight="false" outlineLevel="0" collapsed="false">
      <c r="A87" s="3" t="s">
        <v>313</v>
      </c>
      <c r="B87" s="4" t="n">
        <v>34518</v>
      </c>
      <c r="C87" s="5" t="n">
        <v>198</v>
      </c>
      <c r="D87" s="5" t="n">
        <v>141</v>
      </c>
      <c r="E87" s="5" t="n">
        <v>2016</v>
      </c>
      <c r="F87" s="5" t="n">
        <v>37</v>
      </c>
      <c r="G87" s="6" t="n">
        <f aca="false">ROUND((DATE(E87,9,1)-B87)/365.25,2)</f>
        <v>22.17</v>
      </c>
      <c r="H87" s="5" t="n">
        <v>23</v>
      </c>
      <c r="I87" s="5" t="n">
        <f aca="false">$B$103-S87+1</f>
        <v>11</v>
      </c>
      <c r="J87" s="5" t="n">
        <v>6</v>
      </c>
      <c r="K87" s="5" t="n">
        <v>2</v>
      </c>
      <c r="L87" s="5" t="n">
        <v>5</v>
      </c>
      <c r="M87" s="5" t="n">
        <v>95</v>
      </c>
      <c r="N87" s="6" t="n">
        <v>31.75</v>
      </c>
      <c r="O87" s="5" t="n">
        <v>2028</v>
      </c>
      <c r="P87" s="5" t="n">
        <v>3</v>
      </c>
      <c r="Q87" s="7" t="s">
        <v>23</v>
      </c>
      <c r="R87" s="7" t="s">
        <v>314</v>
      </c>
      <c r="S87" s="7" t="n">
        <v>2016</v>
      </c>
      <c r="T87" s="7" t="s">
        <v>315</v>
      </c>
      <c r="U87" s="7" t="n">
        <v>1</v>
      </c>
      <c r="V87" s="8" t="s">
        <v>316</v>
      </c>
    </row>
    <row r="88" customFormat="false" ht="15" hidden="false" customHeight="false" outlineLevel="0" collapsed="false">
      <c r="A88" s="3" t="s">
        <v>317</v>
      </c>
      <c r="B88" s="4" t="n">
        <v>36985</v>
      </c>
      <c r="C88" s="5" t="n">
        <v>191</v>
      </c>
      <c r="D88" s="5" t="n">
        <v>143</v>
      </c>
      <c r="E88" s="5" t="n">
        <v>2023</v>
      </c>
      <c r="F88" s="5" t="n">
        <v>9</v>
      </c>
      <c r="G88" s="6" t="n">
        <f aca="false">ROUND((DATE(E88,9,1)-B88)/365.25,2)</f>
        <v>22.41</v>
      </c>
      <c r="H88" s="5" t="n">
        <v>6</v>
      </c>
      <c r="I88" s="5" t="n">
        <f aca="false">$B$103-S88+1</f>
        <v>4</v>
      </c>
      <c r="J88" s="5" t="n">
        <v>1</v>
      </c>
      <c r="K88" s="5" t="n">
        <v>0</v>
      </c>
      <c r="L88" s="5" t="n">
        <v>1</v>
      </c>
      <c r="M88" s="5" t="n">
        <v>98</v>
      </c>
      <c r="N88" s="6" t="n">
        <v>5.4</v>
      </c>
      <c r="O88" s="5" t="n">
        <v>2026</v>
      </c>
      <c r="P88" s="5" t="n">
        <v>55</v>
      </c>
      <c r="Q88" s="7" t="s">
        <v>40</v>
      </c>
      <c r="R88" s="7" t="s">
        <v>314</v>
      </c>
      <c r="S88" s="7" t="n">
        <v>2023</v>
      </c>
      <c r="T88" s="7" t="s">
        <v>318</v>
      </c>
      <c r="U88" s="7" t="n">
        <v>1</v>
      </c>
      <c r="V88" s="8" t="s">
        <v>319</v>
      </c>
    </row>
    <row r="89" customFormat="false" ht="15" hidden="false" customHeight="false" outlineLevel="0" collapsed="false">
      <c r="A89" s="3" t="s">
        <v>320</v>
      </c>
      <c r="B89" s="4" t="n">
        <v>37830</v>
      </c>
      <c r="C89" s="5" t="n">
        <v>191</v>
      </c>
      <c r="D89" s="5" t="n">
        <v>113</v>
      </c>
      <c r="E89" s="5" t="n">
        <v>2025</v>
      </c>
      <c r="F89" s="5" t="n">
        <v>3</v>
      </c>
      <c r="G89" s="6" t="n">
        <f aca="false">ROUND((DATE(E89,9,1)-B89)/365.25,2)</f>
        <v>22.1</v>
      </c>
      <c r="H89" s="5" t="n">
        <v>0</v>
      </c>
      <c r="I89" s="5" t="n">
        <f aca="false">$B$103-S89+1</f>
        <v>2</v>
      </c>
      <c r="J89" s="5" t="n">
        <v>0</v>
      </c>
      <c r="K89" s="5" t="n">
        <v>0</v>
      </c>
      <c r="L89" s="5" t="n">
        <v>0</v>
      </c>
      <c r="M89" s="5" t="n">
        <v>51</v>
      </c>
      <c r="N89" s="6" t="n">
        <v>11.1</v>
      </c>
      <c r="O89" s="5" t="n">
        <v>2028</v>
      </c>
      <c r="P89" s="5" t="n">
        <v>1603</v>
      </c>
      <c r="Q89" s="7" t="s">
        <v>130</v>
      </c>
      <c r="R89" s="7" t="s">
        <v>296</v>
      </c>
      <c r="S89" s="7" t="n">
        <v>2025</v>
      </c>
      <c r="T89" s="7" t="s">
        <v>164</v>
      </c>
      <c r="U89" s="7" t="n">
        <v>1</v>
      </c>
      <c r="V89" s="8" t="s">
        <v>321</v>
      </c>
    </row>
    <row r="90" customFormat="false" ht="15" hidden="false" customHeight="false" outlineLevel="0" collapsed="false">
      <c r="A90" s="3" t="s">
        <v>322</v>
      </c>
      <c r="B90" s="4" t="n">
        <v>36831</v>
      </c>
      <c r="C90" s="5" t="n">
        <v>193</v>
      </c>
      <c r="D90" s="5" t="n">
        <v>115</v>
      </c>
      <c r="E90" s="5" t="n">
        <v>2024</v>
      </c>
      <c r="F90" s="5" t="n">
        <v>19</v>
      </c>
      <c r="G90" s="6" t="n">
        <f aca="false">ROUND((DATE(E90,9,1)-B90)/365.25,2)</f>
        <v>23.83</v>
      </c>
      <c r="H90" s="5" t="n">
        <v>5</v>
      </c>
      <c r="I90" s="5" t="n">
        <f aca="false">$B$103-S90+1</f>
        <v>3</v>
      </c>
      <c r="J90" s="5" t="n">
        <v>0</v>
      </c>
      <c r="K90" s="5" t="n">
        <v>0</v>
      </c>
      <c r="L90" s="5" t="n">
        <v>0</v>
      </c>
      <c r="M90" s="5" t="n">
        <v>8</v>
      </c>
      <c r="N90" s="6" t="n">
        <v>4.4</v>
      </c>
      <c r="O90" s="5" t="n">
        <v>2027</v>
      </c>
      <c r="P90" s="5" t="n">
        <v>4</v>
      </c>
      <c r="Q90" s="7" t="s">
        <v>119</v>
      </c>
      <c r="R90" s="7" t="s">
        <v>296</v>
      </c>
      <c r="S90" s="7" t="n">
        <v>2024</v>
      </c>
      <c r="T90" s="7" t="s">
        <v>323</v>
      </c>
      <c r="U90" s="7" t="n">
        <v>1</v>
      </c>
      <c r="V90" s="8" t="s">
        <v>324</v>
      </c>
    </row>
    <row r="91" customFormat="false" ht="15" hidden="false" customHeight="false" outlineLevel="0" collapsed="false">
      <c r="A91" s="3" t="s">
        <v>325</v>
      </c>
      <c r="B91" s="4" t="n">
        <v>35746</v>
      </c>
      <c r="C91" s="5" t="n">
        <v>193</v>
      </c>
      <c r="D91" s="5" t="n">
        <v>154</v>
      </c>
      <c r="E91" s="5" t="n">
        <v>2019</v>
      </c>
      <c r="F91" s="5" t="n">
        <v>17</v>
      </c>
      <c r="G91" s="6" t="n">
        <f aca="false">ROUND((DATE(E91,9,1)-B91)/365.25,2)</f>
        <v>21.8</v>
      </c>
      <c r="H91" s="5" t="n">
        <v>2</v>
      </c>
      <c r="I91" s="5" t="n">
        <f aca="false">$B$103-S91+1</f>
        <v>8</v>
      </c>
      <c r="J91" s="5" t="n">
        <v>3</v>
      </c>
      <c r="K91" s="5" t="n">
        <v>1</v>
      </c>
      <c r="L91" s="5" t="n">
        <v>0</v>
      </c>
      <c r="M91" s="5" t="n">
        <v>97</v>
      </c>
      <c r="N91" s="6" t="n">
        <v>22.5</v>
      </c>
      <c r="O91" s="5" t="n">
        <v>2027</v>
      </c>
      <c r="P91" s="5" t="n">
        <v>47</v>
      </c>
      <c r="Q91" s="7" t="s">
        <v>130</v>
      </c>
      <c r="R91" s="7" t="s">
        <v>314</v>
      </c>
      <c r="S91" s="7" t="n">
        <v>2019</v>
      </c>
      <c r="T91" s="7" t="s">
        <v>326</v>
      </c>
      <c r="U91" s="7" t="n">
        <v>1</v>
      </c>
      <c r="V91" s="8" t="s">
        <v>327</v>
      </c>
    </row>
    <row r="92" customFormat="false" ht="22.35" hidden="false" customHeight="false" outlineLevel="0" collapsed="false">
      <c r="A92" s="3" t="s">
        <v>328</v>
      </c>
      <c r="B92" s="4" t="n">
        <v>35388</v>
      </c>
      <c r="C92" s="5" t="n">
        <v>191</v>
      </c>
      <c r="D92" s="5" t="n">
        <v>104</v>
      </c>
      <c r="E92" s="5" t="n">
        <v>2018</v>
      </c>
      <c r="F92" s="5" t="n">
        <v>70</v>
      </c>
      <c r="G92" s="6" t="n">
        <f aca="false">ROUND((DATE(E92,9,1)-B92)/365.25,2)</f>
        <v>21.78</v>
      </c>
      <c r="H92" s="5" t="n">
        <v>12</v>
      </c>
      <c r="I92" s="5" t="n">
        <f aca="false">$B$103-S92+1</f>
        <v>9</v>
      </c>
      <c r="J92" s="5" t="n">
        <v>4</v>
      </c>
      <c r="K92" s="5" t="n">
        <v>3</v>
      </c>
      <c r="L92" s="5" t="n">
        <v>2</v>
      </c>
      <c r="M92" s="5" t="n">
        <v>54</v>
      </c>
      <c r="N92" s="6" t="n">
        <v>21</v>
      </c>
      <c r="O92" s="5" t="n">
        <v>2029</v>
      </c>
      <c r="P92" s="5" t="n">
        <v>95</v>
      </c>
      <c r="Q92" s="7" t="s">
        <v>68</v>
      </c>
      <c r="R92" s="7" t="s">
        <v>329</v>
      </c>
      <c r="S92" s="7" t="n">
        <v>2018</v>
      </c>
      <c r="T92" s="7" t="s">
        <v>330</v>
      </c>
      <c r="U92" s="7" t="n">
        <v>1</v>
      </c>
      <c r="V92" s="8" t="s">
        <v>331</v>
      </c>
    </row>
    <row r="93" customFormat="false" ht="15" hidden="false" customHeight="false" outlineLevel="0" collapsed="false">
      <c r="A93" s="3" t="s">
        <v>332</v>
      </c>
      <c r="B93" s="4" t="n">
        <v>35528</v>
      </c>
      <c r="C93" s="5" t="n">
        <v>185</v>
      </c>
      <c r="D93" s="5" t="n">
        <v>105</v>
      </c>
      <c r="E93" s="5" t="n">
        <v>2018</v>
      </c>
      <c r="F93" s="5" t="n">
        <v>8</v>
      </c>
      <c r="G93" s="6" t="n">
        <f aca="false">ROUND((DATE(E93,9,1)-B93)/365.25,2)</f>
        <v>21.4</v>
      </c>
      <c r="H93" s="5" t="n">
        <v>5</v>
      </c>
      <c r="I93" s="5" t="n">
        <f aca="false">$B$103-S93+1</f>
        <v>5</v>
      </c>
      <c r="J93" s="5" t="n">
        <v>3</v>
      </c>
      <c r="K93" s="5" t="n">
        <v>3</v>
      </c>
      <c r="L93" s="5" t="n">
        <v>0</v>
      </c>
      <c r="M93" s="5" t="n">
        <v>0</v>
      </c>
      <c r="N93" s="6" t="n">
        <v>20</v>
      </c>
      <c r="O93" s="5" t="n">
        <v>2027</v>
      </c>
      <c r="P93" s="5" t="n">
        <v>3</v>
      </c>
      <c r="Q93" s="7" t="s">
        <v>32</v>
      </c>
      <c r="R93" s="7" t="s">
        <v>329</v>
      </c>
      <c r="S93" s="7" t="n">
        <v>2022</v>
      </c>
      <c r="T93" s="7" t="s">
        <v>333</v>
      </c>
      <c r="U93" s="7" t="n">
        <v>2</v>
      </c>
      <c r="V93" s="8" t="s">
        <v>334</v>
      </c>
    </row>
    <row r="94" customFormat="false" ht="15" hidden="false" customHeight="false" outlineLevel="0" collapsed="false">
      <c r="A94" s="3" t="s">
        <v>335</v>
      </c>
      <c r="B94" s="4" t="n">
        <v>36630</v>
      </c>
      <c r="C94" s="5" t="n">
        <v>188</v>
      </c>
      <c r="D94" s="5" t="n">
        <v>92</v>
      </c>
      <c r="E94" s="5" t="n">
        <v>2021</v>
      </c>
      <c r="F94" s="5" t="n">
        <v>9</v>
      </c>
      <c r="G94" s="6" t="n">
        <f aca="false">ROUND((DATE(E94,9,1)-B94)/365.25,2)</f>
        <v>21.38</v>
      </c>
      <c r="H94" s="5" t="n">
        <v>3</v>
      </c>
      <c r="I94" s="5" t="n">
        <f aca="false">$B$103-S94+1</f>
        <v>6</v>
      </c>
      <c r="J94" s="5" t="n">
        <v>3</v>
      </c>
      <c r="K94" s="5" t="n">
        <v>2</v>
      </c>
      <c r="L94" s="5" t="n">
        <v>0</v>
      </c>
      <c r="M94" s="5" t="n">
        <v>2</v>
      </c>
      <c r="N94" s="6" t="n">
        <v>24</v>
      </c>
      <c r="O94" s="5" t="n">
        <v>2029</v>
      </c>
      <c r="P94" s="5" t="n">
        <v>91</v>
      </c>
      <c r="Q94" s="7" t="s">
        <v>72</v>
      </c>
      <c r="R94" s="7" t="s">
        <v>336</v>
      </c>
      <c r="S94" s="7" t="n">
        <v>2021</v>
      </c>
      <c r="T94" s="7" t="s">
        <v>337</v>
      </c>
      <c r="U94" s="7" t="n">
        <v>1</v>
      </c>
      <c r="V94" s="8" t="s">
        <v>338</v>
      </c>
    </row>
    <row r="95" customFormat="false" ht="22.35" hidden="false" customHeight="false" outlineLevel="0" collapsed="false">
      <c r="A95" s="3" t="s">
        <v>339</v>
      </c>
      <c r="B95" s="4" t="n">
        <v>36769</v>
      </c>
      <c r="C95" s="5" t="n">
        <v>191</v>
      </c>
      <c r="D95" s="5" t="n">
        <v>86</v>
      </c>
      <c r="E95" s="5" t="n">
        <v>2022</v>
      </c>
      <c r="F95" s="5" t="n">
        <v>4</v>
      </c>
      <c r="G95" s="6" t="n">
        <f aca="false">ROUND((DATE(E95,9,1)-B95)/365.25,2)</f>
        <v>22</v>
      </c>
      <c r="H95" s="5" t="n">
        <v>0</v>
      </c>
      <c r="I95" s="5" t="n">
        <f aca="false">$B$103-S95+1</f>
        <v>2</v>
      </c>
      <c r="J95" s="5" t="n">
        <v>3</v>
      </c>
      <c r="K95" s="5" t="n">
        <v>2</v>
      </c>
      <c r="L95" s="5" t="n">
        <v>0</v>
      </c>
      <c r="M95" s="5" t="n">
        <v>1</v>
      </c>
      <c r="N95" s="6" t="n">
        <v>30.1</v>
      </c>
      <c r="O95" s="5" t="n">
        <v>2030</v>
      </c>
      <c r="P95" s="5" t="n">
        <v>639</v>
      </c>
      <c r="Q95" s="7" t="s">
        <v>196</v>
      </c>
      <c r="R95" s="7" t="s">
        <v>336</v>
      </c>
      <c r="S95" s="7" t="n">
        <v>2025</v>
      </c>
      <c r="T95" s="7" t="s">
        <v>340</v>
      </c>
      <c r="U95" s="7" t="n">
        <v>2</v>
      </c>
      <c r="V95" s="8" t="s">
        <v>341</v>
      </c>
    </row>
    <row r="96" customFormat="false" ht="15" hidden="false" customHeight="false" outlineLevel="0" collapsed="false">
      <c r="A96" s="3" t="s">
        <v>342</v>
      </c>
      <c r="B96" s="4" t="n">
        <v>37062</v>
      </c>
      <c r="C96" s="5" t="n">
        <v>183</v>
      </c>
      <c r="D96" s="5" t="n">
        <v>86</v>
      </c>
      <c r="E96" s="5" t="n">
        <v>2022</v>
      </c>
      <c r="F96" s="5" t="n">
        <v>3</v>
      </c>
      <c r="G96" s="6" t="n">
        <f aca="false">ROUND((DATE(E96,9,1)-B96)/365.25,2)</f>
        <v>21.2</v>
      </c>
      <c r="H96" s="5" t="n">
        <v>4</v>
      </c>
      <c r="I96" s="5" t="n">
        <f aca="false">$B$103-S96+1</f>
        <v>5</v>
      </c>
      <c r="J96" s="5" t="n">
        <v>1</v>
      </c>
      <c r="K96" s="5" t="n">
        <v>1</v>
      </c>
      <c r="L96" s="5" t="n">
        <v>0</v>
      </c>
      <c r="M96" s="5" t="n">
        <v>24</v>
      </c>
      <c r="N96" s="6" t="n">
        <v>30</v>
      </c>
      <c r="O96" s="5" t="n">
        <v>2029</v>
      </c>
      <c r="P96" s="5" t="n">
        <v>227</v>
      </c>
      <c r="Q96" s="7" t="s">
        <v>48</v>
      </c>
      <c r="R96" s="7" t="s">
        <v>336</v>
      </c>
      <c r="S96" s="7" t="n">
        <v>2022</v>
      </c>
      <c r="T96" s="7" t="s">
        <v>343</v>
      </c>
      <c r="U96" s="7" t="n">
        <v>1</v>
      </c>
      <c r="V96" s="8" t="s">
        <v>344</v>
      </c>
    </row>
    <row r="97" customFormat="false" ht="15" hidden="false" customHeight="false" outlineLevel="0" collapsed="false">
      <c r="A97" s="3" t="s">
        <v>345</v>
      </c>
      <c r="B97" s="4" t="n">
        <v>36820</v>
      </c>
      <c r="C97" s="5" t="n">
        <v>183</v>
      </c>
      <c r="D97" s="5" t="n">
        <v>84</v>
      </c>
      <c r="E97" s="5" t="n">
        <v>2023</v>
      </c>
      <c r="F97" s="5" t="n">
        <v>5</v>
      </c>
      <c r="G97" s="6" t="n">
        <f aca="false">ROUND((DATE(E97,9,1)-B97)/365.25,2)</f>
        <v>22.86</v>
      </c>
      <c r="H97" s="5" t="n">
        <v>3</v>
      </c>
      <c r="I97" s="5" t="n">
        <f aca="false">$B$103-S97+1</f>
        <v>4</v>
      </c>
      <c r="J97" s="5" t="n">
        <v>1</v>
      </c>
      <c r="K97" s="5" t="n">
        <v>0</v>
      </c>
      <c r="L97" s="5" t="n">
        <v>1</v>
      </c>
      <c r="M97" s="5" t="n">
        <v>21</v>
      </c>
      <c r="N97" s="6" t="n">
        <v>5.7</v>
      </c>
      <c r="O97" s="5" t="n">
        <v>2026</v>
      </c>
      <c r="P97" s="5" t="n">
        <v>54</v>
      </c>
      <c r="Q97" s="7" t="s">
        <v>123</v>
      </c>
      <c r="R97" s="7" t="s">
        <v>336</v>
      </c>
      <c r="S97" s="7" t="n">
        <v>2023</v>
      </c>
      <c r="T97" s="7" t="s">
        <v>346</v>
      </c>
      <c r="U97" s="7" t="n">
        <v>1</v>
      </c>
      <c r="V97" s="8" t="s">
        <v>347</v>
      </c>
    </row>
    <row r="98" customFormat="false" ht="22.35" hidden="false" customHeight="false" outlineLevel="0" collapsed="false">
      <c r="A98" s="3" t="s">
        <v>348</v>
      </c>
      <c r="B98" s="4" t="n">
        <v>34631</v>
      </c>
      <c r="C98" s="5" t="n">
        <v>185</v>
      </c>
      <c r="D98" s="5" t="n">
        <v>94</v>
      </c>
      <c r="E98" s="5" t="n">
        <v>2016</v>
      </c>
      <c r="F98" s="5" t="n">
        <v>5</v>
      </c>
      <c r="G98" s="6" t="n">
        <f aca="false">ROUND((DATE(E98,9,1)-B98)/365.25,2)</f>
        <v>21.86</v>
      </c>
      <c r="H98" s="5" t="n">
        <v>11</v>
      </c>
      <c r="I98" s="5" t="n">
        <f aca="false">$B$103-S98+1</f>
        <v>2</v>
      </c>
      <c r="J98" s="5" t="n">
        <v>7</v>
      </c>
      <c r="K98" s="5" t="n">
        <v>3</v>
      </c>
      <c r="L98" s="5" t="n">
        <v>1</v>
      </c>
      <c r="M98" s="5" t="n">
        <v>5</v>
      </c>
      <c r="N98" s="6" t="n">
        <v>24.1</v>
      </c>
      <c r="O98" s="5" t="n">
        <v>2028</v>
      </c>
      <c r="P98" s="5" t="n">
        <v>55</v>
      </c>
      <c r="Q98" s="7" t="s">
        <v>206</v>
      </c>
      <c r="R98" s="7" t="s">
        <v>336</v>
      </c>
      <c r="S98" s="7" t="n">
        <v>2025</v>
      </c>
      <c r="T98" s="7" t="s">
        <v>349</v>
      </c>
      <c r="U98" s="7" t="n">
        <v>4</v>
      </c>
      <c r="V98" s="8" t="s">
        <v>350</v>
      </c>
    </row>
    <row r="99" customFormat="false" ht="22.35" hidden="false" customHeight="false" outlineLevel="0" collapsed="false">
      <c r="A99" s="3" t="s">
        <v>351</v>
      </c>
      <c r="B99" s="4" t="n">
        <v>36966</v>
      </c>
      <c r="C99" s="5" t="n">
        <v>193</v>
      </c>
      <c r="D99" s="5" t="n">
        <v>100</v>
      </c>
      <c r="E99" s="5" t="n">
        <v>2022</v>
      </c>
      <c r="F99" s="5" t="n">
        <v>14</v>
      </c>
      <c r="G99" s="6" t="n">
        <f aca="false">ROUND((DATE(E99,9,1)-B99)/365.25,2)</f>
        <v>21.46</v>
      </c>
      <c r="H99" s="5" t="n">
        <v>5</v>
      </c>
      <c r="I99" s="5" t="n">
        <f aca="false">$B$103-S99+1</f>
        <v>5</v>
      </c>
      <c r="J99" s="5" t="n">
        <v>2</v>
      </c>
      <c r="K99" s="5" t="n">
        <v>1</v>
      </c>
      <c r="L99" s="5" t="n">
        <v>0</v>
      </c>
      <c r="M99" s="5" t="n">
        <v>14</v>
      </c>
      <c r="N99" s="6" t="n">
        <v>25</v>
      </c>
      <c r="O99" s="5" t="n">
        <v>2029</v>
      </c>
      <c r="P99" s="5" t="n">
        <v>179</v>
      </c>
      <c r="Q99" s="7" t="s">
        <v>32</v>
      </c>
      <c r="R99" s="7" t="s">
        <v>352</v>
      </c>
      <c r="S99" s="7" t="n">
        <v>2022</v>
      </c>
      <c r="T99" s="7" t="s">
        <v>353</v>
      </c>
      <c r="U99" s="7" t="n">
        <v>1</v>
      </c>
      <c r="V99" s="8" t="s">
        <v>354</v>
      </c>
    </row>
    <row r="100" customFormat="false" ht="15" hidden="false" customHeight="false" outlineLevel="0" collapsed="false">
      <c r="A100" s="3" t="s">
        <v>355</v>
      </c>
      <c r="B100" s="4" t="n">
        <v>35280</v>
      </c>
      <c r="C100" s="5" t="n">
        <v>188</v>
      </c>
      <c r="D100" s="5" t="n">
        <v>98</v>
      </c>
      <c r="E100" s="5" t="n">
        <v>2018</v>
      </c>
      <c r="F100" s="5" t="n">
        <v>17</v>
      </c>
      <c r="G100" s="6" t="n">
        <f aca="false">ROUND((DATE(E100,9,1)-B100)/365.25,2)</f>
        <v>22.08</v>
      </c>
      <c r="H100" s="5" t="n">
        <v>2</v>
      </c>
      <c r="I100" s="5" t="n">
        <f aca="false">$B$103-S100+1</f>
        <v>9</v>
      </c>
      <c r="J100" s="5" t="n">
        <v>4</v>
      </c>
      <c r="K100" s="5" t="n">
        <v>1</v>
      </c>
      <c r="L100" s="5" t="n">
        <v>0</v>
      </c>
      <c r="M100" s="5" t="n">
        <v>3</v>
      </c>
      <c r="N100" s="6" t="n">
        <v>19</v>
      </c>
      <c r="O100" s="5" t="n">
        <v>2026</v>
      </c>
      <c r="P100" s="5" t="n">
        <v>26</v>
      </c>
      <c r="Q100" s="7" t="s">
        <v>44</v>
      </c>
      <c r="R100" s="7" t="s">
        <v>352</v>
      </c>
      <c r="S100" s="7" t="n">
        <v>2018</v>
      </c>
      <c r="T100" s="7" t="s">
        <v>356</v>
      </c>
      <c r="U100" s="7" t="n">
        <v>1</v>
      </c>
      <c r="V100" s="8" t="s">
        <v>357</v>
      </c>
    </row>
    <row r="101" customFormat="false" ht="15" hidden="false" customHeight="false" outlineLevel="0" collapsed="false">
      <c r="A101" s="3" t="s">
        <v>358</v>
      </c>
      <c r="B101" s="4" t="n">
        <v>37247</v>
      </c>
      <c r="C101" s="5" t="n">
        <v>183</v>
      </c>
      <c r="D101" s="5" t="n">
        <v>86</v>
      </c>
      <c r="E101" s="5" t="n">
        <v>2023</v>
      </c>
      <c r="F101" s="5" t="n">
        <v>45</v>
      </c>
      <c r="G101" s="6" t="n">
        <f aca="false">ROUND((DATE(E101,9,1)-B101)/365.25,2)</f>
        <v>21.69</v>
      </c>
      <c r="H101" s="5" t="n">
        <v>4</v>
      </c>
      <c r="I101" s="5" t="n">
        <f aca="false">$B$103-S101+1</f>
        <v>4</v>
      </c>
      <c r="J101" s="5" t="n">
        <v>1</v>
      </c>
      <c r="K101" s="5" t="n">
        <v>0</v>
      </c>
      <c r="L101" s="5" t="n">
        <v>0</v>
      </c>
      <c r="M101" s="5" t="n">
        <v>32</v>
      </c>
      <c r="N101" s="6" t="n">
        <v>2</v>
      </c>
      <c r="O101" s="5" t="n">
        <v>2026</v>
      </c>
      <c r="P101" s="5" t="n">
        <v>8</v>
      </c>
      <c r="Q101" s="7" t="s">
        <v>80</v>
      </c>
      <c r="R101" s="7" t="s">
        <v>352</v>
      </c>
      <c r="S101" s="7" t="n">
        <v>2023</v>
      </c>
      <c r="T101" s="7" t="s">
        <v>359</v>
      </c>
      <c r="U101" s="7" t="n">
        <v>1</v>
      </c>
      <c r="V101" s="8" t="s">
        <v>360</v>
      </c>
    </row>
    <row r="103" customFormat="false" ht="15" hidden="false" customHeight="false" outlineLevel="0" collapsed="false">
      <c r="A103" s="9" t="s">
        <v>361</v>
      </c>
      <c r="B103" s="10" t="n">
        <v>2026</v>
      </c>
    </row>
    <row r="104" customFormat="false" ht="15" hidden="false" customHeight="false" outlineLevel="0" collapsed="false">
      <c r="A104" s="11" t="s">
        <v>362</v>
      </c>
    </row>
    <row r="105" customFormat="false" ht="15" hidden="false" customHeight="false" outlineLevel="0" collapsed="false">
      <c r="A105" s="11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13"/>
  </cols>
  <sheetData>
    <row r="1" customFormat="false" ht="48" hidden="false" customHeight="true" outlineLevel="0" collapsed="false">
      <c r="A1" s="1" t="s">
        <v>0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376</v>
      </c>
      <c r="O1" s="1" t="s">
        <v>377</v>
      </c>
      <c r="P1" s="1" t="s">
        <v>378</v>
      </c>
      <c r="Q1" s="1" t="s">
        <v>379</v>
      </c>
      <c r="R1" s="1" t="s">
        <v>380</v>
      </c>
    </row>
    <row r="2" customFormat="false" ht="15" hidden="false" customHeight="false" outlineLevel="0" collapsed="false">
      <c r="A2" s="3" t="str">
        <f aca="false">Daten!A2</f>
        <v>Patrick Mahomes</v>
      </c>
      <c r="B2" s="12" t="n">
        <f aca="false">RANK(Daten!B2,Daten!B$2:B$101,1)</f>
        <v>15</v>
      </c>
      <c r="C2" s="12" t="n">
        <f aca="false">RANK(Daten!C2,Daten!C$2:C$101,0)</f>
        <v>53</v>
      </c>
      <c r="D2" s="12" t="n">
        <f aca="false">RANK(Daten!D2,Daten!D$2:D$101,0)</f>
        <v>38</v>
      </c>
      <c r="E2" s="12" t="n">
        <f aca="false">RANK(Daten!E2,Daten!E$2:E$101,1)</f>
        <v>11</v>
      </c>
      <c r="F2" s="12" t="n">
        <f aca="false">RANK(Daten!F2,Daten!F$2:F$101,1)</f>
        <v>49</v>
      </c>
      <c r="G2" s="12" t="n">
        <f aca="false">RANK(Daten!G2,Daten!G$2:G$101,1)</f>
        <v>44</v>
      </c>
      <c r="H2" s="12" t="n">
        <f aca="false">RANK(Daten!H2,Daten!H$2:H$101,0)</f>
        <v>2</v>
      </c>
      <c r="I2" s="12" t="n">
        <f aca="false">RANK(Daten!I2,Daten!I$2:I$101,0)</f>
        <v>5</v>
      </c>
      <c r="J2" s="12" t="n">
        <f aca="false">RANK(Daten!J2,Daten!J$2:J$101,0)</f>
        <v>5</v>
      </c>
      <c r="K2" s="12" t="n">
        <f aca="false">RANK(Daten!K2,Daten!K$2:K$101,0)</f>
        <v>10</v>
      </c>
      <c r="L2" s="12" t="n">
        <f aca="false">RANK(Daten!L2,Daten!L$2:L$101,0)</f>
        <v>1</v>
      </c>
      <c r="M2" s="12" t="n">
        <f aca="false">RANK(Daten!M2,Daten!M$2:M$101,1)</f>
        <v>50</v>
      </c>
      <c r="N2" s="12" t="n">
        <f aca="false">RANK(Daten!N2,Daten!N$2:N$101,0)</f>
        <v>14</v>
      </c>
      <c r="O2" s="12" t="n">
        <f aca="false">RANK(Daten!O2,Daten!O$2:O$101,0)</f>
        <v>1</v>
      </c>
      <c r="P2" s="12" t="n">
        <f aca="false">RANK(Daten!P2,Daten!P$2:P$101,0)</f>
        <v>39</v>
      </c>
      <c r="Q2" s="13" t="n">
        <f aca="false">COUNTIF(B2:P2,"&lt;=3")</f>
        <v>3</v>
      </c>
      <c r="R2" s="12" t="n">
        <f aca="false">COUNTIF(B2:P2,1)</f>
        <v>2</v>
      </c>
    </row>
    <row r="3" customFormat="false" ht="15" hidden="false" customHeight="false" outlineLevel="0" collapsed="false">
      <c r="A3" s="3" t="str">
        <f aca="false">Daten!A3</f>
        <v>Josh Allen</v>
      </c>
      <c r="B3" s="12" t="n">
        <f aca="false">RANK(Daten!B3,Daten!B$2:B$101,1)</f>
        <v>18</v>
      </c>
      <c r="C3" s="12" t="n">
        <f aca="false">RANK(Daten!C3,Daten!C$2:C$101,0)</f>
        <v>8</v>
      </c>
      <c r="D3" s="12" t="n">
        <f aca="false">RANK(Daten!D3,Daten!D$2:D$101,0)</f>
        <v>29</v>
      </c>
      <c r="E3" s="12" t="n">
        <f aca="false">RANK(Daten!E3,Daten!E$2:E$101,1)</f>
        <v>16</v>
      </c>
      <c r="F3" s="12" t="n">
        <f aca="false">RANK(Daten!F3,Daten!F$2:F$101,1)</f>
        <v>36</v>
      </c>
      <c r="G3" s="12" t="n">
        <f aca="false">RANK(Daten!G3,Daten!G$2:G$101,1)</f>
        <v>66</v>
      </c>
      <c r="H3" s="12" t="n">
        <f aca="false">RANK(Daten!H3,Daten!H$2:H$101,0)</f>
        <v>4</v>
      </c>
      <c r="I3" s="12" t="n">
        <f aca="false">RANK(Daten!I3,Daten!I$2:I$101,0)</f>
        <v>9</v>
      </c>
      <c r="J3" s="12" t="n">
        <f aca="false">RANK(Daten!J3,Daten!J$2:J$101,0)</f>
        <v>13</v>
      </c>
      <c r="K3" s="12" t="n">
        <f aca="false">RANK(Daten!K3,Daten!K$2:K$101,0)</f>
        <v>22</v>
      </c>
      <c r="L3" s="12" t="n">
        <f aca="false">RANK(Daten!L3,Daten!L$2:L$101,0)</f>
        <v>30</v>
      </c>
      <c r="M3" s="12" t="n">
        <f aca="false">RANK(Daten!M3,Daten!M$2:M$101,1)</f>
        <v>56</v>
      </c>
      <c r="N3" s="12" t="n">
        <f aca="false">RANK(Daten!N3,Daten!N$2:N$101,0)</f>
        <v>2</v>
      </c>
      <c r="O3" s="12" t="n">
        <f aca="false">RANK(Daten!O3,Daten!O$2:O$101,0)</f>
        <v>2</v>
      </c>
      <c r="P3" s="12" t="n">
        <f aca="false">RANK(Daten!P3,Daten!P$2:P$101,0)</f>
        <v>82</v>
      </c>
      <c r="Q3" s="13" t="n">
        <f aca="false">COUNTIF(B3:P3,"&lt;=3")</f>
        <v>2</v>
      </c>
      <c r="R3" s="12" t="n">
        <f aca="false">COUNTIF(B3:P3,1)</f>
        <v>0</v>
      </c>
    </row>
    <row r="4" customFormat="false" ht="15" hidden="false" customHeight="false" outlineLevel="0" collapsed="false">
      <c r="A4" s="3" t="str">
        <f aca="false">Daten!A4</f>
        <v>Lamar Jackson</v>
      </c>
      <c r="B4" s="12" t="n">
        <f aca="false">RANK(Daten!B4,Daten!B$2:B$101,1)</f>
        <v>23</v>
      </c>
      <c r="C4" s="12" t="n">
        <f aca="false">RANK(Daten!C4,Daten!C$2:C$101,0)</f>
        <v>53</v>
      </c>
      <c r="D4" s="12" t="n">
        <f aca="false">RANK(Daten!D4,Daten!D$2:D$101,0)</f>
        <v>54</v>
      </c>
      <c r="E4" s="12" t="n">
        <f aca="false">RANK(Daten!E4,Daten!E$2:E$101,1)</f>
        <v>16</v>
      </c>
      <c r="F4" s="12" t="n">
        <f aca="false">RANK(Daten!F4,Daten!F$2:F$101,1)</f>
        <v>73</v>
      </c>
      <c r="G4" s="12" t="n">
        <f aca="false">RANK(Daten!G4,Daten!G$2:G$101,1)</f>
        <v>25</v>
      </c>
      <c r="H4" s="12" t="n">
        <f aca="false">RANK(Daten!H4,Daten!H$2:H$101,0)</f>
        <v>18</v>
      </c>
      <c r="I4" s="12" t="n">
        <f aca="false">RANK(Daten!I4,Daten!I$2:I$101,0)</f>
        <v>9</v>
      </c>
      <c r="J4" s="12" t="n">
        <f aca="false">RANK(Daten!J4,Daten!J$2:J$101,0)</f>
        <v>13</v>
      </c>
      <c r="K4" s="12" t="n">
        <f aca="false">RANK(Daten!K4,Daten!K$2:K$101,0)</f>
        <v>3</v>
      </c>
      <c r="L4" s="12" t="n">
        <f aca="false">RANK(Daten!L4,Daten!L$2:L$101,0)</f>
        <v>30</v>
      </c>
      <c r="M4" s="12" t="n">
        <f aca="false">RANK(Daten!M4,Daten!M$2:M$101,1)</f>
        <v>28</v>
      </c>
      <c r="N4" s="12" t="n">
        <f aca="false">RANK(Daten!N4,Daten!N$2:N$101,0)</f>
        <v>10</v>
      </c>
      <c r="O4" s="12" t="n">
        <f aca="false">RANK(Daten!O4,Daten!O$2:O$101,0)</f>
        <v>54</v>
      </c>
      <c r="P4" s="12" t="n">
        <f aca="false">RANK(Daten!P4,Daten!P$2:P$101,0)</f>
        <v>37</v>
      </c>
      <c r="Q4" s="13" t="n">
        <f aca="false">COUNTIF(B4:P4,"&lt;=3")</f>
        <v>1</v>
      </c>
      <c r="R4" s="12" t="n">
        <f aca="false">COUNTIF(B4:P4,1)</f>
        <v>0</v>
      </c>
    </row>
    <row r="5" customFormat="false" ht="15" hidden="false" customHeight="false" outlineLevel="0" collapsed="false">
      <c r="A5" s="3" t="str">
        <f aca="false">Daten!A5</f>
        <v>Joe Burrow</v>
      </c>
      <c r="B5" s="12" t="n">
        <f aca="false">RANK(Daten!B5,Daten!B$2:B$101,1)</f>
        <v>22</v>
      </c>
      <c r="C5" s="12" t="n">
        <f aca="false">RANK(Daten!C5,Daten!C$2:C$101,0)</f>
        <v>18</v>
      </c>
      <c r="D5" s="12" t="n">
        <f aca="false">RANK(Daten!D5,Daten!D$2:D$101,0)</f>
        <v>44</v>
      </c>
      <c r="E5" s="12" t="n">
        <f aca="false">RANK(Daten!E5,Daten!E$2:E$101,1)</f>
        <v>34</v>
      </c>
      <c r="F5" s="12" t="n">
        <f aca="false">RANK(Daten!F5,Daten!F$2:F$101,1)</f>
        <v>1</v>
      </c>
      <c r="G5" s="12" t="n">
        <f aca="false">RANK(Daten!G5,Daten!G$2:G$101,1)</f>
        <v>95</v>
      </c>
      <c r="H5" s="12" t="n">
        <f aca="false">RANK(Daten!H5,Daten!H$2:H$101,0)</f>
        <v>24</v>
      </c>
      <c r="I5" s="12" t="n">
        <f aca="false">RANK(Daten!I5,Daten!I$2:I$101,0)</f>
        <v>19</v>
      </c>
      <c r="J5" s="12" t="n">
        <f aca="false">RANK(Daten!J5,Daten!J$2:J$101,0)</f>
        <v>37</v>
      </c>
      <c r="K5" s="12" t="n">
        <f aca="false">RANK(Daten!K5,Daten!K$2:K$101,0)</f>
        <v>37</v>
      </c>
      <c r="L5" s="12" t="n">
        <f aca="false">RANK(Daten!L5,Daten!L$2:L$101,0)</f>
        <v>11</v>
      </c>
      <c r="M5" s="12" t="n">
        <f aca="false">RANK(Daten!M5,Daten!M$2:M$101,1)</f>
        <v>31</v>
      </c>
      <c r="N5" s="12" t="n">
        <f aca="false">RANK(Daten!N5,Daten!N$2:N$101,0)</f>
        <v>2</v>
      </c>
      <c r="O5" s="12" t="n">
        <f aca="false">RANK(Daten!O5,Daten!O$2:O$101,0)</f>
        <v>8</v>
      </c>
      <c r="P5" s="12" t="n">
        <f aca="false">RANK(Daten!P5,Daten!P$2:P$101,0)</f>
        <v>48</v>
      </c>
      <c r="Q5" s="13" t="n">
        <f aca="false">COUNTIF(B5:P5,"&lt;=3")</f>
        <v>2</v>
      </c>
      <c r="R5" s="12" t="n">
        <f aca="false">COUNTIF(B5:P5,1)</f>
        <v>1</v>
      </c>
    </row>
    <row r="6" customFormat="false" ht="15" hidden="false" customHeight="false" outlineLevel="0" collapsed="false">
      <c r="A6" s="3" t="str">
        <f aca="false">Daten!A6</f>
        <v>Jalen Hurts</v>
      </c>
      <c r="B6" s="12" t="n">
        <f aca="false">RANK(Daten!B6,Daten!B$2:B$101,1)</f>
        <v>37</v>
      </c>
      <c r="C6" s="12" t="n">
        <f aca="false">RANK(Daten!C6,Daten!C$2:C$101,0)</f>
        <v>63</v>
      </c>
      <c r="D6" s="12" t="n">
        <f aca="false">RANK(Daten!D6,Daten!D$2:D$101,0)</f>
        <v>43</v>
      </c>
      <c r="E6" s="12" t="n">
        <f aca="false">RANK(Daten!E6,Daten!E$2:E$101,1)</f>
        <v>34</v>
      </c>
      <c r="F6" s="12" t="n">
        <f aca="false">RANK(Daten!F6,Daten!F$2:F$101,1)</f>
        <v>84</v>
      </c>
      <c r="G6" s="12" t="n">
        <f aca="false">RANK(Daten!G6,Daten!G$2:G$101,1)</f>
        <v>51</v>
      </c>
      <c r="H6" s="12" t="n">
        <f aca="false">RANK(Daten!H6,Daten!H$2:H$101,0)</f>
        <v>13</v>
      </c>
      <c r="I6" s="12" t="n">
        <f aca="false">RANK(Daten!I6,Daten!I$2:I$101,0)</f>
        <v>19</v>
      </c>
      <c r="J6" s="12" t="n">
        <f aca="false">RANK(Daten!J6,Daten!J$2:J$101,0)</f>
        <v>37</v>
      </c>
      <c r="K6" s="12" t="n">
        <f aca="false">RANK(Daten!K6,Daten!K$2:K$101,0)</f>
        <v>37</v>
      </c>
      <c r="L6" s="12" t="n">
        <f aca="false">RANK(Daten!L6,Daten!L$2:L$101,0)</f>
        <v>5</v>
      </c>
      <c r="M6" s="12" t="n">
        <f aca="false">RANK(Daten!M6,Daten!M$2:M$101,1)</f>
        <v>2</v>
      </c>
      <c r="N6" s="12" t="n">
        <f aca="false">RANK(Daten!N6,Daten!N$2:N$101,0)</f>
        <v>11</v>
      </c>
      <c r="O6" s="12" t="n">
        <f aca="false">RANK(Daten!O6,Daten!O$2:O$101,0)</f>
        <v>22</v>
      </c>
      <c r="P6" s="12" t="n">
        <f aca="false">RANK(Daten!P6,Daten!P$2:P$101,0)</f>
        <v>1</v>
      </c>
      <c r="Q6" s="13" t="n">
        <f aca="false">COUNTIF(B6:P6,"&lt;=3")</f>
        <v>2</v>
      </c>
      <c r="R6" s="12" t="n">
        <f aca="false">COUNTIF(B6:P6,1)</f>
        <v>1</v>
      </c>
    </row>
    <row r="7" customFormat="false" ht="15" hidden="false" customHeight="false" outlineLevel="0" collapsed="false">
      <c r="A7" s="3" t="str">
        <f aca="false">Daten!A7</f>
        <v>Justin Herbert</v>
      </c>
      <c r="B7" s="12" t="n">
        <f aca="false">RANK(Daten!B7,Daten!B$2:B$101,1)</f>
        <v>36</v>
      </c>
      <c r="C7" s="12" t="n">
        <f aca="false">RANK(Daten!C7,Daten!C$2:C$101,0)</f>
        <v>2</v>
      </c>
      <c r="D7" s="12" t="n">
        <f aca="false">RANK(Daten!D7,Daten!D$2:D$101,0)</f>
        <v>29</v>
      </c>
      <c r="E7" s="12" t="n">
        <f aca="false">RANK(Daten!E7,Daten!E$2:E$101,1)</f>
        <v>34</v>
      </c>
      <c r="F7" s="12" t="n">
        <f aca="false">RANK(Daten!F7,Daten!F$2:F$101,1)</f>
        <v>31</v>
      </c>
      <c r="G7" s="12" t="n">
        <f aca="false">RANK(Daten!G7,Daten!G$2:G$101,1)</f>
        <v>73</v>
      </c>
      <c r="H7" s="12" t="n">
        <f aca="false">RANK(Daten!H7,Daten!H$2:H$101,0)</f>
        <v>55</v>
      </c>
      <c r="I7" s="12" t="n">
        <f aca="false">RANK(Daten!I7,Daten!I$2:I$101,0)</f>
        <v>19</v>
      </c>
      <c r="J7" s="12" t="n">
        <f aca="false">RANK(Daten!J7,Daten!J$2:J$101,0)</f>
        <v>48</v>
      </c>
      <c r="K7" s="12" t="n">
        <f aca="false">RANK(Daten!K7,Daten!K$2:K$101,0)</f>
        <v>37</v>
      </c>
      <c r="L7" s="12" t="n">
        <f aca="false">RANK(Daten!L7,Daten!L$2:L$101,0)</f>
        <v>30</v>
      </c>
      <c r="M7" s="12" t="n">
        <f aca="false">RANK(Daten!M7,Daten!M$2:M$101,1)</f>
        <v>37</v>
      </c>
      <c r="N7" s="12" t="n">
        <f aca="false">RANK(Daten!N7,Daten!N$2:N$101,0)</f>
        <v>9</v>
      </c>
      <c r="O7" s="12" t="n">
        <f aca="false">RANK(Daten!O7,Daten!O$2:O$101,0)</f>
        <v>8</v>
      </c>
      <c r="P7" s="12" t="n">
        <f aca="false">RANK(Daten!P7,Daten!P$2:P$101,0)</f>
        <v>33</v>
      </c>
      <c r="Q7" s="13" t="n">
        <f aca="false">COUNTIF(B7:P7,"&lt;=3")</f>
        <v>1</v>
      </c>
      <c r="R7" s="12" t="n">
        <f aca="false">COUNTIF(B7:P7,1)</f>
        <v>0</v>
      </c>
    </row>
    <row r="8" customFormat="false" ht="15" hidden="false" customHeight="false" outlineLevel="0" collapsed="false">
      <c r="A8" s="3" t="str">
        <f aca="false">Daten!A8</f>
        <v>C.J. Stroud</v>
      </c>
      <c r="B8" s="12" t="n">
        <f aca="false">RANK(Daten!B8,Daten!B$2:B$101,1)</f>
        <v>77</v>
      </c>
      <c r="C8" s="12" t="n">
        <f aca="false">RANK(Daten!C8,Daten!C$2:C$101,0)</f>
        <v>37</v>
      </c>
      <c r="D8" s="12" t="n">
        <f aca="false">RANK(Daten!D8,Daten!D$2:D$101,0)</f>
        <v>54</v>
      </c>
      <c r="E8" s="12" t="n">
        <f aca="false">RANK(Daten!E8,Daten!E$2:E$101,1)</f>
        <v>66</v>
      </c>
      <c r="F8" s="12" t="n">
        <f aca="false">RANK(Daten!F8,Daten!F$2:F$101,1)</f>
        <v>12</v>
      </c>
      <c r="G8" s="12" t="n">
        <f aca="false">RANK(Daten!G8,Daten!G$2:G$101,1)</f>
        <v>40</v>
      </c>
      <c r="H8" s="12" t="n">
        <f aca="false">RANK(Daten!H8,Daten!H$2:H$101,0)</f>
        <v>29</v>
      </c>
      <c r="I8" s="12" t="n">
        <f aca="false">RANK(Daten!I8,Daten!I$2:I$101,0)</f>
        <v>56</v>
      </c>
      <c r="J8" s="12" t="n">
        <f aca="false">RANK(Daten!J8,Daten!J$2:J$101,0)</f>
        <v>48</v>
      </c>
      <c r="K8" s="12" t="n">
        <f aca="false">RANK(Daten!K8,Daten!K$2:K$101,0)</f>
        <v>37</v>
      </c>
      <c r="L8" s="12" t="n">
        <f aca="false">RANK(Daten!L8,Daten!L$2:L$101,0)</f>
        <v>30</v>
      </c>
      <c r="M8" s="12" t="n">
        <f aca="false">RANK(Daten!M8,Daten!M$2:M$101,1)</f>
        <v>25</v>
      </c>
      <c r="N8" s="12" t="n">
        <f aca="false">RANK(Daten!N8,Daten!N$2:N$101,0)</f>
        <v>72</v>
      </c>
      <c r="O8" s="12" t="n">
        <f aca="false">RANK(Daten!O8,Daten!O$2:O$101,0)</f>
        <v>76</v>
      </c>
      <c r="P8" s="12" t="n">
        <f aca="false">RANK(Daten!P8,Daten!P$2:P$101,0)</f>
        <v>34</v>
      </c>
      <c r="Q8" s="13" t="n">
        <f aca="false">COUNTIF(B8:P8,"&lt;=3")</f>
        <v>0</v>
      </c>
      <c r="R8" s="12" t="n">
        <f aca="false">COUNTIF(B8:P8,1)</f>
        <v>0</v>
      </c>
    </row>
    <row r="9" customFormat="false" ht="15" hidden="false" customHeight="false" outlineLevel="0" collapsed="false">
      <c r="A9" s="3" t="str">
        <f aca="false">Daten!A9</f>
        <v>Jayden Daniels</v>
      </c>
      <c r="B9" s="12" t="n">
        <f aca="false">RANK(Daten!B9,Daten!B$2:B$101,1)</f>
        <v>68</v>
      </c>
      <c r="C9" s="12" t="n">
        <f aca="false">RANK(Daten!C9,Daten!C$2:C$101,0)</f>
        <v>18</v>
      </c>
      <c r="D9" s="12" t="n">
        <f aca="false">RANK(Daten!D9,Daten!D$2:D$101,0)</f>
        <v>71</v>
      </c>
      <c r="E9" s="12" t="n">
        <f aca="false">RANK(Daten!E9,Daten!E$2:E$101,1)</f>
        <v>79</v>
      </c>
      <c r="F9" s="12" t="n">
        <f aca="false">RANK(Daten!F9,Daten!F$2:F$101,1)</f>
        <v>12</v>
      </c>
      <c r="G9" s="12" t="n">
        <f aca="false">RANK(Daten!G9,Daten!G$2:G$101,1)</f>
        <v>94</v>
      </c>
      <c r="H9" s="12" t="n">
        <f aca="false">RANK(Daten!H9,Daten!H$2:H$101,0)</f>
        <v>55</v>
      </c>
      <c r="I9" s="12" t="n">
        <f aca="false">RANK(Daten!I9,Daten!I$2:I$101,0)</f>
        <v>70</v>
      </c>
      <c r="J9" s="12" t="n">
        <f aca="false">RANK(Daten!J9,Daten!J$2:J$101,0)</f>
        <v>48</v>
      </c>
      <c r="K9" s="12" t="n">
        <f aca="false">RANK(Daten!K9,Daten!K$2:K$101,0)</f>
        <v>37</v>
      </c>
      <c r="L9" s="12" t="n">
        <f aca="false">RANK(Daten!L9,Daten!L$2:L$101,0)</f>
        <v>30</v>
      </c>
      <c r="M9" s="12" t="n">
        <f aca="false">RANK(Daten!M9,Daten!M$2:M$101,1)</f>
        <v>18</v>
      </c>
      <c r="N9" s="12" t="n">
        <f aca="false">RANK(Daten!N9,Daten!N$2:N$101,0)</f>
        <v>70</v>
      </c>
      <c r="O9" s="12" t="n">
        <f aca="false">RANK(Daten!O9,Daten!O$2:O$101,0)</f>
        <v>54</v>
      </c>
      <c r="P9" s="12" t="n">
        <f aca="false">RANK(Daten!P9,Daten!P$2:P$101,0)</f>
        <v>28</v>
      </c>
      <c r="Q9" s="13" t="n">
        <f aca="false">COUNTIF(B9:P9,"&lt;=3")</f>
        <v>0</v>
      </c>
      <c r="R9" s="12" t="n">
        <f aca="false">COUNTIF(B9:P9,1)</f>
        <v>0</v>
      </c>
    </row>
    <row r="10" customFormat="false" ht="15" hidden="false" customHeight="false" outlineLevel="0" collapsed="false">
      <c r="A10" s="3" t="str">
        <f aca="false">Daten!A10</f>
        <v>Drake Maye</v>
      </c>
      <c r="B10" s="12" t="n">
        <f aca="false">RANK(Daten!B10,Daten!B$2:B$101,1)</f>
        <v>89</v>
      </c>
      <c r="C10" s="12" t="n">
        <f aca="false">RANK(Daten!C10,Daten!C$2:C$101,0)</f>
        <v>18</v>
      </c>
      <c r="D10" s="12" t="n">
        <f aca="false">RANK(Daten!D10,Daten!D$2:D$101,0)</f>
        <v>38</v>
      </c>
      <c r="E10" s="12" t="n">
        <f aca="false">RANK(Daten!E10,Daten!E$2:E$101,1)</f>
        <v>79</v>
      </c>
      <c r="F10" s="12" t="n">
        <f aca="false">RANK(Daten!F10,Daten!F$2:F$101,1)</f>
        <v>18</v>
      </c>
      <c r="G10" s="12" t="n">
        <f aca="false">RANK(Daten!G10,Daten!G$2:G$101,1)</f>
        <v>47</v>
      </c>
      <c r="H10" s="12" t="n">
        <f aca="false">RANK(Daten!H10,Daten!H$2:H$101,0)</f>
        <v>42</v>
      </c>
      <c r="I10" s="12" t="n">
        <f aca="false">RANK(Daten!I10,Daten!I$2:I$101,0)</f>
        <v>70</v>
      </c>
      <c r="J10" s="12" t="n">
        <f aca="false">RANK(Daten!J10,Daten!J$2:J$101,0)</f>
        <v>75</v>
      </c>
      <c r="K10" s="12" t="n">
        <f aca="false">RANK(Daten!K10,Daten!K$2:K$101,0)</f>
        <v>37</v>
      </c>
      <c r="L10" s="12" t="n">
        <f aca="false">RANK(Daten!L10,Daten!L$2:L$101,0)</f>
        <v>11</v>
      </c>
      <c r="M10" s="12" t="n">
        <f aca="false">RANK(Daten!M10,Daten!M$2:M$101,1)</f>
        <v>37</v>
      </c>
      <c r="N10" s="12" t="n">
        <f aca="false">RANK(Daten!N10,Daten!N$2:N$101,0)</f>
        <v>71</v>
      </c>
      <c r="O10" s="12" t="n">
        <f aca="false">RANK(Daten!O10,Daten!O$2:O$101,0)</f>
        <v>54</v>
      </c>
      <c r="P10" s="12" t="n">
        <f aca="false">RANK(Daten!P10,Daten!P$2:P$101,0)</f>
        <v>10</v>
      </c>
      <c r="Q10" s="13" t="n">
        <f aca="false">COUNTIF(B10:P10,"&lt;=3")</f>
        <v>0</v>
      </c>
      <c r="R10" s="12" t="n">
        <f aca="false">COUNTIF(B10:P10,1)</f>
        <v>0</v>
      </c>
    </row>
    <row r="11" customFormat="false" ht="15" hidden="false" customHeight="false" outlineLevel="0" collapsed="false">
      <c r="A11" s="3" t="str">
        <f aca="false">Daten!A11</f>
        <v>Caleb Williams</v>
      </c>
      <c r="B11" s="12" t="n">
        <f aca="false">RANK(Daten!B11,Daten!B$2:B$101,1)</f>
        <v>80</v>
      </c>
      <c r="C11" s="12" t="n">
        <f aca="false">RANK(Daten!C11,Daten!C$2:C$101,0)</f>
        <v>63</v>
      </c>
      <c r="D11" s="12" t="n">
        <f aca="false">RANK(Daten!D11,Daten!D$2:D$101,0)</f>
        <v>64</v>
      </c>
      <c r="E11" s="12" t="n">
        <f aca="false">RANK(Daten!E11,Daten!E$2:E$101,1)</f>
        <v>79</v>
      </c>
      <c r="F11" s="12" t="n">
        <f aca="false">RANK(Daten!F11,Daten!F$2:F$101,1)</f>
        <v>1</v>
      </c>
      <c r="G11" s="12" t="n">
        <f aca="false">RANK(Daten!G11,Daten!G$2:G$101,1)</f>
        <v>80</v>
      </c>
      <c r="H11" s="12" t="n">
        <f aca="false">RANK(Daten!H11,Daten!H$2:H$101,0)</f>
        <v>63</v>
      </c>
      <c r="I11" s="12" t="n">
        <f aca="false">RANK(Daten!I11,Daten!I$2:I$101,0)</f>
        <v>70</v>
      </c>
      <c r="J11" s="12" t="n">
        <f aca="false">RANK(Daten!J11,Daten!J$2:J$101,0)</f>
        <v>75</v>
      </c>
      <c r="K11" s="12" t="n">
        <f aca="false">RANK(Daten!K11,Daten!K$2:K$101,0)</f>
        <v>37</v>
      </c>
      <c r="L11" s="12" t="n">
        <f aca="false">RANK(Daten!L11,Daten!L$2:L$101,0)</f>
        <v>30</v>
      </c>
      <c r="M11" s="12" t="n">
        <f aca="false">RANK(Daten!M11,Daten!M$2:M$101,1)</f>
        <v>61</v>
      </c>
      <c r="N11" s="12" t="n">
        <f aca="false">RANK(Daten!N11,Daten!N$2:N$101,0)</f>
        <v>68</v>
      </c>
      <c r="O11" s="12" t="n">
        <f aca="false">RANK(Daten!O11,Daten!O$2:O$101,0)</f>
        <v>54</v>
      </c>
      <c r="P11" s="12" t="n">
        <f aca="false">RANK(Daten!P11,Daten!P$2:P$101,0)</f>
        <v>12</v>
      </c>
      <c r="Q11" s="13" t="n">
        <f aca="false">COUNTIF(B11:P11,"&lt;=3")</f>
        <v>1</v>
      </c>
      <c r="R11" s="12" t="n">
        <f aca="false">COUNTIF(B11:P11,1)</f>
        <v>1</v>
      </c>
    </row>
    <row r="12" customFormat="false" ht="15" hidden="false" customHeight="false" outlineLevel="0" collapsed="false">
      <c r="A12" s="3" t="str">
        <f aca="false">Daten!A12</f>
        <v>Jordan Love</v>
      </c>
      <c r="B12" s="12" t="n">
        <f aca="false">RANK(Daten!B12,Daten!B$2:B$101,1)</f>
        <v>38</v>
      </c>
      <c r="C12" s="12" t="n">
        <f aca="false">RANK(Daten!C12,Daten!C$2:C$101,0)</f>
        <v>18</v>
      </c>
      <c r="D12" s="12" t="n">
        <f aca="false">RANK(Daten!D12,Daten!D$2:D$101,0)</f>
        <v>53</v>
      </c>
      <c r="E12" s="12" t="n">
        <f aca="false">RANK(Daten!E12,Daten!E$2:E$101,1)</f>
        <v>34</v>
      </c>
      <c r="F12" s="12" t="n">
        <f aca="false">RANK(Daten!F12,Daten!F$2:F$101,1)</f>
        <v>71</v>
      </c>
      <c r="G12" s="12" t="n">
        <f aca="false">RANK(Daten!G12,Daten!G$2:G$101,1)</f>
        <v>34</v>
      </c>
      <c r="H12" s="12" t="n">
        <f aca="false">RANK(Daten!H12,Daten!H$2:H$101,0)</f>
        <v>42</v>
      </c>
      <c r="I12" s="12" t="n">
        <f aca="false">RANK(Daten!I12,Daten!I$2:I$101,0)</f>
        <v>19</v>
      </c>
      <c r="J12" s="12" t="n">
        <f aca="false">RANK(Daten!J12,Daten!J$2:J$101,0)</f>
        <v>75</v>
      </c>
      <c r="K12" s="12" t="n">
        <f aca="false">RANK(Daten!K12,Daten!K$2:K$101,0)</f>
        <v>37</v>
      </c>
      <c r="L12" s="12" t="n">
        <f aca="false">RANK(Daten!L12,Daten!L$2:L$101,0)</f>
        <v>30</v>
      </c>
      <c r="M12" s="12" t="n">
        <f aca="false">RANK(Daten!M12,Daten!M$2:M$101,1)</f>
        <v>37</v>
      </c>
      <c r="N12" s="12" t="n">
        <f aca="false">RANK(Daten!N12,Daten!N$2:N$101,0)</f>
        <v>2</v>
      </c>
      <c r="O12" s="12" t="n">
        <f aca="false">RANK(Daten!O12,Daten!O$2:O$101,0)</f>
        <v>22</v>
      </c>
      <c r="P12" s="12" t="n">
        <f aca="false">RANK(Daten!P12,Daten!P$2:P$101,0)</f>
        <v>19</v>
      </c>
      <c r="Q12" s="13" t="n">
        <f aca="false">COUNTIF(B12:P12,"&lt;=3")</f>
        <v>1</v>
      </c>
      <c r="R12" s="12" t="n">
        <f aca="false">COUNTIF(B12:P12,1)</f>
        <v>0</v>
      </c>
    </row>
    <row r="13" customFormat="false" ht="15" hidden="false" customHeight="false" outlineLevel="0" collapsed="false">
      <c r="A13" s="3" t="str">
        <f aca="false">Daten!A13</f>
        <v>Brock Purdy</v>
      </c>
      <c r="B13" s="12" t="n">
        <f aca="false">RANK(Daten!B13,Daten!B$2:B$101,1)</f>
        <v>54</v>
      </c>
      <c r="C13" s="12" t="n">
        <f aca="false">RANK(Daten!C13,Daten!C$2:C$101,0)</f>
        <v>63</v>
      </c>
      <c r="D13" s="12" t="n">
        <f aca="false">RANK(Daten!D13,Daten!D$2:D$101,0)</f>
        <v>44</v>
      </c>
      <c r="E13" s="12" t="n">
        <f aca="false">RANK(Daten!E13,Daten!E$2:E$101,1)</f>
        <v>55</v>
      </c>
      <c r="F13" s="12" t="n">
        <f aca="false">RANK(Daten!F13,Daten!F$2:F$101,1)</f>
        <v>100</v>
      </c>
      <c r="G13" s="12" t="n">
        <f aca="false">RANK(Daten!G13,Daten!G$2:G$101,1)</f>
        <v>77</v>
      </c>
      <c r="H13" s="12" t="n">
        <f aca="false">RANK(Daten!H13,Daten!H$2:H$101,0)</f>
        <v>21</v>
      </c>
      <c r="I13" s="12" t="n">
        <f aca="false">RANK(Daten!I13,Daten!I$2:I$101,0)</f>
        <v>42</v>
      </c>
      <c r="J13" s="12" t="n">
        <f aca="false">RANK(Daten!J13,Daten!J$2:J$101,0)</f>
        <v>48</v>
      </c>
      <c r="K13" s="12" t="n">
        <f aca="false">RANK(Daten!K13,Daten!K$2:K$101,0)</f>
        <v>37</v>
      </c>
      <c r="L13" s="12" t="n">
        <f aca="false">RANK(Daten!L13,Daten!L$2:L$101,0)</f>
        <v>11</v>
      </c>
      <c r="M13" s="12" t="n">
        <f aca="false">RANK(Daten!M13,Daten!M$2:M$101,1)</f>
        <v>45</v>
      </c>
      <c r="N13" s="12" t="n">
        <f aca="false">RANK(Daten!N13,Daten!N$2:N$101,0)</f>
        <v>7</v>
      </c>
      <c r="O13" s="12" t="n">
        <f aca="false">RANK(Daten!O13,Daten!O$2:O$101,0)</f>
        <v>2</v>
      </c>
      <c r="P13" s="12" t="n">
        <f aca="false">RANK(Daten!P13,Daten!P$2:P$101,0)</f>
        <v>46</v>
      </c>
      <c r="Q13" s="13" t="n">
        <f aca="false">COUNTIF(B13:P13,"&lt;=3")</f>
        <v>1</v>
      </c>
      <c r="R13" s="12" t="n">
        <f aca="false">COUNTIF(B13:P13,1)</f>
        <v>0</v>
      </c>
    </row>
    <row r="14" customFormat="false" ht="15" hidden="false" customHeight="false" outlineLevel="0" collapsed="false">
      <c r="A14" s="3" t="str">
        <f aca="false">Daten!A14</f>
        <v>Bo Nix</v>
      </c>
      <c r="B14" s="12" t="n">
        <f aca="false">RANK(Daten!B14,Daten!B$2:B$101,1)</f>
        <v>55</v>
      </c>
      <c r="C14" s="12" t="n">
        <f aca="false">RANK(Daten!C14,Daten!C$2:C$101,0)</f>
        <v>53</v>
      </c>
      <c r="D14" s="12" t="n">
        <f aca="false">RANK(Daten!D14,Daten!D$2:D$101,0)</f>
        <v>54</v>
      </c>
      <c r="E14" s="12" t="n">
        <f aca="false">RANK(Daten!E14,Daten!E$2:E$101,1)</f>
        <v>79</v>
      </c>
      <c r="F14" s="12" t="n">
        <f aca="false">RANK(Daten!F14,Daten!F$2:F$101,1)</f>
        <v>54</v>
      </c>
      <c r="G14" s="12" t="n">
        <f aca="false">RANK(Daten!G14,Daten!G$2:G$101,1)</f>
        <v>100</v>
      </c>
      <c r="H14" s="12" t="n">
        <f aca="false">RANK(Daten!H14,Daten!H$2:H$101,0)</f>
        <v>63</v>
      </c>
      <c r="I14" s="12" t="n">
        <f aca="false">RANK(Daten!I14,Daten!I$2:I$101,0)</f>
        <v>70</v>
      </c>
      <c r="J14" s="12" t="n">
        <f aca="false">RANK(Daten!J14,Daten!J$2:J$101,0)</f>
        <v>75</v>
      </c>
      <c r="K14" s="12" t="n">
        <f aca="false">RANK(Daten!K14,Daten!K$2:K$101,0)</f>
        <v>37</v>
      </c>
      <c r="L14" s="12" t="n">
        <f aca="false">RANK(Daten!L14,Daten!L$2:L$101,0)</f>
        <v>30</v>
      </c>
      <c r="M14" s="12" t="n">
        <f aca="false">RANK(Daten!M14,Daten!M$2:M$101,1)</f>
        <v>37</v>
      </c>
      <c r="N14" s="12" t="n">
        <f aca="false">RANK(Daten!N14,Daten!N$2:N$101,0)</f>
        <v>87</v>
      </c>
      <c r="O14" s="12" t="n">
        <f aca="false">RANK(Daten!O14,Daten!O$2:O$101,0)</f>
        <v>54</v>
      </c>
      <c r="P14" s="12" t="n">
        <f aca="false">RANK(Daten!P14,Daten!P$2:P$101,0)</f>
        <v>86</v>
      </c>
      <c r="Q14" s="13" t="n">
        <f aca="false">COUNTIF(B14:P14,"&lt;=3")</f>
        <v>0</v>
      </c>
      <c r="R14" s="12" t="n">
        <f aca="false">COUNTIF(B14:P14,1)</f>
        <v>0</v>
      </c>
    </row>
    <row r="15" customFormat="false" ht="15" hidden="false" customHeight="false" outlineLevel="0" collapsed="false">
      <c r="A15" s="3" t="str">
        <f aca="false">Daten!A15</f>
        <v>Dak Prescott</v>
      </c>
      <c r="B15" s="12" t="n">
        <f aca="false">RANK(Daten!B15,Daten!B$2:B$101,1)</f>
        <v>5</v>
      </c>
      <c r="C15" s="12" t="n">
        <f aca="false">RANK(Daten!C15,Daten!C$2:C$101,0)</f>
        <v>53</v>
      </c>
      <c r="D15" s="12" t="n">
        <f aca="false">RANK(Daten!D15,Daten!D$2:D$101,0)</f>
        <v>27</v>
      </c>
      <c r="E15" s="12" t="n">
        <f aca="false">RANK(Daten!E15,Daten!E$2:E$101,1)</f>
        <v>6</v>
      </c>
      <c r="F15" s="12" t="n">
        <f aca="false">RANK(Daten!F15,Daten!F$2:F$101,1)</f>
        <v>96</v>
      </c>
      <c r="G15" s="12" t="n">
        <f aca="false">RANK(Daten!G15,Daten!G$2:G$101,1)</f>
        <v>89</v>
      </c>
      <c r="H15" s="12" t="n">
        <f aca="false">RANK(Daten!H15,Daten!H$2:H$101,0)</f>
        <v>24</v>
      </c>
      <c r="I15" s="12" t="n">
        <f aca="false">RANK(Daten!I15,Daten!I$2:I$101,0)</f>
        <v>3</v>
      </c>
      <c r="J15" s="12" t="n">
        <f aca="false">RANK(Daten!J15,Daten!J$2:J$101,0)</f>
        <v>26</v>
      </c>
      <c r="K15" s="12" t="n">
        <f aca="false">RANK(Daten!K15,Daten!K$2:K$101,0)</f>
        <v>37</v>
      </c>
      <c r="L15" s="12" t="n">
        <f aca="false">RANK(Daten!L15,Daten!L$2:L$101,0)</f>
        <v>30</v>
      </c>
      <c r="M15" s="12" t="n">
        <f aca="false">RANK(Daten!M15,Daten!M$2:M$101,1)</f>
        <v>13</v>
      </c>
      <c r="N15" s="12" t="n">
        <f aca="false">RANK(Daten!N15,Daten!N$2:N$101,0)</f>
        <v>1</v>
      </c>
      <c r="O15" s="12" t="n">
        <f aca="false">RANK(Daten!O15,Daten!O$2:O$101,0)</f>
        <v>22</v>
      </c>
      <c r="P15" s="12" t="n">
        <f aca="false">RANK(Daten!P15,Daten!P$2:P$101,0)</f>
        <v>68</v>
      </c>
      <c r="Q15" s="13" t="n">
        <f aca="false">COUNTIF(B15:P15,"&lt;=3")</f>
        <v>2</v>
      </c>
      <c r="R15" s="12" t="n">
        <f aca="false">COUNTIF(B15:P15,1)</f>
        <v>1</v>
      </c>
    </row>
    <row r="16" customFormat="false" ht="15" hidden="false" customHeight="false" outlineLevel="0" collapsed="false">
      <c r="A16" s="3" t="str">
        <f aca="false">Daten!A16</f>
        <v>Jared Goff</v>
      </c>
      <c r="B16" s="12" t="n">
        <f aca="false">RANK(Daten!B16,Daten!B$2:B$101,1)</f>
        <v>11</v>
      </c>
      <c r="C16" s="12" t="n">
        <f aca="false">RANK(Daten!C16,Daten!C$2:C$101,0)</f>
        <v>18</v>
      </c>
      <c r="D16" s="12" t="n">
        <f aca="false">RANK(Daten!D16,Daten!D$2:D$101,0)</f>
        <v>44</v>
      </c>
      <c r="E16" s="12" t="n">
        <f aca="false">RANK(Daten!E16,Daten!E$2:E$101,1)</f>
        <v>6</v>
      </c>
      <c r="F16" s="12" t="n">
        <f aca="false">RANK(Daten!F16,Daten!F$2:F$101,1)</f>
        <v>1</v>
      </c>
      <c r="G16" s="12" t="n">
        <f aca="false">RANK(Daten!G16,Daten!G$2:G$101,1)</f>
        <v>39</v>
      </c>
      <c r="H16" s="12" t="n">
        <f aca="false">RANK(Daten!H16,Daten!H$2:H$101,0)</f>
        <v>13</v>
      </c>
      <c r="I16" s="12" t="n">
        <f aca="false">RANK(Daten!I16,Daten!I$2:I$101,0)</f>
        <v>30</v>
      </c>
      <c r="J16" s="12" t="n">
        <f aca="false">RANK(Daten!J16,Daten!J$2:J$101,0)</f>
        <v>13</v>
      </c>
      <c r="K16" s="12" t="n">
        <f aca="false">RANK(Daten!K16,Daten!K$2:K$101,0)</f>
        <v>37</v>
      </c>
      <c r="L16" s="12" t="n">
        <f aca="false">RANK(Daten!L16,Daten!L$2:L$101,0)</f>
        <v>11</v>
      </c>
      <c r="M16" s="12" t="n">
        <f aca="false">RANK(Daten!M16,Daten!M$2:M$101,1)</f>
        <v>54</v>
      </c>
      <c r="N16" s="12" t="n">
        <f aca="false">RANK(Daten!N16,Daten!N$2:N$101,0)</f>
        <v>7</v>
      </c>
      <c r="O16" s="12" t="n">
        <f aca="false">RANK(Daten!O16,Daten!O$2:O$101,0)</f>
        <v>22</v>
      </c>
      <c r="P16" s="12" t="n">
        <f aca="false">RANK(Daten!P16,Daten!P$2:P$101,0)</f>
        <v>52</v>
      </c>
      <c r="Q16" s="13" t="n">
        <f aca="false">COUNTIF(B16:P16,"&lt;=3")</f>
        <v>1</v>
      </c>
      <c r="R16" s="12" t="n">
        <f aca="false">COUNTIF(B16:P16,1)</f>
        <v>1</v>
      </c>
    </row>
    <row r="17" customFormat="false" ht="15" hidden="false" customHeight="false" outlineLevel="0" collapsed="false">
      <c r="A17" s="3" t="str">
        <f aca="false">Daten!A17</f>
        <v>Saquon Barkley</v>
      </c>
      <c r="B17" s="12" t="n">
        <f aca="false">RANK(Daten!B17,Daten!B$2:B$101,1)</f>
        <v>24</v>
      </c>
      <c r="C17" s="12" t="n">
        <f aca="false">RANK(Daten!C17,Daten!C$2:C$101,0)</f>
        <v>75</v>
      </c>
      <c r="D17" s="12" t="n">
        <f aca="false">RANK(Daten!D17,Daten!D$2:D$101,0)</f>
        <v>32</v>
      </c>
      <c r="E17" s="12" t="n">
        <f aca="false">RANK(Daten!E17,Daten!E$2:E$101,1)</f>
        <v>16</v>
      </c>
      <c r="F17" s="12" t="n">
        <f aca="false">RANK(Daten!F17,Daten!F$2:F$101,1)</f>
        <v>12</v>
      </c>
      <c r="G17" s="12" t="n">
        <f aca="false">RANK(Daten!G17,Daten!G$2:G$101,1)</f>
        <v>18</v>
      </c>
      <c r="H17" s="12" t="n">
        <f aca="false">RANK(Daten!H17,Daten!H$2:H$101,0)</f>
        <v>24</v>
      </c>
      <c r="I17" s="12" t="n">
        <f aca="false">RANK(Daten!I17,Daten!I$2:I$101,0)</f>
        <v>70</v>
      </c>
      <c r="J17" s="12" t="n">
        <f aca="false">RANK(Daten!J17,Daten!J$2:J$101,0)</f>
        <v>26</v>
      </c>
      <c r="K17" s="12" t="n">
        <f aca="false">RANK(Daten!K17,Daten!K$2:K$101,0)</f>
        <v>22</v>
      </c>
      <c r="L17" s="12" t="n">
        <f aca="false">RANK(Daten!L17,Daten!L$2:L$101,0)</f>
        <v>11</v>
      </c>
      <c r="M17" s="12" t="n">
        <f aca="false">RANK(Daten!M17,Daten!M$2:M$101,1)</f>
        <v>69</v>
      </c>
      <c r="N17" s="12" t="n">
        <f aca="false">RANK(Daten!N17,Daten!N$2:N$101,0)</f>
        <v>48</v>
      </c>
      <c r="O17" s="12" t="n">
        <f aca="false">RANK(Daten!O17,Daten!O$2:O$101,0)</f>
        <v>22</v>
      </c>
      <c r="P17" s="12" t="n">
        <f aca="false">RANK(Daten!P17,Daten!P$2:P$101,0)</f>
        <v>6</v>
      </c>
      <c r="Q17" s="13" t="n">
        <f aca="false">COUNTIF(B17:P17,"&lt;=3")</f>
        <v>0</v>
      </c>
      <c r="R17" s="12" t="n">
        <f aca="false">COUNTIF(B17:P17,1)</f>
        <v>0</v>
      </c>
    </row>
    <row r="18" customFormat="false" ht="15" hidden="false" customHeight="false" outlineLevel="0" collapsed="false">
      <c r="A18" s="3" t="str">
        <f aca="false">Daten!A18</f>
        <v>Derrick Henry</v>
      </c>
      <c r="B18" s="12" t="n">
        <f aca="false">RANK(Daten!B18,Daten!B$2:B$101,1)</f>
        <v>8</v>
      </c>
      <c r="C18" s="12" t="n">
        <f aca="false">RANK(Daten!C18,Daten!C$2:C$101,0)</f>
        <v>37</v>
      </c>
      <c r="D18" s="12" t="n">
        <f aca="false">RANK(Daten!D18,Daten!D$2:D$101,0)</f>
        <v>20</v>
      </c>
      <c r="E18" s="12" t="n">
        <f aca="false">RANK(Daten!E18,Daten!E$2:E$101,1)</f>
        <v>6</v>
      </c>
      <c r="F18" s="12" t="n">
        <f aca="false">RANK(Daten!F18,Daten!F$2:F$101,1)</f>
        <v>81</v>
      </c>
      <c r="G18" s="12" t="n">
        <f aca="false">RANK(Daten!G18,Daten!G$2:G$101,1)</f>
        <v>76</v>
      </c>
      <c r="H18" s="12" t="n">
        <f aca="false">RANK(Daten!H18,Daten!H$2:H$101,0)</f>
        <v>18</v>
      </c>
      <c r="I18" s="12" t="n">
        <f aca="false">RANK(Daten!I18,Daten!I$2:I$101,0)</f>
        <v>70</v>
      </c>
      <c r="J18" s="12" t="n">
        <f aca="false">RANK(Daten!J18,Daten!J$2:J$101,0)</f>
        <v>11</v>
      </c>
      <c r="K18" s="12" t="n">
        <f aca="false">RANK(Daten!K18,Daten!K$2:K$101,0)</f>
        <v>10</v>
      </c>
      <c r="L18" s="12" t="n">
        <f aca="false">RANK(Daten!L18,Daten!L$2:L$101,0)</f>
        <v>30</v>
      </c>
      <c r="M18" s="12" t="n">
        <f aca="false">RANK(Daten!M18,Daten!M$2:M$101,1)</f>
        <v>65</v>
      </c>
      <c r="N18" s="12" t="n">
        <f aca="false">RANK(Daten!N18,Daten!N$2:N$101,0)</f>
        <v>58</v>
      </c>
      <c r="O18" s="12" t="n">
        <f aca="false">RANK(Daten!O18,Daten!O$2:O$101,0)</f>
        <v>76</v>
      </c>
      <c r="P18" s="12" t="n">
        <f aca="false">RANK(Daten!P18,Daten!P$2:P$101,0)</f>
        <v>76</v>
      </c>
      <c r="Q18" s="13" t="n">
        <f aca="false">COUNTIF(B18:P18,"&lt;=3")</f>
        <v>0</v>
      </c>
      <c r="R18" s="12" t="n">
        <f aca="false">COUNTIF(B18:P18,1)</f>
        <v>0</v>
      </c>
    </row>
    <row r="19" customFormat="false" ht="15" hidden="false" customHeight="false" outlineLevel="0" collapsed="false">
      <c r="A19" s="3" t="str">
        <f aca="false">Daten!A19</f>
        <v>Christian McCaffrey</v>
      </c>
      <c r="B19" s="12" t="n">
        <f aca="false">RANK(Daten!B19,Daten!B$2:B$101,1)</f>
        <v>19</v>
      </c>
      <c r="C19" s="12" t="n">
        <f aca="false">RANK(Daten!C19,Daten!C$2:C$101,0)</f>
        <v>86</v>
      </c>
      <c r="D19" s="12" t="n">
        <f aca="false">RANK(Daten!D19,Daten!D$2:D$101,0)</f>
        <v>71</v>
      </c>
      <c r="E19" s="12" t="n">
        <f aca="false">RANK(Daten!E19,Daten!E$2:E$101,1)</f>
        <v>11</v>
      </c>
      <c r="F19" s="12" t="n">
        <f aca="false">RANK(Daten!F19,Daten!F$2:F$101,1)</f>
        <v>39</v>
      </c>
      <c r="G19" s="12" t="n">
        <f aca="false">RANK(Daten!G19,Daten!G$2:G$101,1)</f>
        <v>7</v>
      </c>
      <c r="H19" s="12" t="n">
        <f aca="false">RANK(Daten!H19,Daten!H$2:H$101,0)</f>
        <v>21</v>
      </c>
      <c r="I19" s="12" t="n">
        <f aca="false">RANK(Daten!I19,Daten!I$2:I$101,0)</f>
        <v>42</v>
      </c>
      <c r="J19" s="12" t="n">
        <f aca="false">RANK(Daten!J19,Daten!J$2:J$101,0)</f>
        <v>26</v>
      </c>
      <c r="K19" s="12" t="n">
        <f aca="false">RANK(Daten!K19,Daten!K$2:K$101,0)</f>
        <v>10</v>
      </c>
      <c r="L19" s="12" t="n">
        <f aca="false">RANK(Daten!L19,Daten!L$2:L$101,0)</f>
        <v>11</v>
      </c>
      <c r="M19" s="12" t="n">
        <f aca="false">RANK(Daten!M19,Daten!M$2:M$101,1)</f>
        <v>66</v>
      </c>
      <c r="N19" s="12" t="n">
        <f aca="false">RANK(Daten!N19,Daten!N$2:N$101,0)</f>
        <v>53</v>
      </c>
      <c r="O19" s="12" t="n">
        <f aca="false">RANK(Daten!O19,Daten!O$2:O$101,0)</f>
        <v>54</v>
      </c>
      <c r="P19" s="12" t="n">
        <f aca="false">RANK(Daten!P19,Daten!P$2:P$101,0)</f>
        <v>43</v>
      </c>
      <c r="Q19" s="13" t="n">
        <f aca="false">COUNTIF(B19:P19,"&lt;=3")</f>
        <v>0</v>
      </c>
      <c r="R19" s="12" t="n">
        <f aca="false">COUNTIF(B19:P19,1)</f>
        <v>0</v>
      </c>
    </row>
    <row r="20" customFormat="false" ht="15" hidden="false" customHeight="false" outlineLevel="0" collapsed="false">
      <c r="A20" s="3" t="str">
        <f aca="false">Daten!A20</f>
        <v>Bijan Robinson</v>
      </c>
      <c r="B20" s="12" t="n">
        <f aca="false">RANK(Daten!B20,Daten!B$2:B$101,1)</f>
        <v>82</v>
      </c>
      <c r="C20" s="12" t="n">
        <f aca="false">RANK(Daten!C20,Daten!C$2:C$101,0)</f>
        <v>86</v>
      </c>
      <c r="D20" s="12" t="n">
        <f aca="false">RANK(Daten!D20,Daten!D$2:D$101,0)</f>
        <v>64</v>
      </c>
      <c r="E20" s="12" t="n">
        <f aca="false">RANK(Daten!E20,Daten!E$2:E$101,1)</f>
        <v>66</v>
      </c>
      <c r="F20" s="12" t="n">
        <f aca="false">RANK(Daten!F20,Daten!F$2:F$101,1)</f>
        <v>39</v>
      </c>
      <c r="G20" s="12" t="n">
        <f aca="false">RANK(Daten!G20,Daten!G$2:G$101,1)</f>
        <v>20</v>
      </c>
      <c r="H20" s="12" t="n">
        <f aca="false">RANK(Daten!H20,Daten!H$2:H$101,0)</f>
        <v>82</v>
      </c>
      <c r="I20" s="12" t="n">
        <f aca="false">RANK(Daten!I20,Daten!I$2:I$101,0)</f>
        <v>56</v>
      </c>
      <c r="J20" s="12" t="n">
        <f aca="false">RANK(Daten!J20,Daten!J$2:J$101,0)</f>
        <v>48</v>
      </c>
      <c r="K20" s="12" t="n">
        <f aca="false">RANK(Daten!K20,Daten!K$2:K$101,0)</f>
        <v>22</v>
      </c>
      <c r="L20" s="12" t="n">
        <f aca="false">RANK(Daten!L20,Daten!L$2:L$101,0)</f>
        <v>30</v>
      </c>
      <c r="M20" s="12" t="n">
        <f aca="false">RANK(Daten!M20,Daten!M$2:M$101,1)</f>
        <v>25</v>
      </c>
      <c r="N20" s="12" t="n">
        <f aca="false">RANK(Daten!N20,Daten!N$2:N$101,0)</f>
        <v>83</v>
      </c>
      <c r="O20" s="12" t="n">
        <f aca="false">RANK(Daten!O20,Daten!O$2:O$101,0)</f>
        <v>76</v>
      </c>
      <c r="P20" s="12" t="n">
        <f aca="false">RANK(Daten!P20,Daten!P$2:P$101,0)</f>
        <v>15</v>
      </c>
      <c r="Q20" s="13" t="n">
        <f aca="false">COUNTIF(B20:P20,"&lt;=3")</f>
        <v>0</v>
      </c>
      <c r="R20" s="12" t="n">
        <f aca="false">COUNTIF(B20:P20,1)</f>
        <v>0</v>
      </c>
    </row>
    <row r="21" customFormat="false" ht="15" hidden="false" customHeight="false" outlineLevel="0" collapsed="false">
      <c r="A21" s="3" t="str">
        <f aca="false">Daten!A21</f>
        <v>Jahmyr Gibbs</v>
      </c>
      <c r="B21" s="12" t="n">
        <f aca="false">RANK(Daten!B21,Daten!B$2:B$101,1)</f>
        <v>84</v>
      </c>
      <c r="C21" s="12" t="n">
        <f aca="false">RANK(Daten!C21,Daten!C$2:C$101,0)</f>
        <v>95</v>
      </c>
      <c r="D21" s="12" t="n">
        <f aca="false">RANK(Daten!D21,Daten!D$2:D$101,0)</f>
        <v>86</v>
      </c>
      <c r="E21" s="12" t="n">
        <f aca="false">RANK(Daten!E21,Daten!E$2:E$101,1)</f>
        <v>66</v>
      </c>
      <c r="F21" s="12" t="n">
        <f aca="false">RANK(Daten!F21,Daten!F$2:F$101,1)</f>
        <v>54</v>
      </c>
      <c r="G21" s="12" t="n">
        <f aca="false">RANK(Daten!G21,Daten!G$2:G$101,1)</f>
        <v>13</v>
      </c>
      <c r="H21" s="12" t="n">
        <f aca="false">RANK(Daten!H21,Daten!H$2:H$101,0)</f>
        <v>42</v>
      </c>
      <c r="I21" s="12" t="n">
        <f aca="false">RANK(Daten!I21,Daten!I$2:I$101,0)</f>
        <v>56</v>
      </c>
      <c r="J21" s="12" t="n">
        <f aca="false">RANK(Daten!J21,Daten!J$2:J$101,0)</f>
        <v>37</v>
      </c>
      <c r="K21" s="12" t="n">
        <f aca="false">RANK(Daten!K21,Daten!K$2:K$101,0)</f>
        <v>37</v>
      </c>
      <c r="L21" s="12" t="n">
        <f aca="false">RANK(Daten!L21,Daten!L$2:L$101,0)</f>
        <v>30</v>
      </c>
      <c r="M21" s="12" t="n">
        <f aca="false">RANK(Daten!M21,Daten!M$2:M$101,1)</f>
        <v>69</v>
      </c>
      <c r="N21" s="12" t="n">
        <f aca="false">RANK(Daten!N21,Daten!N$2:N$101,0)</f>
        <v>89</v>
      </c>
      <c r="O21" s="12" t="n">
        <f aca="false">RANK(Daten!O21,Daten!O$2:O$101,0)</f>
        <v>76</v>
      </c>
      <c r="P21" s="12" t="n">
        <f aca="false">RANK(Daten!P21,Daten!P$2:P$101,0)</f>
        <v>60</v>
      </c>
      <c r="Q21" s="13" t="n">
        <f aca="false">COUNTIF(B21:P21,"&lt;=3")</f>
        <v>0</v>
      </c>
      <c r="R21" s="12" t="n">
        <f aca="false">COUNTIF(B21:P21,1)</f>
        <v>0</v>
      </c>
    </row>
    <row r="22" customFormat="false" ht="15" hidden="false" customHeight="false" outlineLevel="0" collapsed="false">
      <c r="A22" s="3" t="str">
        <f aca="false">Daten!A22</f>
        <v>Ashton Jeanty</v>
      </c>
      <c r="B22" s="12" t="n">
        <f aca="false">RANK(Daten!B22,Daten!B$2:B$101,1)</f>
        <v>99</v>
      </c>
      <c r="C22" s="12" t="n">
        <f aca="false">RANK(Daten!C22,Daten!C$2:C$101,0)</f>
        <v>100</v>
      </c>
      <c r="D22" s="12" t="n">
        <f aca="false">RANK(Daten!D22,Daten!D$2:D$101,0)</f>
        <v>66</v>
      </c>
      <c r="E22" s="12" t="n">
        <f aca="false">RANK(Daten!E22,Daten!E$2:E$101,1)</f>
        <v>92</v>
      </c>
      <c r="F22" s="12" t="n">
        <f aca="false">RANK(Daten!F22,Daten!F$2:F$101,1)</f>
        <v>31</v>
      </c>
      <c r="G22" s="12" t="n">
        <f aca="false">RANK(Daten!G22,Daten!G$2:G$101,1)</f>
        <v>31</v>
      </c>
      <c r="H22" s="12" t="n">
        <f aca="false">RANK(Daten!H22,Daten!H$2:H$101,0)</f>
        <v>82</v>
      </c>
      <c r="I22" s="12" t="n">
        <f aca="false">RANK(Daten!I22,Daten!I$2:I$101,0)</f>
        <v>86</v>
      </c>
      <c r="J22" s="12" t="n">
        <f aca="false">RANK(Daten!J22,Daten!J$2:J$101,0)</f>
        <v>75</v>
      </c>
      <c r="K22" s="12" t="n">
        <f aca="false">RANK(Daten!K22,Daten!K$2:K$101,0)</f>
        <v>37</v>
      </c>
      <c r="L22" s="12" t="n">
        <f aca="false">RANK(Daten!L22,Daten!L$2:L$101,0)</f>
        <v>30</v>
      </c>
      <c r="M22" s="12" t="n">
        <f aca="false">RANK(Daten!M22,Daten!M$2:M$101,1)</f>
        <v>10</v>
      </c>
      <c r="N22" s="12" t="n">
        <f aca="false">RANK(Daten!N22,Daten!N$2:N$101,0)</f>
        <v>73</v>
      </c>
      <c r="O22" s="12" t="n">
        <f aca="false">RANK(Daten!O22,Daten!O$2:O$101,0)</f>
        <v>22</v>
      </c>
      <c r="P22" s="12" t="n">
        <f aca="false">RANK(Daten!P22,Daten!P$2:P$101,0)</f>
        <v>7</v>
      </c>
      <c r="Q22" s="13" t="n">
        <f aca="false">COUNTIF(B22:P22,"&lt;=3")</f>
        <v>0</v>
      </c>
      <c r="R22" s="12" t="n">
        <f aca="false">COUNTIF(B22:P22,1)</f>
        <v>0</v>
      </c>
    </row>
    <row r="23" customFormat="false" ht="15" hidden="false" customHeight="false" outlineLevel="0" collapsed="false">
      <c r="A23" s="3" t="str">
        <f aca="false">Daten!A23</f>
        <v>Justin Jefferson</v>
      </c>
      <c r="B23" s="12" t="n">
        <f aca="false">RANK(Daten!B23,Daten!B$2:B$101,1)</f>
        <v>48</v>
      </c>
      <c r="C23" s="12" t="n">
        <f aca="false">RANK(Daten!C23,Daten!C$2:C$101,0)</f>
        <v>63</v>
      </c>
      <c r="D23" s="12" t="n">
        <f aca="false">RANK(Daten!D23,Daten!D$2:D$101,0)</f>
        <v>88</v>
      </c>
      <c r="E23" s="12" t="n">
        <f aca="false">RANK(Daten!E23,Daten!E$2:E$101,1)</f>
        <v>34</v>
      </c>
      <c r="F23" s="12" t="n">
        <f aca="false">RANK(Daten!F23,Daten!F$2:F$101,1)</f>
        <v>67</v>
      </c>
      <c r="G23" s="12" t="n">
        <f aca="false">RANK(Daten!G23,Daten!G$2:G$101,1)</f>
        <v>6</v>
      </c>
      <c r="H23" s="12" t="n">
        <f aca="false">RANK(Daten!H23,Daten!H$2:H$101,0)</f>
        <v>63</v>
      </c>
      <c r="I23" s="12" t="n">
        <f aca="false">RANK(Daten!I23,Daten!I$2:I$101,0)</f>
        <v>19</v>
      </c>
      <c r="J23" s="12" t="n">
        <f aca="false">RANK(Daten!J23,Daten!J$2:J$101,0)</f>
        <v>13</v>
      </c>
      <c r="K23" s="12" t="n">
        <f aca="false">RANK(Daten!K23,Daten!K$2:K$101,0)</f>
        <v>10</v>
      </c>
      <c r="L23" s="12" t="n">
        <f aca="false">RANK(Daten!L23,Daten!L$2:L$101,0)</f>
        <v>30</v>
      </c>
      <c r="M23" s="12" t="n">
        <f aca="false">RANK(Daten!M23,Daten!M$2:M$101,1)</f>
        <v>61</v>
      </c>
      <c r="N23" s="12" t="n">
        <f aca="false">RANK(Daten!N23,Daten!N$2:N$101,0)</f>
        <v>20</v>
      </c>
      <c r="O23" s="12" t="n">
        <f aca="false">RANK(Daten!O23,Daten!O$2:O$101,0)</f>
        <v>22</v>
      </c>
      <c r="P23" s="12" t="n">
        <f aca="false">RANK(Daten!P23,Daten!P$2:P$101,0)</f>
        <v>82</v>
      </c>
      <c r="Q23" s="13" t="n">
        <f aca="false">COUNTIF(B23:P23,"&lt;=3")</f>
        <v>0</v>
      </c>
      <c r="R23" s="12" t="n">
        <f aca="false">COUNTIF(B23:P23,1)</f>
        <v>0</v>
      </c>
    </row>
    <row r="24" customFormat="false" ht="15" hidden="false" customHeight="false" outlineLevel="0" collapsed="false">
      <c r="A24" s="3" t="str">
        <f aca="false">Daten!A24</f>
        <v>Ja'Marr Chase</v>
      </c>
      <c r="B24" s="12" t="n">
        <f aca="false">RANK(Daten!B24,Daten!B$2:B$101,1)</f>
        <v>56</v>
      </c>
      <c r="C24" s="12" t="n">
        <f aca="false">RANK(Daten!C24,Daten!C$2:C$101,0)</f>
        <v>75</v>
      </c>
      <c r="D24" s="12" t="n">
        <f aca="false">RANK(Daten!D24,Daten!D$2:D$101,0)</f>
        <v>77</v>
      </c>
      <c r="E24" s="12" t="n">
        <f aca="false">RANK(Daten!E24,Daten!E$2:E$101,1)</f>
        <v>44</v>
      </c>
      <c r="F24" s="12" t="n">
        <f aca="false">RANK(Daten!F24,Daten!F$2:F$101,1)</f>
        <v>27</v>
      </c>
      <c r="G24" s="12" t="n">
        <f aca="false">RANK(Daten!G24,Daten!G$2:G$101,1)</f>
        <v>15</v>
      </c>
      <c r="H24" s="12" t="n">
        <f aca="false">RANK(Daten!H24,Daten!H$2:H$101,0)</f>
        <v>24</v>
      </c>
      <c r="I24" s="12" t="n">
        <f aca="false">RANK(Daten!I24,Daten!I$2:I$101,0)</f>
        <v>30</v>
      </c>
      <c r="J24" s="12" t="n">
        <f aca="false">RANK(Daten!J24,Daten!J$2:J$101,0)</f>
        <v>13</v>
      </c>
      <c r="K24" s="12" t="n">
        <f aca="false">RANK(Daten!K24,Daten!K$2:K$101,0)</f>
        <v>22</v>
      </c>
      <c r="L24" s="12" t="n">
        <f aca="false">RANK(Daten!L24,Daten!L$2:L$101,0)</f>
        <v>11</v>
      </c>
      <c r="M24" s="12" t="n">
        <f aca="false">RANK(Daten!M24,Daten!M$2:M$101,1)</f>
        <v>2</v>
      </c>
      <c r="N24" s="12" t="n">
        <f aca="false">RANK(Daten!N24,Daten!N$2:N$101,0)</f>
        <v>16</v>
      </c>
      <c r="O24" s="12" t="n">
        <f aca="false">RANK(Daten!O24,Daten!O$2:O$101,0)</f>
        <v>8</v>
      </c>
      <c r="P24" s="12" t="n">
        <f aca="false">RANK(Daten!P24,Daten!P$2:P$101,0)</f>
        <v>68</v>
      </c>
      <c r="Q24" s="13" t="n">
        <f aca="false">COUNTIF(B24:P24,"&lt;=3")</f>
        <v>1</v>
      </c>
      <c r="R24" s="12" t="n">
        <f aca="false">COUNTIF(B24:P24,1)</f>
        <v>0</v>
      </c>
    </row>
    <row r="25" customFormat="false" ht="15" hidden="false" customHeight="false" outlineLevel="0" collapsed="false">
      <c r="A25" s="3" t="str">
        <f aca="false">Daten!A25</f>
        <v>CeeDee Lamb</v>
      </c>
      <c r="B25" s="12" t="n">
        <f aca="false">RANK(Daten!B25,Daten!B$2:B$101,1)</f>
        <v>46</v>
      </c>
      <c r="C25" s="12" t="n">
        <f aca="false">RANK(Daten!C25,Daten!C$2:C$101,0)</f>
        <v>53</v>
      </c>
      <c r="D25" s="12" t="n">
        <f aca="false">RANK(Daten!D25,Daten!D$2:D$101,0)</f>
        <v>83</v>
      </c>
      <c r="E25" s="12" t="n">
        <f aca="false">RANK(Daten!E25,Daten!E$2:E$101,1)</f>
        <v>34</v>
      </c>
      <c r="F25" s="12" t="n">
        <f aca="false">RANK(Daten!F25,Daten!F$2:F$101,1)</f>
        <v>62</v>
      </c>
      <c r="G25" s="12" t="n">
        <f aca="false">RANK(Daten!G25,Daten!G$2:G$101,1)</f>
        <v>10</v>
      </c>
      <c r="H25" s="12" t="n">
        <f aca="false">RANK(Daten!H25,Daten!H$2:H$101,0)</f>
        <v>42</v>
      </c>
      <c r="I25" s="12" t="n">
        <f aca="false">RANK(Daten!I25,Daten!I$2:I$101,0)</f>
        <v>19</v>
      </c>
      <c r="J25" s="12" t="n">
        <f aca="false">RANK(Daten!J25,Daten!J$2:J$101,0)</f>
        <v>13</v>
      </c>
      <c r="K25" s="12" t="n">
        <f aca="false">RANK(Daten!K25,Daten!K$2:K$101,0)</f>
        <v>22</v>
      </c>
      <c r="L25" s="12" t="n">
        <f aca="false">RANK(Daten!L25,Daten!L$2:L$101,0)</f>
        <v>30</v>
      </c>
      <c r="M25" s="12" t="n">
        <f aca="false">RANK(Daten!M25,Daten!M$2:M$101,1)</f>
        <v>91</v>
      </c>
      <c r="N25" s="12" t="n">
        <f aca="false">RANK(Daten!N25,Daten!N$2:N$101,0)</f>
        <v>21</v>
      </c>
      <c r="O25" s="12" t="n">
        <f aca="false">RANK(Daten!O25,Daten!O$2:O$101,0)</f>
        <v>22</v>
      </c>
      <c r="P25" s="12" t="n">
        <f aca="false">RANK(Daten!P25,Daten!P$2:P$101,0)</f>
        <v>73</v>
      </c>
      <c r="Q25" s="13" t="n">
        <f aca="false">COUNTIF(B25:P25,"&lt;=3")</f>
        <v>0</v>
      </c>
      <c r="R25" s="12" t="n">
        <f aca="false">COUNTIF(B25:P25,1)</f>
        <v>0</v>
      </c>
    </row>
    <row r="26" customFormat="false" ht="15" hidden="false" customHeight="false" outlineLevel="0" collapsed="false">
      <c r="A26" s="3" t="str">
        <f aca="false">Daten!A26</f>
        <v>Amon-Ra St. Brown</v>
      </c>
      <c r="B26" s="12" t="n">
        <f aca="false">RANK(Daten!B26,Daten!B$2:B$101,1)</f>
        <v>52</v>
      </c>
      <c r="C26" s="12" t="n">
        <f aca="false">RANK(Daten!C26,Daten!C$2:C$101,0)</f>
        <v>75</v>
      </c>
      <c r="D26" s="12" t="n">
        <f aca="false">RANK(Daten!D26,Daten!D$2:D$101,0)</f>
        <v>83</v>
      </c>
      <c r="E26" s="12" t="n">
        <f aca="false">RANK(Daten!E26,Daten!E$2:E$101,1)</f>
        <v>44</v>
      </c>
      <c r="F26" s="12" t="n">
        <f aca="false">RANK(Daten!F26,Daten!F$2:F$101,1)</f>
        <v>95</v>
      </c>
      <c r="G26" s="12" t="n">
        <f aca="false">RANK(Daten!G26,Daten!G$2:G$101,1)</f>
        <v>35</v>
      </c>
      <c r="H26" s="12" t="n">
        <f aca="false">RANK(Daten!H26,Daten!H$2:H$101,0)</f>
        <v>42</v>
      </c>
      <c r="I26" s="12" t="n">
        <f aca="false">RANK(Daten!I26,Daten!I$2:I$101,0)</f>
        <v>30</v>
      </c>
      <c r="J26" s="12" t="n">
        <f aca="false">RANK(Daten!J26,Daten!J$2:J$101,0)</f>
        <v>26</v>
      </c>
      <c r="K26" s="12" t="n">
        <f aca="false">RANK(Daten!K26,Daten!K$2:K$101,0)</f>
        <v>22</v>
      </c>
      <c r="L26" s="12" t="n">
        <f aca="false">RANK(Daten!L26,Daten!L$2:L$101,0)</f>
        <v>30</v>
      </c>
      <c r="M26" s="12" t="n">
        <f aca="false">RANK(Daten!M26,Daten!M$2:M$101,1)</f>
        <v>47</v>
      </c>
      <c r="N26" s="12" t="n">
        <f aca="false">RANK(Daten!N26,Daten!N$2:N$101,0)</f>
        <v>31</v>
      </c>
      <c r="O26" s="12" t="n">
        <f aca="false">RANK(Daten!O26,Daten!O$2:O$101,0)</f>
        <v>22</v>
      </c>
      <c r="P26" s="12" t="n">
        <f aca="false">RANK(Daten!P26,Daten!P$2:P$101,0)</f>
        <v>24</v>
      </c>
      <c r="Q26" s="13" t="n">
        <f aca="false">COUNTIF(B26:P26,"&lt;=3")</f>
        <v>0</v>
      </c>
      <c r="R26" s="12" t="n">
        <f aca="false">COUNTIF(B26:P26,1)</f>
        <v>0</v>
      </c>
    </row>
    <row r="27" customFormat="false" ht="15" hidden="false" customHeight="false" outlineLevel="0" collapsed="false">
      <c r="A27" s="3" t="str">
        <f aca="false">Daten!A27</f>
        <v>Puka Nacua</v>
      </c>
      <c r="B27" s="12" t="n">
        <f aca="false">RANK(Daten!B27,Daten!B$2:B$101,1)</f>
        <v>72</v>
      </c>
      <c r="C27" s="12" t="n">
        <f aca="false">RANK(Daten!C27,Daten!C$2:C$101,0)</f>
        <v>53</v>
      </c>
      <c r="D27" s="12" t="n">
        <f aca="false">RANK(Daten!D27,Daten!D$2:D$101,0)</f>
        <v>66</v>
      </c>
      <c r="E27" s="12" t="n">
        <f aca="false">RANK(Daten!E27,Daten!E$2:E$101,1)</f>
        <v>66</v>
      </c>
      <c r="F27" s="12" t="n">
        <f aca="false">RANK(Daten!F27,Daten!F$2:F$101,1)</f>
        <v>99</v>
      </c>
      <c r="G27" s="12" t="n">
        <f aca="false">RANK(Daten!G27,Daten!G$2:G$101,1)</f>
        <v>64</v>
      </c>
      <c r="H27" s="12" t="n">
        <f aca="false">RANK(Daten!H27,Daten!H$2:H$101,0)</f>
        <v>29</v>
      </c>
      <c r="I27" s="12" t="n">
        <f aca="false">RANK(Daten!I27,Daten!I$2:I$101,0)</f>
        <v>56</v>
      </c>
      <c r="J27" s="12" t="n">
        <f aca="false">RANK(Daten!J27,Daten!J$2:J$101,0)</f>
        <v>48</v>
      </c>
      <c r="K27" s="12" t="n">
        <f aca="false">RANK(Daten!K27,Daten!K$2:K$101,0)</f>
        <v>37</v>
      </c>
      <c r="L27" s="12" t="n">
        <f aca="false">RANK(Daten!L27,Daten!L$2:L$101,0)</f>
        <v>30</v>
      </c>
      <c r="M27" s="12" t="n">
        <f aca="false">RANK(Daten!M27,Daten!M$2:M$101,1)</f>
        <v>56</v>
      </c>
      <c r="N27" s="12" t="n">
        <f aca="false">RANK(Daten!N27,Daten!N$2:N$101,0)</f>
        <v>100</v>
      </c>
      <c r="O27" s="12" t="n">
        <f aca="false">RANK(Daten!O27,Daten!O$2:O$101,0)</f>
        <v>76</v>
      </c>
      <c r="P27" s="12" t="n">
        <f aca="false">RANK(Daten!P27,Daten!P$2:P$101,0)</f>
        <v>35</v>
      </c>
      <c r="Q27" s="13" t="n">
        <f aca="false">COUNTIF(B27:P27,"&lt;=3")</f>
        <v>0</v>
      </c>
      <c r="R27" s="12" t="n">
        <f aca="false">COUNTIF(B27:P27,1)</f>
        <v>0</v>
      </c>
    </row>
    <row r="28" customFormat="false" ht="15" hidden="false" customHeight="false" outlineLevel="0" collapsed="false">
      <c r="A28" s="3" t="str">
        <f aca="false">Daten!A28</f>
        <v>Jaxon Smith-Njigba</v>
      </c>
      <c r="B28" s="12" t="n">
        <f aca="false">RANK(Daten!B28,Daten!B$2:B$101,1)</f>
        <v>83</v>
      </c>
      <c r="C28" s="12" t="n">
        <f aca="false">RANK(Daten!C28,Daten!C$2:C$101,0)</f>
        <v>63</v>
      </c>
      <c r="D28" s="12" t="n">
        <f aca="false">RANK(Daten!D28,Daten!D$2:D$101,0)</f>
        <v>87</v>
      </c>
      <c r="E28" s="12" t="n">
        <f aca="false">RANK(Daten!E28,Daten!E$2:E$101,1)</f>
        <v>66</v>
      </c>
      <c r="F28" s="12" t="n">
        <f aca="false">RANK(Daten!F28,Daten!F$2:F$101,1)</f>
        <v>66</v>
      </c>
      <c r="G28" s="12" t="n">
        <f aca="false">RANK(Daten!G28,Daten!G$2:G$101,1)</f>
        <v>16</v>
      </c>
      <c r="H28" s="12" t="n">
        <f aca="false">RANK(Daten!H28,Daten!H$2:H$101,0)</f>
        <v>55</v>
      </c>
      <c r="I28" s="12" t="n">
        <f aca="false">RANK(Daten!I28,Daten!I$2:I$101,0)</f>
        <v>56</v>
      </c>
      <c r="J28" s="12" t="n">
        <f aca="false">RANK(Daten!J28,Daten!J$2:J$101,0)</f>
        <v>48</v>
      </c>
      <c r="K28" s="12" t="n">
        <f aca="false">RANK(Daten!K28,Daten!K$2:K$101,0)</f>
        <v>37</v>
      </c>
      <c r="L28" s="12" t="n">
        <f aca="false">RANK(Daten!L28,Daten!L$2:L$101,0)</f>
        <v>11</v>
      </c>
      <c r="M28" s="12" t="n">
        <f aca="false">RANK(Daten!M28,Daten!M$2:M$101,1)</f>
        <v>41</v>
      </c>
      <c r="N28" s="12" t="n">
        <f aca="false">RANK(Daten!N28,Daten!N$2:N$101,0)</f>
        <v>94</v>
      </c>
      <c r="O28" s="12" t="n">
        <f aca="false">RANK(Daten!O28,Daten!O$2:O$101,0)</f>
        <v>76</v>
      </c>
      <c r="P28" s="12" t="n">
        <f aca="false">RANK(Daten!P28,Daten!P$2:P$101,0)</f>
        <v>54</v>
      </c>
      <c r="Q28" s="13" t="n">
        <f aca="false">COUNTIF(B28:P28,"&lt;=3")</f>
        <v>0</v>
      </c>
      <c r="R28" s="12" t="n">
        <f aca="false">COUNTIF(B28:P28,1)</f>
        <v>0</v>
      </c>
    </row>
    <row r="29" customFormat="false" ht="15" hidden="false" customHeight="false" outlineLevel="0" collapsed="false">
      <c r="A29" s="3" t="str">
        <f aca="false">Daten!A29</f>
        <v>A.J. Brown</v>
      </c>
      <c r="B29" s="12" t="n">
        <f aca="false">RANK(Daten!B29,Daten!B$2:B$101,1)</f>
        <v>27</v>
      </c>
      <c r="C29" s="12" t="n">
        <f aca="false">RANK(Daten!C29,Daten!C$2:C$101,0)</f>
        <v>63</v>
      </c>
      <c r="D29" s="12" t="n">
        <f aca="false">RANK(Daten!D29,Daten!D$2:D$101,0)</f>
        <v>36</v>
      </c>
      <c r="E29" s="12" t="n">
        <f aca="false">RANK(Daten!E29,Daten!E$2:E$101,1)</f>
        <v>25</v>
      </c>
      <c r="F29" s="12" t="n">
        <f aca="false">RANK(Daten!F29,Daten!F$2:F$101,1)</f>
        <v>83</v>
      </c>
      <c r="G29" s="12" t="n">
        <f aca="false">RANK(Daten!G29,Daten!G$2:G$101,1)</f>
        <v>60</v>
      </c>
      <c r="H29" s="12" t="n">
        <f aca="false">RANK(Daten!H29,Daten!H$2:H$101,0)</f>
        <v>11</v>
      </c>
      <c r="I29" s="12" t="n">
        <f aca="false">RANK(Daten!I29,Daten!I$2:I$101,0)</f>
        <v>42</v>
      </c>
      <c r="J29" s="12" t="n">
        <f aca="false">RANK(Daten!J29,Daten!J$2:J$101,0)</f>
        <v>13</v>
      </c>
      <c r="K29" s="12" t="n">
        <f aca="false">RANK(Daten!K29,Daten!K$2:K$101,0)</f>
        <v>37</v>
      </c>
      <c r="L29" s="12" t="n">
        <f aca="false">RANK(Daten!L29,Daten!L$2:L$101,0)</f>
        <v>5</v>
      </c>
      <c r="M29" s="12" t="n">
        <f aca="false">RANK(Daten!M29,Daten!M$2:M$101,1)</f>
        <v>41</v>
      </c>
      <c r="N29" s="12" t="n">
        <f aca="false">RANK(Daten!N29,Daten!N$2:N$101,0)</f>
        <v>27</v>
      </c>
      <c r="O29" s="12" t="n">
        <f aca="false">RANK(Daten!O29,Daten!O$2:O$101,0)</f>
        <v>22</v>
      </c>
      <c r="P29" s="12" t="n">
        <f aca="false">RANK(Daten!P29,Daten!P$2:P$101,0)</f>
        <v>65</v>
      </c>
      <c r="Q29" s="13" t="n">
        <f aca="false">COUNTIF(B29:P29,"&lt;=3")</f>
        <v>0</v>
      </c>
      <c r="R29" s="12" t="n">
        <f aca="false">COUNTIF(B29:P29,1)</f>
        <v>0</v>
      </c>
    </row>
    <row r="30" customFormat="false" ht="15" hidden="false" customHeight="false" outlineLevel="0" collapsed="false">
      <c r="A30" s="3" t="str">
        <f aca="false">Daten!A30</f>
        <v>Malik Nabers</v>
      </c>
      <c r="B30" s="12" t="n">
        <f aca="false">RANK(Daten!B30,Daten!B$2:B$101,1)</f>
        <v>96</v>
      </c>
      <c r="C30" s="12" t="n">
        <f aca="false">RANK(Daten!C30,Daten!C$2:C$101,0)</f>
        <v>75</v>
      </c>
      <c r="D30" s="12" t="n">
        <f aca="false">RANK(Daten!D30,Daten!D$2:D$101,0)</f>
        <v>83</v>
      </c>
      <c r="E30" s="12" t="n">
        <f aca="false">RANK(Daten!E30,Daten!E$2:E$101,1)</f>
        <v>79</v>
      </c>
      <c r="F30" s="12" t="n">
        <f aca="false">RANK(Daten!F30,Daten!F$2:F$101,1)</f>
        <v>31</v>
      </c>
      <c r="G30" s="12" t="n">
        <f aca="false">RANK(Daten!G30,Daten!G$2:G$101,1)</f>
        <v>3</v>
      </c>
      <c r="H30" s="12" t="n">
        <f aca="false">RANK(Daten!H30,Daten!H$2:H$101,0)</f>
        <v>82</v>
      </c>
      <c r="I30" s="12" t="n">
        <f aca="false">RANK(Daten!I30,Daten!I$2:I$101,0)</f>
        <v>70</v>
      </c>
      <c r="J30" s="12" t="n">
        <f aca="false">RANK(Daten!J30,Daten!J$2:J$101,0)</f>
        <v>48</v>
      </c>
      <c r="K30" s="12" t="n">
        <f aca="false">RANK(Daten!K30,Daten!K$2:K$101,0)</f>
        <v>37</v>
      </c>
      <c r="L30" s="12" t="n">
        <f aca="false">RANK(Daten!L30,Daten!L$2:L$101,0)</f>
        <v>30</v>
      </c>
      <c r="M30" s="12" t="n">
        <f aca="false">RANK(Daten!M30,Daten!M$2:M$101,1)</f>
        <v>2</v>
      </c>
      <c r="N30" s="12" t="n">
        <f aca="false">RANK(Daten!N30,Daten!N$2:N$101,0)</f>
        <v>77</v>
      </c>
      <c r="O30" s="12" t="n">
        <f aca="false">RANK(Daten!O30,Daten!O$2:O$101,0)</f>
        <v>54</v>
      </c>
      <c r="P30" s="12" t="n">
        <f aca="false">RANK(Daten!P30,Daten!P$2:P$101,0)</f>
        <v>70</v>
      </c>
      <c r="Q30" s="13" t="n">
        <f aca="false">COUNTIF(B30:P30,"&lt;=3")</f>
        <v>2</v>
      </c>
      <c r="R30" s="12" t="n">
        <f aca="false">COUNTIF(B30:P30,1)</f>
        <v>0</v>
      </c>
    </row>
    <row r="31" customFormat="false" ht="15" hidden="false" customHeight="false" outlineLevel="0" collapsed="false">
      <c r="A31" s="3" t="str">
        <f aca="false">Daten!A31</f>
        <v>George Kittle</v>
      </c>
      <c r="B31" s="12" t="n">
        <f aca="false">RANK(Daten!B31,Daten!B$2:B$101,1)</f>
        <v>7</v>
      </c>
      <c r="C31" s="12" t="n">
        <f aca="false">RANK(Daten!C31,Daten!C$2:C$101,0)</f>
        <v>18</v>
      </c>
      <c r="D31" s="12" t="n">
        <f aca="false">RANK(Daten!D31,Daten!D$2:D$101,0)</f>
        <v>18</v>
      </c>
      <c r="E31" s="12" t="n">
        <f aca="false">RANK(Daten!E31,Daten!E$2:E$101,1)</f>
        <v>11</v>
      </c>
      <c r="F31" s="12" t="n">
        <f aca="false">RANK(Daten!F31,Daten!F$2:F$101,1)</f>
        <v>97</v>
      </c>
      <c r="G31" s="12" t="n">
        <f aca="false">RANK(Daten!G31,Daten!G$2:G$101,1)</f>
        <v>97</v>
      </c>
      <c r="H31" s="12" t="n">
        <f aca="false">RANK(Daten!H31,Daten!H$2:H$101,0)</f>
        <v>5</v>
      </c>
      <c r="I31" s="12" t="n">
        <f aca="false">RANK(Daten!I31,Daten!I$2:I$101,0)</f>
        <v>5</v>
      </c>
      <c r="J31" s="12" t="n">
        <f aca="false">RANK(Daten!J31,Daten!J$2:J$101,0)</f>
        <v>5</v>
      </c>
      <c r="K31" s="12" t="n">
        <f aca="false">RANK(Daten!K31,Daten!K$2:K$101,0)</f>
        <v>10</v>
      </c>
      <c r="L31" s="12" t="n">
        <f aca="false">RANK(Daten!L31,Daten!L$2:L$101,0)</f>
        <v>5</v>
      </c>
      <c r="M31" s="12" t="n">
        <f aca="false">RANK(Daten!M31,Daten!M$2:M$101,1)</f>
        <v>87</v>
      </c>
      <c r="N31" s="12" t="n">
        <f aca="false">RANK(Daten!N31,Daten!N$2:N$101,0)</f>
        <v>52</v>
      </c>
      <c r="O31" s="12" t="n">
        <f aca="false">RANK(Daten!O31,Daten!O$2:O$101,0)</f>
        <v>8</v>
      </c>
      <c r="P31" s="12" t="n">
        <f aca="false">RANK(Daten!P31,Daten!P$2:P$101,0)</f>
        <v>26</v>
      </c>
      <c r="Q31" s="13" t="n">
        <f aca="false">COUNTIF(B31:P31,"&lt;=3")</f>
        <v>0</v>
      </c>
      <c r="R31" s="12" t="n">
        <f aca="false">COUNTIF(B31:P31,1)</f>
        <v>0</v>
      </c>
    </row>
    <row r="32" customFormat="false" ht="15" hidden="false" customHeight="false" outlineLevel="0" collapsed="false">
      <c r="A32" s="3" t="str">
        <f aca="false">Daten!A32</f>
        <v>Brock Bowers</v>
      </c>
      <c r="B32" s="12" t="n">
        <f aca="false">RANK(Daten!B32,Daten!B$2:B$101,1)</f>
        <v>92</v>
      </c>
      <c r="C32" s="12" t="n">
        <f aca="false">RANK(Daten!C32,Daten!C$2:C$101,0)</f>
        <v>37</v>
      </c>
      <c r="D32" s="12" t="n">
        <f aca="false">RANK(Daten!D32,Daten!D$2:D$101,0)</f>
        <v>27</v>
      </c>
      <c r="E32" s="12" t="n">
        <f aca="false">RANK(Daten!E32,Daten!E$2:E$101,1)</f>
        <v>79</v>
      </c>
      <c r="F32" s="12" t="n">
        <f aca="false">RANK(Daten!F32,Daten!F$2:F$101,1)</f>
        <v>57</v>
      </c>
      <c r="G32" s="12" t="n">
        <f aca="false">RANK(Daten!G32,Daten!G$2:G$101,1)</f>
        <v>30</v>
      </c>
      <c r="H32" s="12" t="n">
        <f aca="false">RANK(Daten!H32,Daten!H$2:H$101,0)</f>
        <v>82</v>
      </c>
      <c r="I32" s="12" t="n">
        <f aca="false">RANK(Daten!I32,Daten!I$2:I$101,0)</f>
        <v>70</v>
      </c>
      <c r="J32" s="12" t="n">
        <f aca="false">RANK(Daten!J32,Daten!J$2:J$101,0)</f>
        <v>48</v>
      </c>
      <c r="K32" s="12" t="n">
        <f aca="false">RANK(Daten!K32,Daten!K$2:K$101,0)</f>
        <v>22</v>
      </c>
      <c r="L32" s="12" t="n">
        <f aca="false">RANK(Daten!L32,Daten!L$2:L$101,0)</f>
        <v>30</v>
      </c>
      <c r="M32" s="12" t="n">
        <f aca="false">RANK(Daten!M32,Daten!M$2:M$101,1)</f>
        <v>92</v>
      </c>
      <c r="N32" s="12" t="n">
        <f aca="false">RANK(Daten!N32,Daten!N$2:N$101,0)</f>
        <v>88</v>
      </c>
      <c r="O32" s="12" t="n">
        <f aca="false">RANK(Daten!O32,Daten!O$2:O$101,0)</f>
        <v>54</v>
      </c>
      <c r="P32" s="12" t="n">
        <f aca="false">RANK(Daten!P32,Daten!P$2:P$101,0)</f>
        <v>45</v>
      </c>
      <c r="Q32" s="13" t="n">
        <f aca="false">COUNTIF(B32:P32,"&lt;=3")</f>
        <v>0</v>
      </c>
      <c r="R32" s="12" t="n">
        <f aca="false">COUNTIF(B32:P32,1)</f>
        <v>0</v>
      </c>
    </row>
    <row r="33" customFormat="false" ht="15" hidden="false" customHeight="false" outlineLevel="0" collapsed="false">
      <c r="A33" s="3" t="str">
        <f aca="false">Daten!A33</f>
        <v>Trey McBride</v>
      </c>
      <c r="B33" s="12" t="n">
        <f aca="false">RANK(Daten!B33,Daten!B$2:B$101,1)</f>
        <v>53</v>
      </c>
      <c r="C33" s="12" t="n">
        <f aca="false">RANK(Daten!C33,Daten!C$2:C$101,0)</f>
        <v>18</v>
      </c>
      <c r="D33" s="12" t="n">
        <f aca="false">RANK(Daten!D33,Daten!D$2:D$101,0)</f>
        <v>20</v>
      </c>
      <c r="E33" s="12" t="n">
        <f aca="false">RANK(Daten!E33,Daten!E$2:E$101,1)</f>
        <v>55</v>
      </c>
      <c r="F33" s="12" t="n">
        <f aca="false">RANK(Daten!F33,Daten!F$2:F$101,1)</f>
        <v>86</v>
      </c>
      <c r="G33" s="12" t="n">
        <f aca="false">RANK(Daten!G33,Daten!G$2:G$101,1)</f>
        <v>79</v>
      </c>
      <c r="H33" s="12" t="n">
        <f aca="false">RANK(Daten!H33,Daten!H$2:H$101,0)</f>
        <v>82</v>
      </c>
      <c r="I33" s="12" t="n">
        <f aca="false">RANK(Daten!I33,Daten!I$2:I$101,0)</f>
        <v>42</v>
      </c>
      <c r="J33" s="12" t="n">
        <f aca="false">RANK(Daten!J33,Daten!J$2:J$101,0)</f>
        <v>48</v>
      </c>
      <c r="K33" s="12" t="n">
        <f aca="false">RANK(Daten!K33,Daten!K$2:K$101,0)</f>
        <v>37</v>
      </c>
      <c r="L33" s="12" t="n">
        <f aca="false">RANK(Daten!L33,Daten!L$2:L$101,0)</f>
        <v>30</v>
      </c>
      <c r="M33" s="12" t="n">
        <f aca="false">RANK(Daten!M33,Daten!M$2:M$101,1)</f>
        <v>87</v>
      </c>
      <c r="N33" s="12" t="n">
        <f aca="false">RANK(Daten!N33,Daten!N$2:N$101,0)</f>
        <v>53</v>
      </c>
      <c r="O33" s="12" t="n">
        <f aca="false">RANK(Daten!O33,Daten!O$2:O$101,0)</f>
        <v>22</v>
      </c>
      <c r="P33" s="12" t="n">
        <f aca="false">RANK(Daten!P33,Daten!P$2:P$101,0)</f>
        <v>80</v>
      </c>
      <c r="Q33" s="13" t="n">
        <f aca="false">COUNTIF(B33:P33,"&lt;=3")</f>
        <v>0</v>
      </c>
      <c r="R33" s="12" t="n">
        <f aca="false">COUNTIF(B33:P33,1)</f>
        <v>0</v>
      </c>
    </row>
    <row r="34" customFormat="false" ht="15" hidden="false" customHeight="false" outlineLevel="0" collapsed="false">
      <c r="A34" s="3" t="str">
        <f aca="false">Daten!A34</f>
        <v>Baker Mayfield</v>
      </c>
      <c r="B34" s="12" t="n">
        <f aca="false">RANK(Daten!B34,Daten!B$2:B$101,1)</f>
        <v>13</v>
      </c>
      <c r="C34" s="12" t="n">
        <f aca="false">RANK(Daten!C34,Daten!C$2:C$101,0)</f>
        <v>63</v>
      </c>
      <c r="D34" s="12" t="n">
        <f aca="false">RANK(Daten!D34,Daten!D$2:D$101,0)</f>
        <v>54</v>
      </c>
      <c r="E34" s="12" t="n">
        <f aca="false">RANK(Daten!E34,Daten!E$2:E$101,1)</f>
        <v>16</v>
      </c>
      <c r="F34" s="12" t="n">
        <f aca="false">RANK(Daten!F34,Daten!F$2:F$101,1)</f>
        <v>1</v>
      </c>
      <c r="G34" s="12" t="n">
        <f aca="false">RANK(Daten!G34,Daten!G$2:G$101,1)</f>
        <v>93</v>
      </c>
      <c r="H34" s="12" t="n">
        <f aca="false">RANK(Daten!H34,Daten!H$2:H$101,0)</f>
        <v>34</v>
      </c>
      <c r="I34" s="12" t="n">
        <f aca="false">RANK(Daten!I34,Daten!I$2:I$101,0)</f>
        <v>56</v>
      </c>
      <c r="J34" s="12" t="n">
        <f aca="false">RANK(Daten!J34,Daten!J$2:J$101,0)</f>
        <v>48</v>
      </c>
      <c r="K34" s="12" t="n">
        <f aca="false">RANK(Daten!K34,Daten!K$2:K$101,0)</f>
        <v>37</v>
      </c>
      <c r="L34" s="12" t="n">
        <f aca="false">RANK(Daten!L34,Daten!L$2:L$101,0)</f>
        <v>30</v>
      </c>
      <c r="M34" s="12" t="n">
        <f aca="false">RANK(Daten!M34,Daten!M$2:M$101,1)</f>
        <v>23</v>
      </c>
      <c r="N34" s="12" t="n">
        <f aca="false">RANK(Daten!N34,Daten!N$2:N$101,0)</f>
        <v>24</v>
      </c>
      <c r="O34" s="12" t="n">
        <f aca="false">RANK(Daten!O34,Daten!O$2:O$101,0)</f>
        <v>76</v>
      </c>
      <c r="P34" s="12" t="n">
        <f aca="false">RANK(Daten!P34,Daten!P$2:P$101,0)</f>
        <v>8</v>
      </c>
      <c r="Q34" s="13" t="n">
        <f aca="false">COUNTIF(B34:P34,"&lt;=3")</f>
        <v>1</v>
      </c>
      <c r="R34" s="12" t="n">
        <f aca="false">COUNTIF(B34:P34,1)</f>
        <v>1</v>
      </c>
    </row>
    <row r="35" customFormat="false" ht="15" hidden="false" customHeight="false" outlineLevel="0" collapsed="false">
      <c r="A35" s="3" t="str">
        <f aca="false">Daten!A35</f>
        <v>Kyler Murray</v>
      </c>
      <c r="B35" s="12" t="n">
        <f aca="false">RANK(Daten!B35,Daten!B$2:B$101,1)</f>
        <v>29</v>
      </c>
      <c r="C35" s="12" t="n">
        <f aca="false">RANK(Daten!C35,Daten!C$2:C$101,0)</f>
        <v>89</v>
      </c>
      <c r="D35" s="12" t="n">
        <f aca="false">RANK(Daten!D35,Daten!D$2:D$101,0)</f>
        <v>77</v>
      </c>
      <c r="E35" s="12" t="n">
        <f aca="false">RANK(Daten!E35,Daten!E$2:E$101,1)</f>
        <v>25</v>
      </c>
      <c r="F35" s="12" t="n">
        <f aca="false">RANK(Daten!F35,Daten!F$2:F$101,1)</f>
        <v>1</v>
      </c>
      <c r="G35" s="12" t="n">
        <f aca="false">RANK(Daten!G35,Daten!G$2:G$101,1)</f>
        <v>51</v>
      </c>
      <c r="H35" s="12" t="n">
        <f aca="false">RANK(Daten!H35,Daten!H$2:H$101,0)</f>
        <v>77</v>
      </c>
      <c r="I35" s="12" t="n">
        <f aca="false">RANK(Daten!I35,Daten!I$2:I$101,0)</f>
        <v>14</v>
      </c>
      <c r="J35" s="12" t="n">
        <f aca="false">RANK(Daten!J35,Daten!J$2:J$101,0)</f>
        <v>37</v>
      </c>
      <c r="K35" s="12" t="n">
        <f aca="false">RANK(Daten!K35,Daten!K$2:K$101,0)</f>
        <v>37</v>
      </c>
      <c r="L35" s="12" t="n">
        <f aca="false">RANK(Daten!L35,Daten!L$2:L$101,0)</f>
        <v>30</v>
      </c>
      <c r="M35" s="12" t="n">
        <f aca="false">RANK(Daten!M35,Daten!M$2:M$101,1)</f>
        <v>2</v>
      </c>
      <c r="N35" s="12" t="n">
        <f aca="false">RANK(Daten!N35,Daten!N$2:N$101,0)</f>
        <v>13</v>
      </c>
      <c r="O35" s="12" t="n">
        <f aca="false">RANK(Daten!O35,Daten!O$2:O$101,0)</f>
        <v>22</v>
      </c>
      <c r="P35" s="12" t="n">
        <f aca="false">RANK(Daten!P35,Daten!P$2:P$101,0)</f>
        <v>55</v>
      </c>
      <c r="Q35" s="13" t="n">
        <f aca="false">COUNTIF(B35:P35,"&lt;=3")</f>
        <v>2</v>
      </c>
      <c r="R35" s="12" t="n">
        <f aca="false">COUNTIF(B35:P35,1)</f>
        <v>1</v>
      </c>
    </row>
    <row r="36" customFormat="false" ht="15" hidden="false" customHeight="false" outlineLevel="0" collapsed="false">
      <c r="A36" s="3" t="str">
        <f aca="false">Daten!A36</f>
        <v>Trevor Lawrence</v>
      </c>
      <c r="B36" s="12" t="n">
        <f aca="false">RANK(Daten!B36,Daten!B$2:B$101,1)</f>
        <v>51</v>
      </c>
      <c r="C36" s="12" t="n">
        <f aca="false">RANK(Daten!C36,Daten!C$2:C$101,0)</f>
        <v>2</v>
      </c>
      <c r="D36" s="12" t="n">
        <f aca="false">RANK(Daten!D36,Daten!D$2:D$101,0)</f>
        <v>44</v>
      </c>
      <c r="E36" s="12" t="n">
        <f aca="false">RANK(Daten!E36,Daten!E$2:E$101,1)</f>
        <v>44</v>
      </c>
      <c r="F36" s="12" t="n">
        <f aca="false">RANK(Daten!F36,Daten!F$2:F$101,1)</f>
        <v>1</v>
      </c>
      <c r="G36" s="12" t="n">
        <f aca="false">RANK(Daten!G36,Daten!G$2:G$101,1)</f>
        <v>40</v>
      </c>
      <c r="H36" s="12" t="n">
        <f aca="false">RANK(Daten!H36,Daten!H$2:H$101,0)</f>
        <v>63</v>
      </c>
      <c r="I36" s="12" t="n">
        <f aca="false">RANK(Daten!I36,Daten!I$2:I$101,0)</f>
        <v>30</v>
      </c>
      <c r="J36" s="12" t="n">
        <f aca="false">RANK(Daten!J36,Daten!J$2:J$101,0)</f>
        <v>48</v>
      </c>
      <c r="K36" s="12" t="n">
        <f aca="false">RANK(Daten!K36,Daten!K$2:K$101,0)</f>
        <v>37</v>
      </c>
      <c r="L36" s="12" t="n">
        <f aca="false">RANK(Daten!L36,Daten!L$2:L$101,0)</f>
        <v>30</v>
      </c>
      <c r="M36" s="12" t="n">
        <f aca="false">RANK(Daten!M36,Daten!M$2:M$101,1)</f>
        <v>54</v>
      </c>
      <c r="N36" s="12" t="n">
        <f aca="false">RANK(Daten!N36,Daten!N$2:N$101,0)</f>
        <v>2</v>
      </c>
      <c r="O36" s="12" t="n">
        <f aca="false">RANK(Daten!O36,Daten!O$2:O$101,0)</f>
        <v>2</v>
      </c>
      <c r="P36" s="12" t="n">
        <f aca="false">RANK(Daten!P36,Daten!P$2:P$101,0)</f>
        <v>29</v>
      </c>
      <c r="Q36" s="13" t="n">
        <f aca="false">COUNTIF(B36:P36,"&lt;=3")</f>
        <v>4</v>
      </c>
      <c r="R36" s="12" t="n">
        <f aca="false">COUNTIF(B36:P36,1)</f>
        <v>1</v>
      </c>
    </row>
    <row r="37" customFormat="false" ht="15" hidden="false" customHeight="false" outlineLevel="0" collapsed="false">
      <c r="A37" s="3" t="str">
        <f aca="false">Daten!A37</f>
        <v>Tua Tagovailoa</v>
      </c>
      <c r="B37" s="12" t="n">
        <f aca="false">RANK(Daten!B37,Daten!B$2:B$101,1)</f>
        <v>35</v>
      </c>
      <c r="C37" s="12" t="n">
        <f aca="false">RANK(Daten!C37,Daten!C$2:C$101,0)</f>
        <v>63</v>
      </c>
      <c r="D37" s="12" t="n">
        <f aca="false">RANK(Daten!D37,Daten!D$2:D$101,0)</f>
        <v>38</v>
      </c>
      <c r="E37" s="12" t="n">
        <f aca="false">RANK(Daten!E37,Daten!E$2:E$101,1)</f>
        <v>34</v>
      </c>
      <c r="F37" s="12" t="n">
        <f aca="false">RANK(Daten!F37,Daten!F$2:F$101,1)</f>
        <v>27</v>
      </c>
      <c r="G37" s="12" t="n">
        <f aca="false">RANK(Daten!G37,Daten!G$2:G$101,1)</f>
        <v>74</v>
      </c>
      <c r="H37" s="12" t="n">
        <f aca="false">RANK(Daten!H37,Daten!H$2:H$101,0)</f>
        <v>63</v>
      </c>
      <c r="I37" s="12" t="n">
        <f aca="false">RANK(Daten!I37,Daten!I$2:I$101,0)</f>
        <v>19</v>
      </c>
      <c r="J37" s="12" t="n">
        <f aca="false">RANK(Daten!J37,Daten!J$2:J$101,0)</f>
        <v>48</v>
      </c>
      <c r="K37" s="12" t="n">
        <f aca="false">RANK(Daten!K37,Daten!K$2:K$101,0)</f>
        <v>37</v>
      </c>
      <c r="L37" s="12" t="n">
        <f aca="false">RANK(Daten!L37,Daten!L$2:L$101,0)</f>
        <v>30</v>
      </c>
      <c r="M37" s="12" t="n">
        <f aca="false">RANK(Daten!M37,Daten!M$2:M$101,1)</f>
        <v>2</v>
      </c>
      <c r="N37" s="12" t="n">
        <f aca="false">RANK(Daten!N37,Daten!N$2:N$101,0)</f>
        <v>6</v>
      </c>
      <c r="O37" s="12" t="n">
        <f aca="false">RANK(Daten!O37,Daten!O$2:O$101,0)</f>
        <v>22</v>
      </c>
      <c r="P37" s="12" t="n">
        <f aca="false">RANK(Daten!P37,Daten!P$2:P$101,0)</f>
        <v>72</v>
      </c>
      <c r="Q37" s="13" t="n">
        <f aca="false">COUNTIF(B37:P37,"&lt;=3")</f>
        <v>1</v>
      </c>
      <c r="R37" s="12" t="n">
        <f aca="false">COUNTIF(B37:P37,1)</f>
        <v>0</v>
      </c>
    </row>
    <row r="38" customFormat="false" ht="15" hidden="false" customHeight="false" outlineLevel="0" collapsed="false">
      <c r="A38" s="3" t="str">
        <f aca="false">Daten!A38</f>
        <v>Matthew Stafford</v>
      </c>
      <c r="B38" s="12" t="n">
        <f aca="false">RANK(Daten!B38,Daten!B$2:B$101,1)</f>
        <v>1</v>
      </c>
      <c r="C38" s="12" t="n">
        <f aca="false">RANK(Daten!C38,Daten!C$2:C$101,0)</f>
        <v>37</v>
      </c>
      <c r="D38" s="12" t="n">
        <f aca="false">RANK(Daten!D38,Daten!D$2:D$101,0)</f>
        <v>44</v>
      </c>
      <c r="E38" s="12" t="n">
        <f aca="false">RANK(Daten!E38,Daten!E$2:E$101,1)</f>
        <v>1</v>
      </c>
      <c r="F38" s="12" t="n">
        <f aca="false">RANK(Daten!F38,Daten!F$2:F$101,1)</f>
        <v>1</v>
      </c>
      <c r="G38" s="12" t="n">
        <f aca="false">RANK(Daten!G38,Daten!G$2:G$101,1)</f>
        <v>19</v>
      </c>
      <c r="H38" s="12" t="n">
        <f aca="false">RANK(Daten!H38,Daten!H$2:H$101,0)</f>
        <v>7</v>
      </c>
      <c r="I38" s="12" t="n">
        <f aca="false">RANK(Daten!I38,Daten!I$2:I$101,0)</f>
        <v>30</v>
      </c>
      <c r="J38" s="12" t="n">
        <f aca="false">RANK(Daten!J38,Daten!J$2:J$101,0)</f>
        <v>37</v>
      </c>
      <c r="K38" s="12" t="n">
        <f aca="false">RANK(Daten!K38,Daten!K$2:K$101,0)</f>
        <v>37</v>
      </c>
      <c r="L38" s="12" t="n">
        <f aca="false">RANK(Daten!L38,Daten!L$2:L$101,0)</f>
        <v>11</v>
      </c>
      <c r="M38" s="12" t="n">
        <f aca="false">RANK(Daten!M38,Daten!M$2:M$101,1)</f>
        <v>31</v>
      </c>
      <c r="N38" s="12" t="n">
        <f aca="false">RANK(Daten!N38,Daten!N$2:N$101,0)</f>
        <v>17</v>
      </c>
      <c r="O38" s="12" t="n">
        <f aca="false">RANK(Daten!O38,Daten!O$2:O$101,0)</f>
        <v>76</v>
      </c>
      <c r="P38" s="12" t="n">
        <f aca="false">RANK(Daten!P38,Daten!P$2:P$101,0)</f>
        <v>21</v>
      </c>
      <c r="Q38" s="13" t="n">
        <f aca="false">COUNTIF(B38:P38,"&lt;=3")</f>
        <v>3</v>
      </c>
      <c r="R38" s="12" t="n">
        <f aca="false">COUNTIF(B38:P38,1)</f>
        <v>3</v>
      </c>
    </row>
    <row r="39" customFormat="false" ht="15" hidden="false" customHeight="false" outlineLevel="0" collapsed="false">
      <c r="A39" s="3" t="str">
        <f aca="false">Daten!A39</f>
        <v>Bryce Young</v>
      </c>
      <c r="B39" s="12" t="n">
        <f aca="false">RANK(Daten!B39,Daten!B$2:B$101,1)</f>
        <v>75</v>
      </c>
      <c r="C39" s="12" t="n">
        <f aca="false">RANK(Daten!C39,Daten!C$2:C$101,0)</f>
        <v>89</v>
      </c>
      <c r="D39" s="12" t="n">
        <f aca="false">RANK(Daten!D39,Daten!D$2:D$101,0)</f>
        <v>79</v>
      </c>
      <c r="E39" s="12" t="n">
        <f aca="false">RANK(Daten!E39,Daten!E$2:E$101,1)</f>
        <v>66</v>
      </c>
      <c r="F39" s="12" t="n">
        <f aca="false">RANK(Daten!F39,Daten!F$2:F$101,1)</f>
        <v>1</v>
      </c>
      <c r="G39" s="12" t="n">
        <f aca="false">RANK(Daten!G39,Daten!G$2:G$101,1)</f>
        <v>55</v>
      </c>
      <c r="H39" s="12" t="n">
        <f aca="false">RANK(Daten!H39,Daten!H$2:H$101,0)</f>
        <v>82</v>
      </c>
      <c r="I39" s="12" t="n">
        <f aca="false">RANK(Daten!I39,Daten!I$2:I$101,0)</f>
        <v>56</v>
      </c>
      <c r="J39" s="12" t="n">
        <f aca="false">RANK(Daten!J39,Daten!J$2:J$101,0)</f>
        <v>75</v>
      </c>
      <c r="K39" s="12" t="n">
        <f aca="false">RANK(Daten!K39,Daten!K$2:K$101,0)</f>
        <v>37</v>
      </c>
      <c r="L39" s="12" t="n">
        <f aca="false">RANK(Daten!L39,Daten!L$2:L$101,0)</f>
        <v>30</v>
      </c>
      <c r="M39" s="12" t="n">
        <f aca="false">RANK(Daten!M39,Daten!M$2:M$101,1)</f>
        <v>31</v>
      </c>
      <c r="N39" s="12" t="n">
        <f aca="false">RANK(Daten!N39,Daten!N$2:N$101,0)</f>
        <v>69</v>
      </c>
      <c r="O39" s="12" t="n">
        <f aca="false">RANK(Daten!O39,Daten!O$2:O$101,0)</f>
        <v>76</v>
      </c>
      <c r="P39" s="12" t="n">
        <f aca="false">RANK(Daten!P39,Daten!P$2:P$101,0)</f>
        <v>3</v>
      </c>
      <c r="Q39" s="13" t="n">
        <f aca="false">COUNTIF(B39:P39,"&lt;=3")</f>
        <v>2</v>
      </c>
      <c r="R39" s="12" t="n">
        <f aca="false">COUNTIF(B39:P39,1)</f>
        <v>1</v>
      </c>
    </row>
    <row r="40" customFormat="false" ht="15" hidden="false" customHeight="false" outlineLevel="0" collapsed="false">
      <c r="A40" s="3" t="str">
        <f aca="false">Daten!A40</f>
        <v>Michael Penix Jr.</v>
      </c>
      <c r="B40" s="12" t="n">
        <f aca="false">RANK(Daten!B40,Daten!B$2:B$101,1)</f>
        <v>58</v>
      </c>
      <c r="C40" s="12" t="n">
        <f aca="false">RANK(Daten!C40,Daten!C$2:C$101,0)</f>
        <v>53</v>
      </c>
      <c r="D40" s="12" t="n">
        <f aca="false">RANK(Daten!D40,Daten!D$2:D$101,0)</f>
        <v>54</v>
      </c>
      <c r="E40" s="12" t="n">
        <f aca="false">RANK(Daten!E40,Daten!E$2:E$101,1)</f>
        <v>79</v>
      </c>
      <c r="F40" s="12" t="n">
        <f aca="false">RANK(Daten!F40,Daten!F$2:F$101,1)</f>
        <v>39</v>
      </c>
      <c r="G40" s="12" t="n">
        <f aca="false">RANK(Daten!G40,Daten!G$2:G$101,1)</f>
        <v>99</v>
      </c>
      <c r="H40" s="12" t="n">
        <f aca="false">RANK(Daten!H40,Daten!H$2:H$101,0)</f>
        <v>82</v>
      </c>
      <c r="I40" s="12" t="n">
        <f aca="false">RANK(Daten!I40,Daten!I$2:I$101,0)</f>
        <v>70</v>
      </c>
      <c r="J40" s="12" t="n">
        <f aca="false">RANK(Daten!J40,Daten!J$2:J$101,0)</f>
        <v>75</v>
      </c>
      <c r="K40" s="12" t="n">
        <f aca="false">RANK(Daten!K40,Daten!K$2:K$101,0)</f>
        <v>37</v>
      </c>
      <c r="L40" s="12" t="n">
        <f aca="false">RANK(Daten!L40,Daten!L$2:L$101,0)</f>
        <v>30</v>
      </c>
      <c r="M40" s="12" t="n">
        <f aca="false">RANK(Daten!M40,Daten!M$2:M$101,1)</f>
        <v>31</v>
      </c>
      <c r="N40" s="12" t="n">
        <f aca="false">RANK(Daten!N40,Daten!N$2:N$101,0)</f>
        <v>79</v>
      </c>
      <c r="O40" s="12" t="n">
        <f aca="false">RANK(Daten!O40,Daten!O$2:O$101,0)</f>
        <v>54</v>
      </c>
      <c r="P40" s="12" t="n">
        <f aca="false">RANK(Daten!P40,Daten!P$2:P$101,0)</f>
        <v>21</v>
      </c>
      <c r="Q40" s="13" t="n">
        <f aca="false">COUNTIF(B40:P40,"&lt;=3")</f>
        <v>0</v>
      </c>
      <c r="R40" s="12" t="n">
        <f aca="false">COUNTIF(B40:P40,1)</f>
        <v>0</v>
      </c>
    </row>
    <row r="41" customFormat="false" ht="15" hidden="false" customHeight="false" outlineLevel="0" collapsed="false">
      <c r="A41" s="3" t="str">
        <f aca="false">Daten!A41</f>
        <v>J.J. McCarthy</v>
      </c>
      <c r="B41" s="12" t="n">
        <f aca="false">RANK(Daten!B41,Daten!B$2:B$101,1)</f>
        <v>93</v>
      </c>
      <c r="C41" s="12" t="n">
        <f aca="false">RANK(Daten!C41,Daten!C$2:C$101,0)</f>
        <v>37</v>
      </c>
      <c r="D41" s="12" t="n">
        <f aca="false">RANK(Daten!D41,Daten!D$2:D$101,0)</f>
        <v>54</v>
      </c>
      <c r="E41" s="12" t="n">
        <f aca="false">RANK(Daten!E41,Daten!E$2:E$101,1)</f>
        <v>79</v>
      </c>
      <c r="F41" s="12" t="n">
        <f aca="false">RANK(Daten!F41,Daten!F$2:F$101,1)</f>
        <v>49</v>
      </c>
      <c r="G41" s="12" t="n">
        <f aca="false">RANK(Daten!G41,Daten!G$2:G$101,1)</f>
        <v>23</v>
      </c>
      <c r="H41" s="12" t="n">
        <f aca="false">RANK(Daten!H41,Daten!H$2:H$101,0)</f>
        <v>82</v>
      </c>
      <c r="I41" s="12" t="n">
        <f aca="false">RANK(Daten!I41,Daten!I$2:I$101,0)</f>
        <v>70</v>
      </c>
      <c r="J41" s="12" t="n">
        <f aca="false">RANK(Daten!J41,Daten!J$2:J$101,0)</f>
        <v>75</v>
      </c>
      <c r="K41" s="12" t="n">
        <f aca="false">RANK(Daten!K41,Daten!K$2:K$101,0)</f>
        <v>37</v>
      </c>
      <c r="L41" s="12" t="n">
        <f aca="false">RANK(Daten!L41,Daten!L$2:L$101,0)</f>
        <v>30</v>
      </c>
      <c r="M41" s="12" t="n">
        <f aca="false">RANK(Daten!M41,Daten!M$2:M$101,1)</f>
        <v>31</v>
      </c>
      <c r="N41" s="12" t="n">
        <f aca="false">RANK(Daten!N41,Daten!N$2:N$101,0)</f>
        <v>84</v>
      </c>
      <c r="O41" s="12" t="n">
        <f aca="false">RANK(Daten!O41,Daten!O$2:O$101,0)</f>
        <v>54</v>
      </c>
      <c r="P41" s="12" t="n">
        <f aca="false">RANK(Daten!P41,Daten!P$2:P$101,0)</f>
        <v>77</v>
      </c>
      <c r="Q41" s="13" t="n">
        <f aca="false">COUNTIF(B41:P41,"&lt;=3")</f>
        <v>0</v>
      </c>
      <c r="R41" s="12" t="n">
        <f aca="false">COUNTIF(B41:P41,1)</f>
        <v>0</v>
      </c>
    </row>
    <row r="42" customFormat="false" ht="15" hidden="false" customHeight="false" outlineLevel="0" collapsed="false">
      <c r="A42" s="3" t="str">
        <f aca="false">Daten!A42</f>
        <v>Sam Darnold</v>
      </c>
      <c r="B42" s="12" t="n">
        <f aca="false">RANK(Daten!B42,Daten!B$2:B$101,1)</f>
        <v>26</v>
      </c>
      <c r="C42" s="12" t="n">
        <f aca="false">RANK(Daten!C42,Daten!C$2:C$101,0)</f>
        <v>37</v>
      </c>
      <c r="D42" s="12" t="n">
        <f aca="false">RANK(Daten!D42,Daten!D$2:D$101,0)</f>
        <v>38</v>
      </c>
      <c r="E42" s="12" t="n">
        <f aca="false">RANK(Daten!E42,Daten!E$2:E$101,1)</f>
        <v>16</v>
      </c>
      <c r="F42" s="12" t="n">
        <f aca="false">RANK(Daten!F42,Daten!F$2:F$101,1)</f>
        <v>18</v>
      </c>
      <c r="G42" s="12" t="n">
        <f aca="false">RANK(Daten!G42,Daten!G$2:G$101,1)</f>
        <v>8</v>
      </c>
      <c r="H42" s="12" t="n">
        <f aca="false">RANK(Daten!H42,Daten!H$2:H$101,0)</f>
        <v>42</v>
      </c>
      <c r="I42" s="12" t="n">
        <f aca="false">RANK(Daten!I42,Daten!I$2:I$101,0)</f>
        <v>86</v>
      </c>
      <c r="J42" s="12" t="n">
        <f aca="false">RANK(Daten!J42,Daten!J$2:J$101,0)</f>
        <v>48</v>
      </c>
      <c r="K42" s="12" t="n">
        <f aca="false">RANK(Daten!K42,Daten!K$2:K$101,0)</f>
        <v>37</v>
      </c>
      <c r="L42" s="12" t="n">
        <f aca="false">RANK(Daten!L42,Daten!L$2:L$101,0)</f>
        <v>11</v>
      </c>
      <c r="M42" s="12" t="n">
        <f aca="false">RANK(Daten!M42,Daten!M$2:M$101,1)</f>
        <v>47</v>
      </c>
      <c r="N42" s="12" t="n">
        <f aca="false">RANK(Daten!N42,Daten!N$2:N$101,0)</f>
        <v>23</v>
      </c>
      <c r="O42" s="12" t="n">
        <f aca="false">RANK(Daten!O42,Daten!O$2:O$101,0)</f>
        <v>54</v>
      </c>
      <c r="P42" s="12" t="n">
        <f aca="false">RANK(Daten!P42,Daten!P$2:P$101,0)</f>
        <v>16</v>
      </c>
      <c r="Q42" s="13" t="n">
        <f aca="false">COUNTIF(B42:P42,"&lt;=3")</f>
        <v>0</v>
      </c>
      <c r="R42" s="12" t="n">
        <f aca="false">COUNTIF(B42:P42,1)</f>
        <v>0</v>
      </c>
    </row>
    <row r="43" customFormat="false" ht="15" hidden="false" customHeight="false" outlineLevel="0" collapsed="false">
      <c r="A43" s="3" t="str">
        <f aca="false">Daten!A43</f>
        <v>Cam Ward</v>
      </c>
      <c r="B43" s="12" t="n">
        <f aca="false">RANK(Daten!B43,Daten!B$2:B$101,1)</f>
        <v>86</v>
      </c>
      <c r="C43" s="12" t="n">
        <f aca="false">RANK(Daten!C43,Daten!C$2:C$101,0)</f>
        <v>53</v>
      </c>
      <c r="D43" s="12" t="n">
        <f aca="false">RANK(Daten!D43,Daten!D$2:D$101,0)</f>
        <v>44</v>
      </c>
      <c r="E43" s="12" t="n">
        <f aca="false">RANK(Daten!E43,Daten!E$2:E$101,1)</f>
        <v>92</v>
      </c>
      <c r="F43" s="12" t="n">
        <f aca="false">RANK(Daten!F43,Daten!F$2:F$101,1)</f>
        <v>1</v>
      </c>
      <c r="G43" s="12" t="n">
        <f aca="false">RANK(Daten!G43,Daten!G$2:G$101,1)</f>
        <v>90</v>
      </c>
      <c r="H43" s="12" t="n">
        <f aca="false">RANK(Daten!H43,Daten!H$2:H$101,0)</f>
        <v>82</v>
      </c>
      <c r="I43" s="12" t="n">
        <f aca="false">RANK(Daten!I43,Daten!I$2:I$101,0)</f>
        <v>86</v>
      </c>
      <c r="J43" s="12" t="n">
        <f aca="false">RANK(Daten!J43,Daten!J$2:J$101,0)</f>
        <v>75</v>
      </c>
      <c r="K43" s="12" t="n">
        <f aca="false">RANK(Daten!K43,Daten!K$2:K$101,0)</f>
        <v>37</v>
      </c>
      <c r="L43" s="12" t="n">
        <f aca="false">RANK(Daten!L43,Daten!L$2:L$101,0)</f>
        <v>30</v>
      </c>
      <c r="M43" s="12" t="n">
        <f aca="false">RANK(Daten!M43,Daten!M$2:M$101,1)</f>
        <v>2</v>
      </c>
      <c r="N43" s="12" t="n">
        <f aca="false">RANK(Daten!N43,Daten!N$2:N$101,0)</f>
        <v>61</v>
      </c>
      <c r="O43" s="12" t="n">
        <f aca="false">RANK(Daten!O43,Daten!O$2:O$101,0)</f>
        <v>22</v>
      </c>
      <c r="P43" s="12" t="n">
        <f aca="false">RANK(Daten!P43,Daten!P$2:P$101,0)</f>
        <v>91</v>
      </c>
      <c r="Q43" s="13" t="n">
        <f aca="false">COUNTIF(B43:P43,"&lt;=3")</f>
        <v>2</v>
      </c>
      <c r="R43" s="12" t="n">
        <f aca="false">COUNTIF(B43:P43,1)</f>
        <v>1</v>
      </c>
    </row>
    <row r="44" customFormat="false" ht="15" hidden="false" customHeight="false" outlineLevel="0" collapsed="false">
      <c r="A44" s="3" t="str">
        <f aca="false">Daten!A44</f>
        <v>Fernando Mendoza</v>
      </c>
      <c r="B44" s="12" t="n">
        <f aca="false">RANK(Daten!B44,Daten!B$2:B$101,1)</f>
        <v>98</v>
      </c>
      <c r="C44" s="12" t="n">
        <f aca="false">RANK(Daten!C44,Daten!C$2:C$101,0)</f>
        <v>8</v>
      </c>
      <c r="D44" s="12" t="n">
        <f aca="false">RANK(Daten!D44,Daten!D$2:D$101,0)</f>
        <v>38</v>
      </c>
      <c r="E44" s="12" t="n">
        <f aca="false">RANK(Daten!E44,Daten!E$2:E$101,1)</f>
        <v>100</v>
      </c>
      <c r="F44" s="12" t="n">
        <f aca="false">RANK(Daten!F44,Daten!F$2:F$101,1)</f>
        <v>1</v>
      </c>
      <c r="G44" s="12" t="n">
        <f aca="false">RANK(Daten!G44,Daten!G$2:G$101,1)</f>
        <v>81</v>
      </c>
      <c r="H44" s="12" t="n">
        <f aca="false">RANK(Daten!H44,Daten!H$2:H$101,0)</f>
        <v>82</v>
      </c>
      <c r="I44" s="12" t="n">
        <f aca="false">RANK(Daten!I44,Daten!I$2:I$101,0)</f>
        <v>100</v>
      </c>
      <c r="J44" s="12" t="n">
        <f aca="false">RANK(Daten!J44,Daten!J$2:J$101,0)</f>
        <v>75</v>
      </c>
      <c r="K44" s="12" t="n">
        <f aca="false">RANK(Daten!K44,Daten!K$2:K$101,0)</f>
        <v>37</v>
      </c>
      <c r="L44" s="12" t="n">
        <f aca="false">RANK(Daten!L44,Daten!L$2:L$101,0)</f>
        <v>30</v>
      </c>
      <c r="M44" s="12" t="n">
        <f aca="false">RANK(Daten!M44,Daten!M$2:M$101,1)</f>
        <v>50</v>
      </c>
      <c r="N44" s="12" t="n">
        <f aca="false">RANK(Daten!N44,Daten!N$2:N$101,0)</f>
        <v>60</v>
      </c>
      <c r="O44" s="12" t="n">
        <f aca="false">RANK(Daten!O44,Daten!O$2:O$101,0)</f>
        <v>8</v>
      </c>
      <c r="P44" s="12" t="n">
        <f aca="false">RANK(Daten!P44,Daten!P$2:P$101,0)</f>
        <v>17</v>
      </c>
      <c r="Q44" s="13" t="n">
        <f aca="false">COUNTIF(B44:P44,"&lt;=3")</f>
        <v>1</v>
      </c>
      <c r="R44" s="12" t="n">
        <f aca="false">COUNTIF(B44:P44,1)</f>
        <v>1</v>
      </c>
    </row>
    <row r="45" customFormat="false" ht="15" hidden="false" customHeight="false" outlineLevel="0" collapsed="false">
      <c r="A45" s="3" t="str">
        <f aca="false">Daten!A45</f>
        <v>Kenneth Walker III</v>
      </c>
      <c r="B45" s="12" t="n">
        <f aca="false">RANK(Daten!B45,Daten!B$2:B$101,1)</f>
        <v>65</v>
      </c>
      <c r="C45" s="12" t="n">
        <f aca="false">RANK(Daten!C45,Daten!C$2:C$101,0)</f>
        <v>95</v>
      </c>
      <c r="D45" s="12" t="n">
        <f aca="false">RANK(Daten!D45,Daten!D$2:D$101,0)</f>
        <v>66</v>
      </c>
      <c r="E45" s="12" t="n">
        <f aca="false">RANK(Daten!E45,Daten!E$2:E$101,1)</f>
        <v>55</v>
      </c>
      <c r="F45" s="12" t="n">
        <f aca="false">RANK(Daten!F45,Daten!F$2:F$101,1)</f>
        <v>79</v>
      </c>
      <c r="G45" s="12" t="n">
        <f aca="false">RANK(Daten!G45,Daten!G$2:G$101,1)</f>
        <v>35</v>
      </c>
      <c r="H45" s="12" t="n">
        <f aca="false">RANK(Daten!H45,Daten!H$2:H$101,0)</f>
        <v>42</v>
      </c>
      <c r="I45" s="12" t="n">
        <f aca="false">RANK(Daten!I45,Daten!I$2:I$101,0)</f>
        <v>42</v>
      </c>
      <c r="J45" s="12" t="n">
        <f aca="false">RANK(Daten!J45,Daten!J$2:J$101,0)</f>
        <v>75</v>
      </c>
      <c r="K45" s="12" t="n">
        <f aca="false">RANK(Daten!K45,Daten!K$2:K$101,0)</f>
        <v>37</v>
      </c>
      <c r="L45" s="12" t="n">
        <f aca="false">RANK(Daten!L45,Daten!L$2:L$101,0)</f>
        <v>11</v>
      </c>
      <c r="M45" s="12" t="n">
        <f aca="false">RANK(Daten!M45,Daten!M$2:M$101,1)</f>
        <v>31</v>
      </c>
      <c r="N45" s="12" t="n">
        <f aca="false">RANK(Daten!N45,Daten!N$2:N$101,0)</f>
        <v>62</v>
      </c>
      <c r="O45" s="12" t="n">
        <f aca="false">RANK(Daten!O45,Daten!O$2:O$101,0)</f>
        <v>76</v>
      </c>
      <c r="P45" s="12" t="n">
        <f aca="false">RANK(Daten!P45,Daten!P$2:P$101,0)</f>
        <v>73</v>
      </c>
      <c r="Q45" s="13" t="n">
        <f aca="false">COUNTIF(B45:P45,"&lt;=3")</f>
        <v>0</v>
      </c>
      <c r="R45" s="12" t="n">
        <f aca="false">COUNTIF(B45:P45,1)</f>
        <v>0</v>
      </c>
    </row>
    <row r="46" customFormat="false" ht="15" hidden="false" customHeight="false" outlineLevel="0" collapsed="false">
      <c r="A46" s="3" t="str">
        <f aca="false">Daten!A46</f>
        <v>Josh Jacobs</v>
      </c>
      <c r="B46" s="12" t="n">
        <f aca="false">RANK(Daten!B46,Daten!B$2:B$101,1)</f>
        <v>34</v>
      </c>
      <c r="C46" s="12" t="n">
        <f aca="false">RANK(Daten!C46,Daten!C$2:C$101,0)</f>
        <v>89</v>
      </c>
      <c r="D46" s="12" t="n">
        <f aca="false">RANK(Daten!D46,Daten!D$2:D$101,0)</f>
        <v>44</v>
      </c>
      <c r="E46" s="12" t="n">
        <f aca="false">RANK(Daten!E46,Daten!E$2:E$101,1)</f>
        <v>25</v>
      </c>
      <c r="F46" s="12" t="n">
        <f aca="false">RANK(Daten!F46,Daten!F$2:F$101,1)</f>
        <v>70</v>
      </c>
      <c r="G46" s="12" t="n">
        <f aca="false">RANK(Daten!G46,Daten!G$2:G$101,1)</f>
        <v>17</v>
      </c>
      <c r="H46" s="12" t="n">
        <f aca="false">RANK(Daten!H46,Daten!H$2:H$101,0)</f>
        <v>63</v>
      </c>
      <c r="I46" s="12" t="n">
        <f aca="false">RANK(Daten!I46,Daten!I$2:I$101,0)</f>
        <v>70</v>
      </c>
      <c r="J46" s="12" t="n">
        <f aca="false">RANK(Daten!J46,Daten!J$2:J$101,0)</f>
        <v>26</v>
      </c>
      <c r="K46" s="12" t="n">
        <f aca="false">RANK(Daten!K46,Daten!K$2:K$101,0)</f>
        <v>22</v>
      </c>
      <c r="L46" s="12" t="n">
        <f aca="false">RANK(Daten!L46,Daten!L$2:L$101,0)</f>
        <v>30</v>
      </c>
      <c r="M46" s="12" t="n">
        <f aca="false">RANK(Daten!M46,Daten!M$2:M$101,1)</f>
        <v>28</v>
      </c>
      <c r="N46" s="12" t="n">
        <f aca="false">RANK(Daten!N46,Daten!N$2:N$101,0)</f>
        <v>62</v>
      </c>
      <c r="O46" s="12" t="n">
        <f aca="false">RANK(Daten!O46,Daten!O$2:O$101,0)</f>
        <v>54</v>
      </c>
      <c r="P46" s="12" t="n">
        <f aca="false">RANK(Daten!P46,Daten!P$2:P$101,0)</f>
        <v>19</v>
      </c>
      <c r="Q46" s="13" t="n">
        <f aca="false">COUNTIF(B46:P46,"&lt;=3")</f>
        <v>0</v>
      </c>
      <c r="R46" s="12" t="n">
        <f aca="false">COUNTIF(B46:P46,1)</f>
        <v>0</v>
      </c>
    </row>
    <row r="47" customFormat="false" ht="15" hidden="false" customHeight="false" outlineLevel="0" collapsed="false">
      <c r="A47" s="3" t="str">
        <f aca="false">Daten!A47</f>
        <v>James Cook</v>
      </c>
      <c r="B47" s="12" t="n">
        <f aca="false">RANK(Daten!B47,Daten!B$2:B$101,1)</f>
        <v>50</v>
      </c>
      <c r="C47" s="12" t="n">
        <f aca="false">RANK(Daten!C47,Daten!C$2:C$101,0)</f>
        <v>86</v>
      </c>
      <c r="D47" s="12" t="n">
        <f aca="false">RANK(Daten!D47,Daten!D$2:D$101,0)</f>
        <v>89</v>
      </c>
      <c r="E47" s="12" t="n">
        <f aca="false">RANK(Daten!E47,Daten!E$2:E$101,1)</f>
        <v>55</v>
      </c>
      <c r="F47" s="12" t="n">
        <f aca="false">RANK(Daten!F47,Daten!F$2:F$101,1)</f>
        <v>87</v>
      </c>
      <c r="G47" s="12" t="n">
        <f aca="false">RANK(Daten!G47,Daten!G$2:G$101,1)</f>
        <v>87</v>
      </c>
      <c r="H47" s="12" t="n">
        <f aca="false">RANK(Daten!H47,Daten!H$2:H$101,0)</f>
        <v>21</v>
      </c>
      <c r="I47" s="12" t="n">
        <f aca="false">RANK(Daten!I47,Daten!I$2:I$101,0)</f>
        <v>42</v>
      </c>
      <c r="J47" s="12" t="n">
        <f aca="false">RANK(Daten!J47,Daten!J$2:J$101,0)</f>
        <v>37</v>
      </c>
      <c r="K47" s="12" t="n">
        <f aca="false">RANK(Daten!K47,Daten!K$2:K$101,0)</f>
        <v>37</v>
      </c>
      <c r="L47" s="12" t="n">
        <f aca="false">RANK(Daten!L47,Daten!L$2:L$101,0)</f>
        <v>30</v>
      </c>
      <c r="M47" s="12" t="n">
        <f aca="false">RANK(Daten!M47,Daten!M$2:M$101,1)</f>
        <v>13</v>
      </c>
      <c r="N47" s="12" t="n">
        <f aca="false">RANK(Daten!N47,Daten!N$2:N$101,0)</f>
        <v>62</v>
      </c>
      <c r="O47" s="12" t="n">
        <f aca="false">RANK(Daten!O47,Daten!O$2:O$101,0)</f>
        <v>22</v>
      </c>
      <c r="P47" s="12" t="n">
        <f aca="false">RANK(Daten!P47,Daten!P$2:P$101,0)</f>
        <v>17</v>
      </c>
      <c r="Q47" s="13" t="n">
        <f aca="false">COUNTIF(B47:P47,"&lt;=3")</f>
        <v>0</v>
      </c>
      <c r="R47" s="12" t="n">
        <f aca="false">COUNTIF(B47:P47,1)</f>
        <v>0</v>
      </c>
    </row>
    <row r="48" customFormat="false" ht="15" hidden="false" customHeight="false" outlineLevel="0" collapsed="false">
      <c r="A48" s="3" t="str">
        <f aca="false">Daten!A48</f>
        <v>Kyren Williams</v>
      </c>
      <c r="B48" s="12" t="n">
        <f aca="false">RANK(Daten!B48,Daten!B$2:B$101,1)</f>
        <v>61</v>
      </c>
      <c r="C48" s="12" t="n">
        <f aca="false">RANK(Daten!C48,Daten!C$2:C$101,0)</f>
        <v>95</v>
      </c>
      <c r="D48" s="12" t="n">
        <f aca="false">RANK(Daten!D48,Daten!D$2:D$101,0)</f>
        <v>79</v>
      </c>
      <c r="E48" s="12" t="n">
        <f aca="false">RANK(Daten!E48,Daten!E$2:E$101,1)</f>
        <v>55</v>
      </c>
      <c r="F48" s="12" t="n">
        <f aca="false">RANK(Daten!F48,Daten!F$2:F$101,1)</f>
        <v>98</v>
      </c>
      <c r="G48" s="12" t="n">
        <f aca="false">RANK(Daten!G48,Daten!G$2:G$101,1)</f>
        <v>48</v>
      </c>
      <c r="H48" s="12" t="n">
        <f aca="false">RANK(Daten!H48,Daten!H$2:H$101,0)</f>
        <v>29</v>
      </c>
      <c r="I48" s="12" t="n">
        <f aca="false">RANK(Daten!I48,Daten!I$2:I$101,0)</f>
        <v>42</v>
      </c>
      <c r="J48" s="12" t="n">
        <f aca="false">RANK(Daten!J48,Daten!J$2:J$101,0)</f>
        <v>48</v>
      </c>
      <c r="K48" s="12" t="n">
        <f aca="false">RANK(Daten!K48,Daten!K$2:K$101,0)</f>
        <v>37</v>
      </c>
      <c r="L48" s="12" t="n">
        <f aca="false">RANK(Daten!L48,Daten!L$2:L$101,0)</f>
        <v>30</v>
      </c>
      <c r="M48" s="12" t="n">
        <f aca="false">RANK(Daten!M48,Daten!M$2:M$101,1)</f>
        <v>66</v>
      </c>
      <c r="N48" s="12" t="n">
        <f aca="false">RANK(Daten!N48,Daten!N$2:N$101,0)</f>
        <v>67</v>
      </c>
      <c r="O48" s="12" t="n">
        <f aca="false">RANK(Daten!O48,Daten!O$2:O$101,0)</f>
        <v>22</v>
      </c>
      <c r="P48" s="12" t="n">
        <f aca="false">RANK(Daten!P48,Daten!P$2:P$101,0)</f>
        <v>25</v>
      </c>
      <c r="Q48" s="13" t="n">
        <f aca="false">COUNTIF(B48:P48,"&lt;=3")</f>
        <v>0</v>
      </c>
      <c r="R48" s="12" t="n">
        <f aca="false">COUNTIF(B48:P48,1)</f>
        <v>0</v>
      </c>
    </row>
    <row r="49" customFormat="false" ht="15" hidden="false" customHeight="false" outlineLevel="0" collapsed="false">
      <c r="A49" s="3" t="str">
        <f aca="false">Daten!A49</f>
        <v>De'Von Achane</v>
      </c>
      <c r="B49" s="12" t="n">
        <f aca="false">RANK(Daten!B49,Daten!B$2:B$101,1)</f>
        <v>78</v>
      </c>
      <c r="C49" s="12" t="n">
        <f aca="false">RANK(Daten!C49,Daten!C$2:C$101,0)</f>
        <v>95</v>
      </c>
      <c r="D49" s="12" t="n">
        <f aca="false">RANK(Daten!D49,Daten!D$2:D$101,0)</f>
        <v>93</v>
      </c>
      <c r="E49" s="12" t="n">
        <f aca="false">RANK(Daten!E49,Daten!E$2:E$101,1)</f>
        <v>66</v>
      </c>
      <c r="F49" s="12" t="n">
        <f aca="false">RANK(Daten!F49,Daten!F$2:F$101,1)</f>
        <v>92</v>
      </c>
      <c r="G49" s="12" t="n">
        <f aca="false">RANK(Daten!G49,Daten!G$2:G$101,1)</f>
        <v>40</v>
      </c>
      <c r="H49" s="12" t="n">
        <f aca="false">RANK(Daten!H49,Daten!H$2:H$101,0)</f>
        <v>77</v>
      </c>
      <c r="I49" s="12" t="n">
        <f aca="false">RANK(Daten!I49,Daten!I$2:I$101,0)</f>
        <v>56</v>
      </c>
      <c r="J49" s="12" t="n">
        <f aca="false">RANK(Daten!J49,Daten!J$2:J$101,0)</f>
        <v>75</v>
      </c>
      <c r="K49" s="12" t="n">
        <f aca="false">RANK(Daten!K49,Daten!K$2:K$101,0)</f>
        <v>37</v>
      </c>
      <c r="L49" s="12" t="n">
        <f aca="false">RANK(Daten!L49,Daten!L$2:L$101,0)</f>
        <v>30</v>
      </c>
      <c r="M49" s="12" t="n">
        <f aca="false">RANK(Daten!M49,Daten!M$2:M$101,1)</f>
        <v>71</v>
      </c>
      <c r="N49" s="12" t="n">
        <f aca="false">RANK(Daten!N49,Daten!N$2:N$101,0)</f>
        <v>97</v>
      </c>
      <c r="O49" s="12" t="n">
        <f aca="false">RANK(Daten!O49,Daten!O$2:O$101,0)</f>
        <v>76</v>
      </c>
      <c r="P49" s="12" t="n">
        <f aca="false">RANK(Daten!P49,Daten!P$2:P$101,0)</f>
        <v>47</v>
      </c>
      <c r="Q49" s="13" t="n">
        <f aca="false">COUNTIF(B49:P49,"&lt;=3")</f>
        <v>0</v>
      </c>
      <c r="R49" s="12" t="n">
        <f aca="false">COUNTIF(B49:P49,1)</f>
        <v>0</v>
      </c>
    </row>
    <row r="50" customFormat="false" ht="15" hidden="false" customHeight="false" outlineLevel="0" collapsed="false">
      <c r="A50" s="3" t="str">
        <f aca="false">Daten!A50</f>
        <v>Jonathan Taylor</v>
      </c>
      <c r="B50" s="12" t="n">
        <f aca="false">RANK(Daten!B50,Daten!B$2:B$101,1)</f>
        <v>42</v>
      </c>
      <c r="C50" s="12" t="n">
        <f aca="false">RANK(Daten!C50,Daten!C$2:C$101,0)</f>
        <v>89</v>
      </c>
      <c r="D50" s="12" t="n">
        <f aca="false">RANK(Daten!D50,Daten!D$2:D$101,0)</f>
        <v>36</v>
      </c>
      <c r="E50" s="12" t="n">
        <f aca="false">RANK(Daten!E50,Daten!E$2:E$101,1)</f>
        <v>34</v>
      </c>
      <c r="F50" s="12" t="n">
        <f aca="false">RANK(Daten!F50,Daten!F$2:F$101,1)</f>
        <v>79</v>
      </c>
      <c r="G50" s="12" t="n">
        <f aca="false">RANK(Daten!G50,Daten!G$2:G$101,1)</f>
        <v>22</v>
      </c>
      <c r="H50" s="12" t="n">
        <f aca="false">RANK(Daten!H50,Daten!H$2:H$101,0)</f>
        <v>77</v>
      </c>
      <c r="I50" s="12" t="n">
        <f aca="false">RANK(Daten!I50,Daten!I$2:I$101,0)</f>
        <v>19</v>
      </c>
      <c r="J50" s="12" t="n">
        <f aca="false">RANK(Daten!J50,Daten!J$2:J$101,0)</f>
        <v>48</v>
      </c>
      <c r="K50" s="12" t="n">
        <f aca="false">RANK(Daten!K50,Daten!K$2:K$101,0)</f>
        <v>22</v>
      </c>
      <c r="L50" s="12" t="n">
        <f aca="false">RANK(Daten!L50,Daten!L$2:L$101,0)</f>
        <v>30</v>
      </c>
      <c r="M50" s="12" t="n">
        <f aca="false">RANK(Daten!M50,Daten!M$2:M$101,1)</f>
        <v>71</v>
      </c>
      <c r="N50" s="12" t="n">
        <f aca="false">RANK(Daten!N50,Daten!N$2:N$101,0)</f>
        <v>59</v>
      </c>
      <c r="O50" s="12" t="n">
        <f aca="false">RANK(Daten!O50,Daten!O$2:O$101,0)</f>
        <v>76</v>
      </c>
      <c r="P50" s="12" t="n">
        <f aca="false">RANK(Daten!P50,Daten!P$2:P$101,0)</f>
        <v>88</v>
      </c>
      <c r="Q50" s="13" t="n">
        <f aca="false">COUNTIF(B50:P50,"&lt;=3")</f>
        <v>0</v>
      </c>
      <c r="R50" s="12" t="n">
        <f aca="false">COUNTIF(B50:P50,1)</f>
        <v>0</v>
      </c>
    </row>
    <row r="51" customFormat="false" ht="15" hidden="false" customHeight="false" outlineLevel="0" collapsed="false">
      <c r="A51" s="3" t="str">
        <f aca="false">Daten!A51</f>
        <v>TreVeyon Henderson</v>
      </c>
      <c r="B51" s="12" t="n">
        <f aca="false">RANK(Daten!B51,Daten!B$2:B$101,1)</f>
        <v>91</v>
      </c>
      <c r="C51" s="12" t="n">
        <f aca="false">RANK(Daten!C51,Daten!C$2:C$101,0)</f>
        <v>89</v>
      </c>
      <c r="D51" s="12" t="n">
        <f aca="false">RANK(Daten!D51,Daten!D$2:D$101,0)</f>
        <v>79</v>
      </c>
      <c r="E51" s="12" t="n">
        <f aca="false">RANK(Daten!E51,Daten!E$2:E$101,1)</f>
        <v>92</v>
      </c>
      <c r="F51" s="12" t="n">
        <f aca="false">RANK(Daten!F51,Daten!F$2:F$101,1)</f>
        <v>78</v>
      </c>
      <c r="G51" s="12" t="n">
        <f aca="false">RANK(Daten!G51,Daten!G$2:G$101,1)</f>
        <v>84</v>
      </c>
      <c r="H51" s="12" t="n">
        <f aca="false">RANK(Daten!H51,Daten!H$2:H$101,0)</f>
        <v>42</v>
      </c>
      <c r="I51" s="12" t="n">
        <f aca="false">RANK(Daten!I51,Daten!I$2:I$101,0)</f>
        <v>86</v>
      </c>
      <c r="J51" s="12" t="n">
        <f aca="false">RANK(Daten!J51,Daten!J$2:J$101,0)</f>
        <v>75</v>
      </c>
      <c r="K51" s="12" t="n">
        <f aca="false">RANK(Daten!K51,Daten!K$2:K$101,0)</f>
        <v>37</v>
      </c>
      <c r="L51" s="12" t="n">
        <f aca="false">RANK(Daten!L51,Daten!L$2:L$101,0)</f>
        <v>11</v>
      </c>
      <c r="M51" s="12" t="n">
        <f aca="false">RANK(Daten!M51,Daten!M$2:M$101,1)</f>
        <v>73</v>
      </c>
      <c r="N51" s="12" t="n">
        <f aca="false">RANK(Daten!N51,Daten!N$2:N$101,0)</f>
        <v>95</v>
      </c>
      <c r="O51" s="12" t="n">
        <f aca="false">RANK(Daten!O51,Daten!O$2:O$101,0)</f>
        <v>22</v>
      </c>
      <c r="P51" s="12" t="n">
        <f aca="false">RANK(Daten!P51,Daten!P$2:P$101,0)</f>
        <v>66</v>
      </c>
      <c r="Q51" s="13" t="n">
        <f aca="false">COUNTIF(B51:P51,"&lt;=3")</f>
        <v>0</v>
      </c>
      <c r="R51" s="12" t="n">
        <f aca="false">COUNTIF(B51:P51,1)</f>
        <v>0</v>
      </c>
    </row>
    <row r="52" customFormat="false" ht="15" hidden="false" customHeight="false" outlineLevel="0" collapsed="false">
      <c r="A52" s="3" t="str">
        <f aca="false">Daten!A52</f>
        <v>Davante Adams</v>
      </c>
      <c r="B52" s="12" t="n">
        <f aca="false">RANK(Daten!B52,Daten!B$2:B$101,1)</f>
        <v>4</v>
      </c>
      <c r="C52" s="12" t="n">
        <f aca="false">RANK(Daten!C52,Daten!C$2:C$101,0)</f>
        <v>63</v>
      </c>
      <c r="D52" s="12" t="n">
        <f aca="false">RANK(Daten!D52,Daten!D$2:D$101,0)</f>
        <v>54</v>
      </c>
      <c r="E52" s="12" t="n">
        <f aca="false">RANK(Daten!E52,Daten!E$2:E$101,1)</f>
        <v>4</v>
      </c>
      <c r="F52" s="12" t="n">
        <f aca="false">RANK(Daten!F52,Daten!F$2:F$101,1)</f>
        <v>84</v>
      </c>
      <c r="G52" s="12" t="n">
        <f aca="false">RANK(Daten!G52,Daten!G$2:G$101,1)</f>
        <v>27</v>
      </c>
      <c r="H52" s="12" t="n">
        <f aca="false">RANK(Daten!H52,Daten!H$2:H$101,0)</f>
        <v>5</v>
      </c>
      <c r="I52" s="12" t="n">
        <f aca="false">RANK(Daten!I52,Daten!I$2:I$101,0)</f>
        <v>86</v>
      </c>
      <c r="J52" s="12" t="n">
        <f aca="false">RANK(Daten!J52,Daten!J$2:J$101,0)</f>
        <v>5</v>
      </c>
      <c r="K52" s="12" t="n">
        <f aca="false">RANK(Daten!K52,Daten!K$2:K$101,0)</f>
        <v>3</v>
      </c>
      <c r="L52" s="12" t="n">
        <f aca="false">RANK(Daten!L52,Daten!L$2:L$101,0)</f>
        <v>30</v>
      </c>
      <c r="M52" s="12" t="n">
        <f aca="false">RANK(Daten!M52,Daten!M$2:M$101,1)</f>
        <v>56</v>
      </c>
      <c r="N52" s="12" t="n">
        <f aca="false">RANK(Daten!N52,Daten!N$2:N$101,0)</f>
        <v>45</v>
      </c>
      <c r="O52" s="12" t="n">
        <f aca="false">RANK(Daten!O52,Daten!O$2:O$101,0)</f>
        <v>76</v>
      </c>
      <c r="P52" s="12" t="n">
        <f aca="false">RANK(Daten!P52,Daten!P$2:P$101,0)</f>
        <v>42</v>
      </c>
      <c r="Q52" s="13" t="n">
        <f aca="false">COUNTIF(B52:P52,"&lt;=3")</f>
        <v>1</v>
      </c>
      <c r="R52" s="12" t="n">
        <f aca="false">COUNTIF(B52:P52,1)</f>
        <v>0</v>
      </c>
    </row>
    <row r="53" customFormat="false" ht="15" hidden="false" customHeight="false" outlineLevel="0" collapsed="false">
      <c r="A53" s="3" t="str">
        <f aca="false">Daten!A53</f>
        <v>DK Metcalf</v>
      </c>
      <c r="B53" s="12" t="n">
        <f aca="false">RANK(Daten!B53,Daten!B$2:B$101,1)</f>
        <v>33</v>
      </c>
      <c r="C53" s="12" t="n">
        <f aca="false">RANK(Daten!C53,Daten!C$2:C$101,0)</f>
        <v>18</v>
      </c>
      <c r="D53" s="12" t="n">
        <f aca="false">RANK(Daten!D53,Daten!D$2:D$101,0)</f>
        <v>31</v>
      </c>
      <c r="E53" s="12" t="n">
        <f aca="false">RANK(Daten!E53,Daten!E$2:E$101,1)</f>
        <v>25</v>
      </c>
      <c r="F53" s="12" t="n">
        <f aca="false">RANK(Daten!F53,Daten!F$2:F$101,1)</f>
        <v>89</v>
      </c>
      <c r="G53" s="12" t="n">
        <f aca="false">RANK(Daten!G53,Daten!G$2:G$101,1)</f>
        <v>29</v>
      </c>
      <c r="H53" s="12" t="n">
        <f aca="false">RANK(Daten!H53,Daten!H$2:H$101,0)</f>
        <v>34</v>
      </c>
      <c r="I53" s="12" t="n">
        <f aca="false">RANK(Daten!I53,Daten!I$2:I$101,0)</f>
        <v>86</v>
      </c>
      <c r="J53" s="12" t="n">
        <f aca="false">RANK(Daten!J53,Daten!J$2:J$101,0)</f>
        <v>37</v>
      </c>
      <c r="K53" s="12" t="n">
        <f aca="false">RANK(Daten!K53,Daten!K$2:K$101,0)</f>
        <v>37</v>
      </c>
      <c r="L53" s="12" t="n">
        <f aca="false">RANK(Daten!L53,Daten!L$2:L$101,0)</f>
        <v>30</v>
      </c>
      <c r="M53" s="12" t="n">
        <f aca="false">RANK(Daten!M53,Daten!M$2:M$101,1)</f>
        <v>13</v>
      </c>
      <c r="N53" s="12" t="n">
        <f aca="false">RANK(Daten!N53,Daten!N$2:N$101,0)</f>
        <v>25</v>
      </c>
      <c r="O53" s="12" t="n">
        <f aca="false">RANK(Daten!O53,Daten!O$2:O$101,0)</f>
        <v>8</v>
      </c>
      <c r="P53" s="12" t="n">
        <f aca="false">RANK(Daten!P53,Daten!P$2:P$101,0)</f>
        <v>63</v>
      </c>
      <c r="Q53" s="13" t="n">
        <f aca="false">COUNTIF(B53:P53,"&lt;=3")</f>
        <v>0</v>
      </c>
      <c r="R53" s="12" t="n">
        <f aca="false">COUNTIF(B53:P53,1)</f>
        <v>0</v>
      </c>
    </row>
    <row r="54" customFormat="false" ht="15" hidden="false" customHeight="false" outlineLevel="0" collapsed="false">
      <c r="A54" s="3" t="str">
        <f aca="false">Daten!A54</f>
        <v>Garrett Wilson</v>
      </c>
      <c r="B54" s="12" t="n">
        <f aca="false">RANK(Daten!B54,Daten!B$2:B$101,1)</f>
        <v>59</v>
      </c>
      <c r="C54" s="12" t="n">
        <f aca="false">RANK(Daten!C54,Daten!C$2:C$101,0)</f>
        <v>75</v>
      </c>
      <c r="D54" s="12" t="n">
        <f aca="false">RANK(Daten!D54,Daten!D$2:D$101,0)</f>
        <v>97</v>
      </c>
      <c r="E54" s="12" t="n">
        <f aca="false">RANK(Daten!E54,Daten!E$2:E$101,1)</f>
        <v>55</v>
      </c>
      <c r="F54" s="12" t="n">
        <f aca="false">RANK(Daten!F54,Daten!F$2:F$101,1)</f>
        <v>49</v>
      </c>
      <c r="G54" s="12" t="n">
        <f aca="false">RANK(Daten!G54,Daten!G$2:G$101,1)</f>
        <v>57</v>
      </c>
      <c r="H54" s="12" t="n">
        <f aca="false">RANK(Daten!H54,Daten!H$2:H$101,0)</f>
        <v>82</v>
      </c>
      <c r="I54" s="12" t="n">
        <f aca="false">RANK(Daten!I54,Daten!I$2:I$101,0)</f>
        <v>42</v>
      </c>
      <c r="J54" s="12" t="n">
        <f aca="false">RANK(Daten!J54,Daten!J$2:J$101,0)</f>
        <v>48</v>
      </c>
      <c r="K54" s="12" t="n">
        <f aca="false">RANK(Daten!K54,Daten!K$2:K$101,0)</f>
        <v>37</v>
      </c>
      <c r="L54" s="12" t="n">
        <f aca="false">RANK(Daten!L54,Daten!L$2:L$101,0)</f>
        <v>30</v>
      </c>
      <c r="M54" s="12" t="n">
        <f aca="false">RANK(Daten!M54,Daten!M$2:M$101,1)</f>
        <v>18</v>
      </c>
      <c r="N54" s="12" t="n">
        <f aca="false">RANK(Daten!N54,Daten!N$2:N$101,0)</f>
        <v>26</v>
      </c>
      <c r="O54" s="12" t="n">
        <f aca="false">RANK(Daten!O54,Daten!O$2:O$101,0)</f>
        <v>2</v>
      </c>
      <c r="P54" s="12" t="n">
        <f aca="false">RANK(Daten!P54,Daten!P$2:P$101,0)</f>
        <v>9</v>
      </c>
      <c r="Q54" s="13" t="n">
        <f aca="false">COUNTIF(B54:P54,"&lt;=3")</f>
        <v>1</v>
      </c>
      <c r="R54" s="12" t="n">
        <f aca="false">COUNTIF(B54:P54,1)</f>
        <v>0</v>
      </c>
    </row>
    <row r="55" customFormat="false" ht="15" hidden="false" customHeight="false" outlineLevel="0" collapsed="false">
      <c r="A55" s="3" t="str">
        <f aca="false">Daten!A55</f>
        <v>Nico Collins</v>
      </c>
      <c r="B55" s="12" t="n">
        <f aca="false">RANK(Daten!B55,Daten!B$2:B$101,1)</f>
        <v>44</v>
      </c>
      <c r="C55" s="12" t="n">
        <f aca="false">RANK(Daten!C55,Daten!C$2:C$101,0)</f>
        <v>18</v>
      </c>
      <c r="D55" s="12" t="n">
        <f aca="false">RANK(Daten!D55,Daten!D$2:D$101,0)</f>
        <v>44</v>
      </c>
      <c r="E55" s="12" t="n">
        <f aca="false">RANK(Daten!E55,Daten!E$2:E$101,1)</f>
        <v>44</v>
      </c>
      <c r="F55" s="12" t="n">
        <f aca="false">RANK(Daten!F55,Daten!F$2:F$101,1)</f>
        <v>93</v>
      </c>
      <c r="G55" s="12" t="n">
        <f aca="false">RANK(Daten!G55,Daten!G$2:G$101,1)</f>
        <v>72</v>
      </c>
      <c r="H55" s="12" t="n">
        <f aca="false">RANK(Daten!H55,Daten!H$2:H$101,0)</f>
        <v>34</v>
      </c>
      <c r="I55" s="12" t="n">
        <f aca="false">RANK(Daten!I55,Daten!I$2:I$101,0)</f>
        <v>30</v>
      </c>
      <c r="J55" s="12" t="n">
        <f aca="false">RANK(Daten!J55,Daten!J$2:J$101,0)</f>
        <v>48</v>
      </c>
      <c r="K55" s="12" t="n">
        <f aca="false">RANK(Daten!K55,Daten!K$2:K$101,0)</f>
        <v>37</v>
      </c>
      <c r="L55" s="12" t="n">
        <f aca="false">RANK(Daten!L55,Daten!L$2:L$101,0)</f>
        <v>30</v>
      </c>
      <c r="M55" s="12" t="n">
        <f aca="false">RANK(Daten!M55,Daten!M$2:M$101,1)</f>
        <v>43</v>
      </c>
      <c r="N55" s="12" t="n">
        <f aca="false">RANK(Daten!N55,Daten!N$2:N$101,0)</f>
        <v>41</v>
      </c>
      <c r="O55" s="12" t="n">
        <f aca="false">RANK(Daten!O55,Daten!O$2:O$101,0)</f>
        <v>54</v>
      </c>
      <c r="P55" s="12" t="n">
        <f aca="false">RANK(Daten!P55,Daten!P$2:P$101,0)</f>
        <v>78</v>
      </c>
      <c r="Q55" s="13" t="n">
        <f aca="false">COUNTIF(B55:P55,"&lt;=3")</f>
        <v>0</v>
      </c>
      <c r="R55" s="12" t="n">
        <f aca="false">COUNTIF(B55:P55,1)</f>
        <v>0</v>
      </c>
    </row>
    <row r="56" customFormat="false" ht="15" hidden="false" customHeight="false" outlineLevel="0" collapsed="false">
      <c r="A56" s="3" t="str">
        <f aca="false">Daten!A56</f>
        <v>Drake London</v>
      </c>
      <c r="B56" s="12" t="n">
        <f aca="false">RANK(Daten!B56,Daten!B$2:B$101,1)</f>
        <v>74</v>
      </c>
      <c r="C56" s="12" t="n">
        <f aca="false">RANK(Daten!C56,Daten!C$2:C$101,0)</f>
        <v>37</v>
      </c>
      <c r="D56" s="12" t="n">
        <f aca="false">RANK(Daten!D56,Daten!D$2:D$101,0)</f>
        <v>66</v>
      </c>
      <c r="E56" s="12" t="n">
        <f aca="false">RANK(Daten!E56,Daten!E$2:E$101,1)</f>
        <v>55</v>
      </c>
      <c r="F56" s="12" t="n">
        <f aca="false">RANK(Daten!F56,Daten!F$2:F$101,1)</f>
        <v>39</v>
      </c>
      <c r="G56" s="12" t="n">
        <f aca="false">RANK(Daten!G56,Daten!G$2:G$101,1)</f>
        <v>4</v>
      </c>
      <c r="H56" s="12" t="n">
        <f aca="false">RANK(Daten!H56,Daten!H$2:H$101,0)</f>
        <v>82</v>
      </c>
      <c r="I56" s="12" t="n">
        <f aca="false">RANK(Daten!I56,Daten!I$2:I$101,0)</f>
        <v>42</v>
      </c>
      <c r="J56" s="12" t="n">
        <f aca="false">RANK(Daten!J56,Daten!J$2:J$101,0)</f>
        <v>75</v>
      </c>
      <c r="K56" s="12" t="n">
        <f aca="false">RANK(Daten!K56,Daten!K$2:K$101,0)</f>
        <v>37</v>
      </c>
      <c r="L56" s="12" t="n">
        <f aca="false">RANK(Daten!L56,Daten!L$2:L$101,0)</f>
        <v>30</v>
      </c>
      <c r="M56" s="12" t="n">
        <f aca="false">RANK(Daten!M56,Daten!M$2:M$101,1)</f>
        <v>18</v>
      </c>
      <c r="N56" s="12" t="n">
        <f aca="false">RANK(Daten!N56,Daten!N$2:N$101,0)</f>
        <v>91</v>
      </c>
      <c r="O56" s="12" t="n">
        <f aca="false">RANK(Daten!O56,Daten!O$2:O$101,0)</f>
        <v>76</v>
      </c>
      <c r="P56" s="12" t="n">
        <f aca="false">RANK(Daten!P56,Daten!P$2:P$101,0)</f>
        <v>59</v>
      </c>
      <c r="Q56" s="13" t="n">
        <f aca="false">COUNTIF(B56:P56,"&lt;=3")</f>
        <v>0</v>
      </c>
      <c r="R56" s="12" t="n">
        <f aca="false">COUNTIF(B56:P56,1)</f>
        <v>0</v>
      </c>
    </row>
    <row r="57" customFormat="false" ht="15" hidden="false" customHeight="false" outlineLevel="0" collapsed="false">
      <c r="A57" s="3" t="str">
        <f aca="false">Daten!A57</f>
        <v>Tee Higgins</v>
      </c>
      <c r="B57" s="12" t="n">
        <f aca="false">RANK(Daten!B57,Daten!B$2:B$101,1)</f>
        <v>41</v>
      </c>
      <c r="C57" s="12" t="n">
        <f aca="false">RANK(Daten!C57,Daten!C$2:C$101,0)</f>
        <v>18</v>
      </c>
      <c r="D57" s="12" t="n">
        <f aca="false">RANK(Daten!D57,Daten!D$2:D$101,0)</f>
        <v>54</v>
      </c>
      <c r="E57" s="12" t="n">
        <f aca="false">RANK(Daten!E57,Daten!E$2:E$101,1)</f>
        <v>34</v>
      </c>
      <c r="F57" s="12" t="n">
        <f aca="false">RANK(Daten!F57,Daten!F$2:F$101,1)</f>
        <v>74</v>
      </c>
      <c r="G57" s="12" t="n">
        <f aca="false">RANK(Daten!G57,Daten!G$2:G$101,1)</f>
        <v>23</v>
      </c>
      <c r="H57" s="12" t="n">
        <f aca="false">RANK(Daten!H57,Daten!H$2:H$101,0)</f>
        <v>24</v>
      </c>
      <c r="I57" s="12" t="n">
        <f aca="false">RANK(Daten!I57,Daten!I$2:I$101,0)</f>
        <v>19</v>
      </c>
      <c r="J57" s="12" t="n">
        <f aca="false">RANK(Daten!J57,Daten!J$2:J$101,0)</f>
        <v>75</v>
      </c>
      <c r="K57" s="12" t="n">
        <f aca="false">RANK(Daten!K57,Daten!K$2:K$101,0)</f>
        <v>37</v>
      </c>
      <c r="L57" s="12" t="n">
        <f aca="false">RANK(Daten!L57,Daten!L$2:L$101,0)</f>
        <v>11</v>
      </c>
      <c r="M57" s="12" t="n">
        <f aca="false">RANK(Daten!M57,Daten!M$2:M$101,1)</f>
        <v>18</v>
      </c>
      <c r="N57" s="12" t="n">
        <f aca="false">RANK(Daten!N57,Daten!N$2:N$101,0)</f>
        <v>33</v>
      </c>
      <c r="O57" s="12" t="n">
        <f aca="false">RANK(Daten!O57,Daten!O$2:O$101,0)</f>
        <v>22</v>
      </c>
      <c r="P57" s="12" t="n">
        <f aca="false">RANK(Daten!P57,Daten!P$2:P$101,0)</f>
        <v>61</v>
      </c>
      <c r="Q57" s="13" t="n">
        <f aca="false">COUNTIF(B57:P57,"&lt;=3")</f>
        <v>0</v>
      </c>
      <c r="R57" s="12" t="n">
        <f aca="false">COUNTIF(B57:P57,1)</f>
        <v>0</v>
      </c>
    </row>
    <row r="58" customFormat="false" ht="15" hidden="false" customHeight="false" outlineLevel="0" collapsed="false">
      <c r="A58" s="3" t="str">
        <f aca="false">Daten!A58</f>
        <v>Terry McLaurin</v>
      </c>
      <c r="B58" s="12" t="n">
        <f aca="false">RANK(Daten!B58,Daten!B$2:B$101,1)</f>
        <v>14</v>
      </c>
      <c r="C58" s="12" t="n">
        <f aca="false">RANK(Daten!C58,Daten!C$2:C$101,0)</f>
        <v>75</v>
      </c>
      <c r="D58" s="12" t="n">
        <f aca="false">RANK(Daten!D58,Daten!D$2:D$101,0)</f>
        <v>71</v>
      </c>
      <c r="E58" s="12" t="n">
        <f aca="false">RANK(Daten!E58,Daten!E$2:E$101,1)</f>
        <v>25</v>
      </c>
      <c r="F58" s="12" t="n">
        <f aca="false">RANK(Daten!F58,Daten!F$2:F$101,1)</f>
        <v>91</v>
      </c>
      <c r="G58" s="12" t="n">
        <f aca="false">RANK(Daten!G58,Daten!G$2:G$101,1)</f>
        <v>98</v>
      </c>
      <c r="H58" s="12" t="n">
        <f aca="false">RANK(Daten!H58,Daten!H$2:H$101,0)</f>
        <v>42</v>
      </c>
      <c r="I58" s="12" t="n">
        <f aca="false">RANK(Daten!I58,Daten!I$2:I$101,0)</f>
        <v>14</v>
      </c>
      <c r="J58" s="12" t="n">
        <f aca="false">RANK(Daten!J58,Daten!J$2:J$101,0)</f>
        <v>37</v>
      </c>
      <c r="K58" s="12" t="n">
        <f aca="false">RANK(Daten!K58,Daten!K$2:K$101,0)</f>
        <v>37</v>
      </c>
      <c r="L58" s="12" t="n">
        <f aca="false">RANK(Daten!L58,Daten!L$2:L$101,0)</f>
        <v>30</v>
      </c>
      <c r="M58" s="12" t="n">
        <f aca="false">RANK(Daten!M58,Daten!M$2:M$101,1)</f>
        <v>56</v>
      </c>
      <c r="N58" s="12" t="n">
        <f aca="false">RANK(Daten!N58,Daten!N$2:N$101,0)</f>
        <v>27</v>
      </c>
      <c r="O58" s="12" t="n">
        <f aca="false">RANK(Daten!O58,Daten!O$2:O$101,0)</f>
        <v>22</v>
      </c>
      <c r="P58" s="12" t="n">
        <f aca="false">RANK(Daten!P58,Daten!P$2:P$101,0)</f>
        <v>11</v>
      </c>
      <c r="Q58" s="13" t="n">
        <f aca="false">COUNTIF(B58:P58,"&lt;=3")</f>
        <v>0</v>
      </c>
      <c r="R58" s="12" t="n">
        <f aca="false">COUNTIF(B58:P58,1)</f>
        <v>0</v>
      </c>
    </row>
    <row r="59" customFormat="false" ht="15" hidden="false" customHeight="false" outlineLevel="0" collapsed="false">
      <c r="A59" s="3" t="str">
        <f aca="false">Daten!A59</f>
        <v>Mike Evans</v>
      </c>
      <c r="B59" s="12" t="n">
        <f aca="false">RANK(Daten!B59,Daten!B$2:B$101,1)</f>
        <v>6</v>
      </c>
      <c r="C59" s="12" t="n">
        <f aca="false">RANK(Daten!C59,Daten!C$2:C$101,0)</f>
        <v>8</v>
      </c>
      <c r="D59" s="12" t="n">
        <f aca="false">RANK(Daten!D59,Daten!D$2:D$101,0)</f>
        <v>34</v>
      </c>
      <c r="E59" s="12" t="n">
        <f aca="false">RANK(Daten!E59,Daten!E$2:E$101,1)</f>
        <v>4</v>
      </c>
      <c r="F59" s="12" t="n">
        <f aca="false">RANK(Daten!F59,Daten!F$2:F$101,1)</f>
        <v>36</v>
      </c>
      <c r="G59" s="12" t="n">
        <f aca="false">RANK(Daten!G59,Daten!G$2:G$101,1)</f>
        <v>2</v>
      </c>
      <c r="H59" s="12" t="n">
        <f aca="false">RANK(Daten!H59,Daten!H$2:H$101,0)</f>
        <v>13</v>
      </c>
      <c r="I59" s="12" t="n">
        <f aca="false">RANK(Daten!I59,Daten!I$2:I$101,0)</f>
        <v>2</v>
      </c>
      <c r="J59" s="12" t="n">
        <f aca="false">RANK(Daten!J59,Daten!J$2:J$101,0)</f>
        <v>11</v>
      </c>
      <c r="K59" s="12" t="n">
        <f aca="false">RANK(Daten!K59,Daten!K$2:K$101,0)</f>
        <v>37</v>
      </c>
      <c r="L59" s="12" t="n">
        <f aca="false">RANK(Daten!L59,Daten!L$2:L$101,0)</f>
        <v>11</v>
      </c>
      <c r="M59" s="12" t="n">
        <f aca="false">RANK(Daten!M59,Daten!M$2:M$101,1)</f>
        <v>45</v>
      </c>
      <c r="N59" s="12" t="n">
        <f aca="false">RANK(Daten!N59,Daten!N$2:N$101,0)</f>
        <v>49</v>
      </c>
      <c r="O59" s="12" t="n">
        <f aca="false">RANK(Daten!O59,Daten!O$2:O$101,0)</f>
        <v>76</v>
      </c>
      <c r="P59" s="12" t="n">
        <f aca="false">RANK(Daten!P59,Daten!P$2:P$101,0)</f>
        <v>52</v>
      </c>
      <c r="Q59" s="13" t="n">
        <f aca="false">COUNTIF(B59:P59,"&lt;=3")</f>
        <v>2</v>
      </c>
      <c r="R59" s="12" t="n">
        <f aca="false">COUNTIF(B59:P59,1)</f>
        <v>0</v>
      </c>
    </row>
    <row r="60" customFormat="false" ht="15" hidden="false" customHeight="false" outlineLevel="0" collapsed="false">
      <c r="A60" s="3" t="str">
        <f aca="false">Daten!A60</f>
        <v>Jaylen Waddle</v>
      </c>
      <c r="B60" s="12" t="n">
        <f aca="false">RANK(Daten!B60,Daten!B$2:B$101,1)</f>
        <v>40</v>
      </c>
      <c r="C60" s="12" t="n">
        <f aca="false">RANK(Daten!C60,Daten!C$2:C$101,0)</f>
        <v>89</v>
      </c>
      <c r="D60" s="12" t="n">
        <f aca="false">RANK(Daten!D60,Daten!D$2:D$101,0)</f>
        <v>97</v>
      </c>
      <c r="E60" s="12" t="n">
        <f aca="false">RANK(Daten!E60,Daten!E$2:E$101,1)</f>
        <v>44</v>
      </c>
      <c r="F60" s="12" t="n">
        <f aca="false">RANK(Daten!F60,Daten!F$2:F$101,1)</f>
        <v>31</v>
      </c>
      <c r="G60" s="12" t="n">
        <f aca="false">RANK(Daten!G60,Daten!G$2:G$101,1)</f>
        <v>78</v>
      </c>
      <c r="H60" s="12" t="n">
        <f aca="false">RANK(Daten!H60,Daten!H$2:H$101,0)</f>
        <v>63</v>
      </c>
      <c r="I60" s="12" t="n">
        <f aca="false">RANK(Daten!I60,Daten!I$2:I$101,0)</f>
        <v>30</v>
      </c>
      <c r="J60" s="12" t="n">
        <f aca="false">RANK(Daten!J60,Daten!J$2:J$101,0)</f>
        <v>48</v>
      </c>
      <c r="K60" s="12" t="n">
        <f aca="false">RANK(Daten!K60,Daten!K$2:K$101,0)</f>
        <v>37</v>
      </c>
      <c r="L60" s="12" t="n">
        <f aca="false">RANK(Daten!L60,Daten!L$2:L$101,0)</f>
        <v>30</v>
      </c>
      <c r="M60" s="12" t="n">
        <f aca="false">RANK(Daten!M60,Daten!M$2:M$101,1)</f>
        <v>56</v>
      </c>
      <c r="N60" s="12" t="n">
        <f aca="false">RANK(Daten!N60,Daten!N$2:N$101,0)</f>
        <v>35</v>
      </c>
      <c r="O60" s="12" t="n">
        <f aca="false">RANK(Daten!O60,Daten!O$2:O$101,0)</f>
        <v>22</v>
      </c>
      <c r="P60" s="12" t="n">
        <f aca="false">RANK(Daten!P60,Daten!P$2:P$101,0)</f>
        <v>1</v>
      </c>
      <c r="Q60" s="13" t="n">
        <f aca="false">COUNTIF(B60:P60,"&lt;=3")</f>
        <v>1</v>
      </c>
      <c r="R60" s="12" t="n">
        <f aca="false">COUNTIF(B60:P60,1)</f>
        <v>1</v>
      </c>
    </row>
    <row r="61" customFormat="false" ht="15" hidden="false" customHeight="false" outlineLevel="0" collapsed="false">
      <c r="A61" s="3" t="str">
        <f aca="false">Daten!A61</f>
        <v>Brian Thomas Jr.</v>
      </c>
      <c r="B61" s="12" t="n">
        <f aca="false">RANK(Daten!B61,Daten!B$2:B$101,1)</f>
        <v>90</v>
      </c>
      <c r="C61" s="12" t="n">
        <f aca="false">RANK(Daten!C61,Daten!C$2:C$101,0)</f>
        <v>37</v>
      </c>
      <c r="D61" s="12" t="n">
        <f aca="false">RANK(Daten!D61,Daten!D$2:D$101,0)</f>
        <v>74</v>
      </c>
      <c r="E61" s="12" t="n">
        <f aca="false">RANK(Daten!E61,Daten!E$2:E$101,1)</f>
        <v>79</v>
      </c>
      <c r="F61" s="12" t="n">
        <f aca="false">RANK(Daten!F61,Daten!F$2:F$101,1)</f>
        <v>69</v>
      </c>
      <c r="G61" s="12" t="n">
        <f aca="false">RANK(Daten!G61,Daten!G$2:G$101,1)</f>
        <v>40</v>
      </c>
      <c r="H61" s="12" t="n">
        <f aca="false">RANK(Daten!H61,Daten!H$2:H$101,0)</f>
        <v>82</v>
      </c>
      <c r="I61" s="12" t="n">
        <f aca="false">RANK(Daten!I61,Daten!I$2:I$101,0)</f>
        <v>70</v>
      </c>
      <c r="J61" s="12" t="n">
        <f aca="false">RANK(Daten!J61,Daten!J$2:J$101,0)</f>
        <v>75</v>
      </c>
      <c r="K61" s="12" t="n">
        <f aca="false">RANK(Daten!K61,Daten!K$2:K$101,0)</f>
        <v>37</v>
      </c>
      <c r="L61" s="12" t="n">
        <f aca="false">RANK(Daten!L61,Daten!L$2:L$101,0)</f>
        <v>30</v>
      </c>
      <c r="M61" s="12" t="n">
        <f aca="false">RANK(Daten!M61,Daten!M$2:M$101,1)</f>
        <v>25</v>
      </c>
      <c r="N61" s="12" t="n">
        <f aca="false">RANK(Daten!N61,Daten!N$2:N$101,0)</f>
        <v>92</v>
      </c>
      <c r="O61" s="12" t="n">
        <f aca="false">RANK(Daten!O61,Daten!O$2:O$101,0)</f>
        <v>54</v>
      </c>
      <c r="P61" s="12" t="n">
        <f aca="false">RANK(Daten!P61,Daten!P$2:P$101,0)</f>
        <v>86</v>
      </c>
      <c r="Q61" s="13" t="n">
        <f aca="false">COUNTIF(B61:P61,"&lt;=3")</f>
        <v>0</v>
      </c>
      <c r="R61" s="12" t="n">
        <f aca="false">COUNTIF(B61:P61,1)</f>
        <v>0</v>
      </c>
    </row>
    <row r="62" customFormat="false" ht="15" hidden="false" customHeight="false" outlineLevel="0" collapsed="false">
      <c r="A62" s="3" t="str">
        <f aca="false">Daten!A62</f>
        <v>Ladd McConkey</v>
      </c>
      <c r="B62" s="12" t="n">
        <f aca="false">RANK(Daten!B62,Daten!B$2:B$101,1)</f>
        <v>79</v>
      </c>
      <c r="C62" s="12" t="n">
        <f aca="false">RANK(Daten!C62,Daten!C$2:C$101,0)</f>
        <v>75</v>
      </c>
      <c r="D62" s="12" t="n">
        <f aca="false">RANK(Daten!D62,Daten!D$2:D$101,0)</f>
        <v>94</v>
      </c>
      <c r="E62" s="12" t="n">
        <f aca="false">RANK(Daten!E62,Daten!E$2:E$101,1)</f>
        <v>79</v>
      </c>
      <c r="F62" s="12" t="n">
        <f aca="false">RANK(Daten!F62,Daten!F$2:F$101,1)</f>
        <v>75</v>
      </c>
      <c r="G62" s="12" t="n">
        <f aca="false">RANK(Daten!G62,Daten!G$2:G$101,1)</f>
        <v>81</v>
      </c>
      <c r="H62" s="12" t="n">
        <f aca="false">RANK(Daten!H62,Daten!H$2:H$101,0)</f>
        <v>77</v>
      </c>
      <c r="I62" s="12" t="n">
        <f aca="false">RANK(Daten!I62,Daten!I$2:I$101,0)</f>
        <v>70</v>
      </c>
      <c r="J62" s="12" t="n">
        <f aca="false">RANK(Daten!J62,Daten!J$2:J$101,0)</f>
        <v>75</v>
      </c>
      <c r="K62" s="12" t="n">
        <f aca="false">RANK(Daten!K62,Daten!K$2:K$101,0)</f>
        <v>37</v>
      </c>
      <c r="L62" s="12" t="n">
        <f aca="false">RANK(Daten!L62,Daten!L$2:L$101,0)</f>
        <v>30</v>
      </c>
      <c r="M62" s="12" t="n">
        <f aca="false">RANK(Daten!M62,Daten!M$2:M$101,1)</f>
        <v>50</v>
      </c>
      <c r="N62" s="12" t="n">
        <f aca="false">RANK(Daten!N62,Daten!N$2:N$101,0)</f>
        <v>98</v>
      </c>
      <c r="O62" s="12" t="n">
        <f aca="false">RANK(Daten!O62,Daten!O$2:O$101,0)</f>
        <v>54</v>
      </c>
      <c r="P62" s="12" t="n">
        <f aca="false">RANK(Daten!P62,Daten!P$2:P$101,0)</f>
        <v>88</v>
      </c>
      <c r="Q62" s="13" t="n">
        <f aca="false">COUNTIF(B62:P62,"&lt;=3")</f>
        <v>0</v>
      </c>
      <c r="R62" s="12" t="n">
        <f aca="false">COUNTIF(B62:P62,1)</f>
        <v>0</v>
      </c>
    </row>
    <row r="63" customFormat="false" ht="15" hidden="false" customHeight="false" outlineLevel="0" collapsed="false">
      <c r="A63" s="3" t="str">
        <f aca="false">Daten!A63</f>
        <v>Marvin Harrison Jr.</v>
      </c>
      <c r="B63" s="12" t="n">
        <f aca="false">RANK(Daten!B63,Daten!B$2:B$101,1)</f>
        <v>88</v>
      </c>
      <c r="C63" s="12" t="n">
        <f aca="false">RANK(Daten!C63,Daten!C$2:C$101,0)</f>
        <v>37</v>
      </c>
      <c r="D63" s="12" t="n">
        <f aca="false">RANK(Daten!D63,Daten!D$2:D$101,0)</f>
        <v>74</v>
      </c>
      <c r="E63" s="12" t="n">
        <f aca="false">RANK(Daten!E63,Daten!E$2:E$101,1)</f>
        <v>79</v>
      </c>
      <c r="F63" s="12" t="n">
        <f aca="false">RANK(Daten!F63,Daten!F$2:F$101,1)</f>
        <v>23</v>
      </c>
      <c r="G63" s="12" t="n">
        <f aca="false">RANK(Daten!G63,Daten!G$2:G$101,1)</f>
        <v>51</v>
      </c>
      <c r="H63" s="12" t="n">
        <f aca="false">RANK(Daten!H63,Daten!H$2:H$101,0)</f>
        <v>82</v>
      </c>
      <c r="I63" s="12" t="n">
        <f aca="false">RANK(Daten!I63,Daten!I$2:I$101,0)</f>
        <v>70</v>
      </c>
      <c r="J63" s="12" t="n">
        <f aca="false">RANK(Daten!J63,Daten!J$2:J$101,0)</f>
        <v>75</v>
      </c>
      <c r="K63" s="12" t="n">
        <f aca="false">RANK(Daten!K63,Daten!K$2:K$101,0)</f>
        <v>37</v>
      </c>
      <c r="L63" s="12" t="n">
        <f aca="false">RANK(Daten!L63,Daten!L$2:L$101,0)</f>
        <v>30</v>
      </c>
      <c r="M63" s="12" t="n">
        <f aca="false">RANK(Daten!M63,Daten!M$2:M$101,1)</f>
        <v>61</v>
      </c>
      <c r="N63" s="12" t="n">
        <f aca="false">RANK(Daten!N63,Daten!N$2:N$101,0)</f>
        <v>74</v>
      </c>
      <c r="O63" s="12" t="n">
        <f aca="false">RANK(Daten!O63,Daten!O$2:O$101,0)</f>
        <v>54</v>
      </c>
      <c r="P63" s="12" t="n">
        <f aca="false">RANK(Daten!P63,Daten!P$2:P$101,0)</f>
        <v>3</v>
      </c>
      <c r="Q63" s="13" t="n">
        <f aca="false">COUNTIF(B63:P63,"&lt;=3")</f>
        <v>1</v>
      </c>
      <c r="R63" s="12" t="n">
        <f aca="false">COUNTIF(B63:P63,1)</f>
        <v>0</v>
      </c>
    </row>
    <row r="64" customFormat="false" ht="15" hidden="false" customHeight="false" outlineLevel="0" collapsed="false">
      <c r="A64" s="3" t="str">
        <f aca="false">Daten!A64</f>
        <v>Travis Hunter</v>
      </c>
      <c r="B64" s="12" t="n">
        <f aca="false">RANK(Daten!B64,Daten!B$2:B$101,1)</f>
        <v>95</v>
      </c>
      <c r="C64" s="12" t="n">
        <f aca="false">RANK(Daten!C64,Daten!C$2:C$101,0)</f>
        <v>63</v>
      </c>
      <c r="D64" s="12" t="n">
        <f aca="false">RANK(Daten!D64,Daten!D$2:D$101,0)</f>
        <v>94</v>
      </c>
      <c r="E64" s="12" t="n">
        <f aca="false">RANK(Daten!E64,Daten!E$2:E$101,1)</f>
        <v>92</v>
      </c>
      <c r="F64" s="12" t="n">
        <f aca="false">RANK(Daten!F64,Daten!F$2:F$101,1)</f>
        <v>12</v>
      </c>
      <c r="G64" s="12" t="n">
        <f aca="false">RANK(Daten!G64,Daten!G$2:G$101,1)</f>
        <v>67</v>
      </c>
      <c r="H64" s="12" t="n">
        <f aca="false">RANK(Daten!H64,Daten!H$2:H$101,0)</f>
        <v>82</v>
      </c>
      <c r="I64" s="12" t="n">
        <f aca="false">RANK(Daten!I64,Daten!I$2:I$101,0)</f>
        <v>86</v>
      </c>
      <c r="J64" s="12" t="n">
        <f aca="false">RANK(Daten!J64,Daten!J$2:J$101,0)</f>
        <v>75</v>
      </c>
      <c r="K64" s="12" t="n">
        <f aca="false">RANK(Daten!K64,Daten!K$2:K$101,0)</f>
        <v>37</v>
      </c>
      <c r="L64" s="12" t="n">
        <f aca="false">RANK(Daten!L64,Daten!L$2:L$101,0)</f>
        <v>30</v>
      </c>
      <c r="M64" s="12" t="n">
        <f aca="false">RANK(Daten!M64,Daten!M$2:M$101,1)</f>
        <v>43</v>
      </c>
      <c r="N64" s="12" t="n">
        <f aca="false">RANK(Daten!N64,Daten!N$2:N$101,0)</f>
        <v>65</v>
      </c>
      <c r="O64" s="12" t="n">
        <f aca="false">RANK(Daten!O64,Daten!O$2:O$101,0)</f>
        <v>22</v>
      </c>
      <c r="P64" s="12" t="n">
        <f aca="false">RANK(Daten!P64,Daten!P$2:P$101,0)</f>
        <v>67</v>
      </c>
      <c r="Q64" s="13" t="n">
        <f aca="false">COUNTIF(B64:P64,"&lt;=3")</f>
        <v>0</v>
      </c>
      <c r="R64" s="12" t="n">
        <f aca="false">COUNTIF(B64:P64,1)</f>
        <v>0</v>
      </c>
    </row>
    <row r="65" customFormat="false" ht="15" hidden="false" customHeight="false" outlineLevel="0" collapsed="false">
      <c r="A65" s="3" t="str">
        <f aca="false">Daten!A65</f>
        <v>Tetairoa McMillan</v>
      </c>
      <c r="B65" s="12" t="n">
        <f aca="false">RANK(Daten!B65,Daten!B$2:B$101,1)</f>
        <v>94</v>
      </c>
      <c r="C65" s="12" t="n">
        <f aca="false">RANK(Daten!C65,Daten!C$2:C$101,0)</f>
        <v>18</v>
      </c>
      <c r="D65" s="12" t="n">
        <f aca="false">RANK(Daten!D65,Daten!D$2:D$101,0)</f>
        <v>54</v>
      </c>
      <c r="E65" s="12" t="n">
        <f aca="false">RANK(Daten!E65,Daten!E$2:E$101,1)</f>
        <v>92</v>
      </c>
      <c r="F65" s="12" t="n">
        <f aca="false">RANK(Daten!F65,Daten!F$2:F$101,1)</f>
        <v>39</v>
      </c>
      <c r="G65" s="12" t="n">
        <f aca="false">RANK(Daten!G65,Daten!G$2:G$101,1)</f>
        <v>68</v>
      </c>
      <c r="H65" s="12" t="n">
        <f aca="false">RANK(Daten!H65,Daten!H$2:H$101,0)</f>
        <v>82</v>
      </c>
      <c r="I65" s="12" t="n">
        <f aca="false">RANK(Daten!I65,Daten!I$2:I$101,0)</f>
        <v>86</v>
      </c>
      <c r="J65" s="12" t="n">
        <f aca="false">RANK(Daten!J65,Daten!J$2:J$101,0)</f>
        <v>75</v>
      </c>
      <c r="K65" s="12" t="n">
        <f aca="false">RANK(Daten!K65,Daten!K$2:K$101,0)</f>
        <v>37</v>
      </c>
      <c r="L65" s="12" t="n">
        <f aca="false">RANK(Daten!L65,Daten!L$2:L$101,0)</f>
        <v>30</v>
      </c>
      <c r="M65" s="12" t="n">
        <f aca="false">RANK(Daten!M65,Daten!M$2:M$101,1)</f>
        <v>13</v>
      </c>
      <c r="N65" s="12" t="n">
        <f aca="false">RANK(Daten!N65,Daten!N$2:N$101,0)</f>
        <v>76</v>
      </c>
      <c r="O65" s="12" t="n">
        <f aca="false">RANK(Daten!O65,Daten!O$2:O$101,0)</f>
        <v>22</v>
      </c>
      <c r="P65" s="12" t="n">
        <f aca="false">RANK(Daten!P65,Daten!P$2:P$101,0)</f>
        <v>88</v>
      </c>
      <c r="Q65" s="13" t="n">
        <f aca="false">COUNTIF(B65:P65,"&lt;=3")</f>
        <v>0</v>
      </c>
      <c r="R65" s="12" t="n">
        <f aca="false">COUNTIF(B65:P65,1)</f>
        <v>0</v>
      </c>
    </row>
    <row r="66" customFormat="false" ht="15" hidden="false" customHeight="false" outlineLevel="0" collapsed="false">
      <c r="A66" s="3" t="str">
        <f aca="false">Daten!A66</f>
        <v>Zay Flowers</v>
      </c>
      <c r="B66" s="12" t="n">
        <f aca="false">RANK(Daten!B66,Daten!B$2:B$101,1)</f>
        <v>63</v>
      </c>
      <c r="C66" s="12" t="n">
        <f aca="false">RANK(Daten!C66,Daten!C$2:C$101,0)</f>
        <v>95</v>
      </c>
      <c r="D66" s="12" t="n">
        <f aca="false">RANK(Daten!D66,Daten!D$2:D$101,0)</f>
        <v>97</v>
      </c>
      <c r="E66" s="12" t="n">
        <f aca="false">RANK(Daten!E66,Daten!E$2:E$101,1)</f>
        <v>66</v>
      </c>
      <c r="F66" s="12" t="n">
        <f aca="false">RANK(Daten!F66,Daten!F$2:F$101,1)</f>
        <v>67</v>
      </c>
      <c r="G66" s="12" t="n">
        <f aca="false">RANK(Daten!G66,Daten!G$2:G$101,1)</f>
        <v>88</v>
      </c>
      <c r="H66" s="12" t="n">
        <f aca="false">RANK(Daten!H66,Daten!H$2:H$101,0)</f>
        <v>55</v>
      </c>
      <c r="I66" s="12" t="n">
        <f aca="false">RANK(Daten!I66,Daten!I$2:I$101,0)</f>
        <v>56</v>
      </c>
      <c r="J66" s="12" t="n">
        <f aca="false">RANK(Daten!J66,Daten!J$2:J$101,0)</f>
        <v>48</v>
      </c>
      <c r="K66" s="12" t="n">
        <f aca="false">RANK(Daten!K66,Daten!K$2:K$101,0)</f>
        <v>37</v>
      </c>
      <c r="L66" s="12" t="n">
        <f aca="false">RANK(Daten!L66,Daten!L$2:L$101,0)</f>
        <v>30</v>
      </c>
      <c r="M66" s="12" t="n">
        <f aca="false">RANK(Daten!M66,Daten!M$2:M$101,1)</f>
        <v>13</v>
      </c>
      <c r="N66" s="12" t="n">
        <f aca="false">RANK(Daten!N66,Daten!N$2:N$101,0)</f>
        <v>93</v>
      </c>
      <c r="O66" s="12" t="n">
        <f aca="false">RANK(Daten!O66,Daten!O$2:O$101,0)</f>
        <v>76</v>
      </c>
      <c r="P66" s="12" t="n">
        <f aca="false">RANK(Daten!P66,Daten!P$2:P$101,0)</f>
        <v>30</v>
      </c>
      <c r="Q66" s="13" t="n">
        <f aca="false">COUNTIF(B66:P66,"&lt;=3")</f>
        <v>0</v>
      </c>
      <c r="R66" s="12" t="n">
        <f aca="false">COUNTIF(B66:P66,1)</f>
        <v>0</v>
      </c>
    </row>
    <row r="67" customFormat="false" ht="15" hidden="false" customHeight="false" outlineLevel="0" collapsed="false">
      <c r="A67" s="3" t="str">
        <f aca="false">Daten!A67</f>
        <v>DeVonta Smith</v>
      </c>
      <c r="B67" s="12" t="n">
        <f aca="false">RANK(Daten!B67,Daten!B$2:B$101,1)</f>
        <v>39</v>
      </c>
      <c r="C67" s="12" t="n">
        <f aca="false">RANK(Daten!C67,Daten!C$2:C$101,0)</f>
        <v>75</v>
      </c>
      <c r="D67" s="12" t="n">
        <f aca="false">RANK(Daten!D67,Daten!D$2:D$101,0)</f>
        <v>100</v>
      </c>
      <c r="E67" s="12" t="n">
        <f aca="false">RANK(Daten!E67,Daten!E$2:E$101,1)</f>
        <v>44</v>
      </c>
      <c r="F67" s="12" t="n">
        <f aca="false">RANK(Daten!F67,Daten!F$2:F$101,1)</f>
        <v>49</v>
      </c>
      <c r="G67" s="12" t="n">
        <f aca="false">RANK(Daten!G67,Daten!G$2:G$101,1)</f>
        <v>81</v>
      </c>
      <c r="H67" s="12" t="n">
        <f aca="false">RANK(Daten!H67,Daten!H$2:H$101,0)</f>
        <v>13</v>
      </c>
      <c r="I67" s="12" t="n">
        <f aca="false">RANK(Daten!I67,Daten!I$2:I$101,0)</f>
        <v>30</v>
      </c>
      <c r="J67" s="12" t="n">
        <f aca="false">RANK(Daten!J67,Daten!J$2:J$101,0)</f>
        <v>75</v>
      </c>
      <c r="K67" s="12" t="n">
        <f aca="false">RANK(Daten!K67,Daten!K$2:K$101,0)</f>
        <v>37</v>
      </c>
      <c r="L67" s="12" t="n">
        <f aca="false">RANK(Daten!L67,Daten!L$2:L$101,0)</f>
        <v>5</v>
      </c>
      <c r="M67" s="12" t="n">
        <f aca="false">RANK(Daten!M67,Daten!M$2:M$101,1)</f>
        <v>23</v>
      </c>
      <c r="N67" s="12" t="n">
        <f aca="false">RANK(Daten!N67,Daten!N$2:N$101,0)</f>
        <v>39</v>
      </c>
      <c r="O67" s="12" t="n">
        <f aca="false">RANK(Daten!O67,Daten!O$2:O$101,0)</f>
        <v>22</v>
      </c>
      <c r="P67" s="12" t="n">
        <f aca="false">RANK(Daten!P67,Daten!P$2:P$101,0)</f>
        <v>98</v>
      </c>
      <c r="Q67" s="13" t="n">
        <f aca="false">COUNTIF(B67:P67,"&lt;=3")</f>
        <v>0</v>
      </c>
      <c r="R67" s="12" t="n">
        <f aca="false">COUNTIF(B67:P67,1)</f>
        <v>0</v>
      </c>
    </row>
    <row r="68" customFormat="false" ht="15" hidden="false" customHeight="false" outlineLevel="0" collapsed="false">
      <c r="A68" s="3" t="str">
        <f aca="false">Daten!A68</f>
        <v>Rome Odunze</v>
      </c>
      <c r="B68" s="12" t="n">
        <f aca="false">RANK(Daten!B68,Daten!B$2:B$101,1)</f>
        <v>87</v>
      </c>
      <c r="C68" s="12" t="n">
        <f aca="false">RANK(Daten!C68,Daten!C$2:C$101,0)</f>
        <v>37</v>
      </c>
      <c r="D68" s="12" t="n">
        <f aca="false">RANK(Daten!D68,Daten!D$2:D$101,0)</f>
        <v>66</v>
      </c>
      <c r="E68" s="12" t="n">
        <f aca="false">RANK(Daten!E68,Daten!E$2:E$101,1)</f>
        <v>79</v>
      </c>
      <c r="F68" s="12" t="n">
        <f aca="false">RANK(Daten!F68,Daten!F$2:F$101,1)</f>
        <v>46</v>
      </c>
      <c r="G68" s="12" t="n">
        <f aca="false">RANK(Daten!G68,Daten!G$2:G$101,1)</f>
        <v>63</v>
      </c>
      <c r="H68" s="12" t="n">
        <f aca="false">RANK(Daten!H68,Daten!H$2:H$101,0)</f>
        <v>63</v>
      </c>
      <c r="I68" s="12" t="n">
        <f aca="false">RANK(Daten!I68,Daten!I$2:I$101,0)</f>
        <v>70</v>
      </c>
      <c r="J68" s="12" t="n">
        <f aca="false">RANK(Daten!J68,Daten!J$2:J$101,0)</f>
        <v>75</v>
      </c>
      <c r="K68" s="12" t="n">
        <f aca="false">RANK(Daten!K68,Daten!K$2:K$101,0)</f>
        <v>37</v>
      </c>
      <c r="L68" s="12" t="n">
        <f aca="false">RANK(Daten!L68,Daten!L$2:L$101,0)</f>
        <v>30</v>
      </c>
      <c r="M68" s="12" t="n">
        <f aca="false">RANK(Daten!M68,Daten!M$2:M$101,1)</f>
        <v>50</v>
      </c>
      <c r="N68" s="12" t="n">
        <f aca="false">RANK(Daten!N68,Daten!N$2:N$101,0)</f>
        <v>79</v>
      </c>
      <c r="O68" s="12" t="n">
        <f aca="false">RANK(Daten!O68,Daten!O$2:O$101,0)</f>
        <v>54</v>
      </c>
      <c r="P68" s="12" t="n">
        <f aca="false">RANK(Daten!P68,Daten!P$2:P$101,0)</f>
        <v>13</v>
      </c>
      <c r="Q68" s="13" t="n">
        <f aca="false">COUNTIF(B68:P68,"&lt;=3")</f>
        <v>0</v>
      </c>
      <c r="R68" s="12" t="n">
        <f aca="false">COUNTIF(B68:P68,1)</f>
        <v>0</v>
      </c>
    </row>
    <row r="69" customFormat="false" ht="15" hidden="false" customHeight="false" outlineLevel="0" collapsed="false">
      <c r="A69" s="3" t="str">
        <f aca="false">Daten!A69</f>
        <v>Sam LaPorta</v>
      </c>
      <c r="B69" s="12" t="n">
        <f aca="false">RANK(Daten!B69,Daten!B$2:B$101,1)</f>
        <v>69</v>
      </c>
      <c r="C69" s="12" t="n">
        <f aca="false">RANK(Daten!C69,Daten!C$2:C$101,0)</f>
        <v>37</v>
      </c>
      <c r="D69" s="12" t="n">
        <f aca="false">RANK(Daten!D69,Daten!D$2:D$101,0)</f>
        <v>24</v>
      </c>
      <c r="E69" s="12" t="n">
        <f aca="false">RANK(Daten!E69,Daten!E$2:E$101,1)</f>
        <v>66</v>
      </c>
      <c r="F69" s="12" t="n">
        <f aca="false">RANK(Daten!F69,Daten!F$2:F$101,1)</f>
        <v>75</v>
      </c>
      <c r="G69" s="12" t="n">
        <f aca="false">RANK(Daten!G69,Daten!G$2:G$101,1)</f>
        <v>75</v>
      </c>
      <c r="H69" s="12" t="n">
        <f aca="false">RANK(Daten!H69,Daten!H$2:H$101,0)</f>
        <v>34</v>
      </c>
      <c r="I69" s="12" t="n">
        <f aca="false">RANK(Daten!I69,Daten!I$2:I$101,0)</f>
        <v>56</v>
      </c>
      <c r="J69" s="12" t="n">
        <f aca="false">RANK(Daten!J69,Daten!J$2:J$101,0)</f>
        <v>48</v>
      </c>
      <c r="K69" s="12" t="n">
        <f aca="false">RANK(Daten!K69,Daten!K$2:K$101,0)</f>
        <v>37</v>
      </c>
      <c r="L69" s="12" t="n">
        <f aca="false">RANK(Daten!L69,Daten!L$2:L$101,0)</f>
        <v>30</v>
      </c>
      <c r="M69" s="12" t="n">
        <f aca="false">RANK(Daten!M69,Daten!M$2:M$101,1)</f>
        <v>89</v>
      </c>
      <c r="N69" s="12" t="n">
        <f aca="false">RANK(Daten!N69,Daten!N$2:N$101,0)</f>
        <v>95</v>
      </c>
      <c r="O69" s="12" t="n">
        <f aca="false">RANK(Daten!O69,Daten!O$2:O$101,0)</f>
        <v>76</v>
      </c>
      <c r="P69" s="12" t="n">
        <f aca="false">RANK(Daten!P69,Daten!P$2:P$101,0)</f>
        <v>78</v>
      </c>
      <c r="Q69" s="13" t="n">
        <f aca="false">COUNTIF(B69:P69,"&lt;=3")</f>
        <v>0</v>
      </c>
      <c r="R69" s="12" t="n">
        <f aca="false">COUNTIF(B69:P69,1)</f>
        <v>0</v>
      </c>
    </row>
    <row r="70" customFormat="false" ht="15" hidden="false" customHeight="false" outlineLevel="0" collapsed="false">
      <c r="A70" s="3" t="str">
        <f aca="false">Daten!A70</f>
        <v>T.J. Hockenson</v>
      </c>
      <c r="B70" s="12" t="n">
        <f aca="false">RANK(Daten!B70,Daten!B$2:B$101,1)</f>
        <v>28</v>
      </c>
      <c r="C70" s="12" t="n">
        <f aca="false">RANK(Daten!C70,Daten!C$2:C$101,0)</f>
        <v>8</v>
      </c>
      <c r="D70" s="12" t="n">
        <f aca="false">RANK(Daten!D70,Daten!D$2:D$101,0)</f>
        <v>20</v>
      </c>
      <c r="E70" s="12" t="n">
        <f aca="false">RANK(Daten!E70,Daten!E$2:E$101,1)</f>
        <v>25</v>
      </c>
      <c r="F70" s="12" t="n">
        <f aca="false">RANK(Daten!F70,Daten!F$2:F$101,1)</f>
        <v>39</v>
      </c>
      <c r="G70" s="12" t="n">
        <f aca="false">RANK(Daten!G70,Daten!G$2:G$101,1)</f>
        <v>59</v>
      </c>
      <c r="H70" s="12" t="n">
        <f aca="false">RANK(Daten!H70,Daten!H$2:H$101,0)</f>
        <v>63</v>
      </c>
      <c r="I70" s="12" t="n">
        <f aca="false">RANK(Daten!I70,Daten!I$2:I$101,0)</f>
        <v>42</v>
      </c>
      <c r="J70" s="12" t="n">
        <f aca="false">RANK(Daten!J70,Daten!J$2:J$101,0)</f>
        <v>37</v>
      </c>
      <c r="K70" s="12" t="n">
        <f aca="false">RANK(Daten!K70,Daten!K$2:K$101,0)</f>
        <v>37</v>
      </c>
      <c r="L70" s="12" t="n">
        <f aca="false">RANK(Daten!L70,Daten!L$2:L$101,0)</f>
        <v>30</v>
      </c>
      <c r="M70" s="12" t="n">
        <f aca="false">RANK(Daten!M70,Daten!M$2:M$101,1)</f>
        <v>89</v>
      </c>
      <c r="N70" s="12" t="n">
        <f aca="false">RANK(Daten!N70,Daten!N$2:N$101,0)</f>
        <v>57</v>
      </c>
      <c r="O70" s="12" t="n">
        <f aca="false">RANK(Daten!O70,Daten!O$2:O$101,0)</f>
        <v>54</v>
      </c>
      <c r="P70" s="12" t="n">
        <f aca="false">RANK(Daten!P70,Daten!P$2:P$101,0)</f>
        <v>91</v>
      </c>
      <c r="Q70" s="13" t="n">
        <f aca="false">COUNTIF(B70:P70,"&lt;=3")</f>
        <v>0</v>
      </c>
      <c r="R70" s="12" t="n">
        <f aca="false">COUNTIF(B70:P70,1)</f>
        <v>0</v>
      </c>
    </row>
    <row r="71" customFormat="false" ht="15" hidden="false" customHeight="false" outlineLevel="0" collapsed="false">
      <c r="A71" s="3" t="str">
        <f aca="false">Daten!A71</f>
        <v>Tyler Warren</v>
      </c>
      <c r="B71" s="12" t="n">
        <f aca="false">RANK(Daten!B71,Daten!B$2:B$101,1)</f>
        <v>85</v>
      </c>
      <c r="C71" s="12" t="n">
        <f aca="false">RANK(Daten!C71,Daten!C$2:C$101,0)</f>
        <v>2</v>
      </c>
      <c r="D71" s="12" t="n">
        <f aca="false">RANK(Daten!D71,Daten!D$2:D$101,0)</f>
        <v>14</v>
      </c>
      <c r="E71" s="12" t="n">
        <f aca="false">RANK(Daten!E71,Daten!E$2:E$101,1)</f>
        <v>92</v>
      </c>
      <c r="F71" s="12" t="n">
        <f aca="false">RANK(Daten!F71,Daten!F$2:F$101,1)</f>
        <v>60</v>
      </c>
      <c r="G71" s="12" t="n">
        <f aca="false">RANK(Daten!G71,Daten!G$2:G$101,1)</f>
        <v>92</v>
      </c>
      <c r="H71" s="12" t="n">
        <f aca="false">RANK(Daten!H71,Daten!H$2:H$101,0)</f>
        <v>82</v>
      </c>
      <c r="I71" s="12" t="n">
        <f aca="false">RANK(Daten!I71,Daten!I$2:I$101,0)</f>
        <v>86</v>
      </c>
      <c r="J71" s="12" t="n">
        <f aca="false">RANK(Daten!J71,Daten!J$2:J$101,0)</f>
        <v>75</v>
      </c>
      <c r="K71" s="12" t="n">
        <f aca="false">RANK(Daten!K71,Daten!K$2:K$101,0)</f>
        <v>37</v>
      </c>
      <c r="L71" s="12" t="n">
        <f aca="false">RANK(Daten!L71,Daten!L$2:L$101,0)</f>
        <v>30</v>
      </c>
      <c r="M71" s="12" t="n">
        <f aca="false">RANK(Daten!M71,Daten!M$2:M$101,1)</f>
        <v>85</v>
      </c>
      <c r="N71" s="12" t="n">
        <f aca="false">RANK(Daten!N71,Daten!N$2:N$101,0)</f>
        <v>86</v>
      </c>
      <c r="O71" s="12" t="n">
        <f aca="false">RANK(Daten!O71,Daten!O$2:O$101,0)</f>
        <v>22</v>
      </c>
      <c r="P71" s="12" t="n">
        <f aca="false">RANK(Daten!P71,Daten!P$2:P$101,0)</f>
        <v>58</v>
      </c>
      <c r="Q71" s="13" t="n">
        <f aca="false">COUNTIF(B71:P71,"&lt;=3")</f>
        <v>1</v>
      </c>
      <c r="R71" s="12" t="n">
        <f aca="false">COUNTIF(B71:P71,1)</f>
        <v>0</v>
      </c>
    </row>
    <row r="72" customFormat="false" ht="15" hidden="false" customHeight="false" outlineLevel="0" collapsed="false">
      <c r="A72" s="3" t="str">
        <f aca="false">Daten!A72</f>
        <v>Colston Loveland</v>
      </c>
      <c r="B72" s="12" t="n">
        <f aca="false">RANK(Daten!B72,Daten!B$2:B$101,1)</f>
        <v>100</v>
      </c>
      <c r="C72" s="12" t="n">
        <f aca="false">RANK(Daten!C72,Daten!C$2:C$101,0)</f>
        <v>2</v>
      </c>
      <c r="D72" s="12" t="n">
        <f aca="false">RANK(Daten!D72,Daten!D$2:D$101,0)</f>
        <v>20</v>
      </c>
      <c r="E72" s="12" t="n">
        <f aca="false">RANK(Daten!E72,Daten!E$2:E$101,1)</f>
        <v>92</v>
      </c>
      <c r="F72" s="12" t="n">
        <f aca="false">RANK(Daten!F72,Daten!F$2:F$101,1)</f>
        <v>49</v>
      </c>
      <c r="G72" s="12" t="n">
        <f aca="false">RANK(Daten!G72,Daten!G$2:G$101,1)</f>
        <v>10</v>
      </c>
      <c r="H72" s="12" t="n">
        <f aca="false">RANK(Daten!H72,Daten!H$2:H$101,0)</f>
        <v>63</v>
      </c>
      <c r="I72" s="12" t="n">
        <f aca="false">RANK(Daten!I72,Daten!I$2:I$101,0)</f>
        <v>86</v>
      </c>
      <c r="J72" s="12" t="n">
        <f aca="false">RANK(Daten!J72,Daten!J$2:J$101,0)</f>
        <v>75</v>
      </c>
      <c r="K72" s="12" t="n">
        <f aca="false">RANK(Daten!K72,Daten!K$2:K$101,0)</f>
        <v>37</v>
      </c>
      <c r="L72" s="12" t="n">
        <f aca="false">RANK(Daten!L72,Daten!L$2:L$101,0)</f>
        <v>30</v>
      </c>
      <c r="M72" s="12" t="n">
        <f aca="false">RANK(Daten!M72,Daten!M$2:M$101,1)</f>
        <v>85</v>
      </c>
      <c r="N72" s="12" t="n">
        <f aca="false">RANK(Daten!N72,Daten!N$2:N$101,0)</f>
        <v>78</v>
      </c>
      <c r="O72" s="12" t="n">
        <f aca="false">RANK(Daten!O72,Daten!O$2:O$101,0)</f>
        <v>22</v>
      </c>
      <c r="P72" s="12" t="n">
        <f aca="false">RANK(Daten!P72,Daten!P$2:P$101,0)</f>
        <v>91</v>
      </c>
      <c r="Q72" s="13" t="n">
        <f aca="false">COUNTIF(B72:P72,"&lt;=3")</f>
        <v>1</v>
      </c>
      <c r="R72" s="12" t="n">
        <f aca="false">COUNTIF(B72:P72,1)</f>
        <v>0</v>
      </c>
    </row>
    <row r="73" customFormat="false" ht="15" hidden="false" customHeight="false" outlineLevel="0" collapsed="false">
      <c r="A73" s="3" t="str">
        <f aca="false">Daten!A73</f>
        <v>Trent Williams</v>
      </c>
      <c r="B73" s="12" t="n">
        <f aca="false">RANK(Daten!B73,Daten!B$2:B$101,1)</f>
        <v>2</v>
      </c>
      <c r="C73" s="12" t="n">
        <f aca="false">RANK(Daten!C73,Daten!C$2:C$101,0)</f>
        <v>8</v>
      </c>
      <c r="D73" s="12" t="n">
        <f aca="false">RANK(Daten!D73,Daten!D$2:D$101,0)</f>
        <v>5</v>
      </c>
      <c r="E73" s="12" t="n">
        <f aca="false">RANK(Daten!E73,Daten!E$2:E$101,1)</f>
        <v>2</v>
      </c>
      <c r="F73" s="12" t="n">
        <f aca="false">RANK(Daten!F73,Daten!F$2:F$101,1)</f>
        <v>23</v>
      </c>
      <c r="G73" s="12" t="n">
        <f aca="false">RANK(Daten!G73,Daten!G$2:G$101,1)</f>
        <v>58</v>
      </c>
      <c r="H73" s="12" t="n">
        <f aca="false">RANK(Daten!H73,Daten!H$2:H$101,0)</f>
        <v>18</v>
      </c>
      <c r="I73" s="12" t="n">
        <f aca="false">RANK(Daten!I73,Daten!I$2:I$101,0)</f>
        <v>19</v>
      </c>
      <c r="J73" s="12" t="n">
        <f aca="false">RANK(Daten!J73,Daten!J$2:J$101,0)</f>
        <v>1</v>
      </c>
      <c r="K73" s="12" t="n">
        <f aca="false">RANK(Daten!K73,Daten!K$2:K$101,0)</f>
        <v>3</v>
      </c>
      <c r="L73" s="12" t="n">
        <f aca="false">RANK(Daten!L73,Daten!L$2:L$101,0)</f>
        <v>11</v>
      </c>
      <c r="M73" s="12" t="n">
        <f aca="false">RANK(Daten!M73,Daten!M$2:M$101,1)</f>
        <v>83</v>
      </c>
      <c r="N73" s="12" t="n">
        <f aca="false">RANK(Daten!N73,Daten!N$2:N$101,0)</f>
        <v>38</v>
      </c>
      <c r="O73" s="12" t="n">
        <f aca="false">RANK(Daten!O73,Daten!O$2:O$101,0)</f>
        <v>76</v>
      </c>
      <c r="P73" s="12" t="n">
        <f aca="false">RANK(Daten!P73,Daten!P$2:P$101,0)</f>
        <v>43</v>
      </c>
      <c r="Q73" s="13" t="n">
        <f aca="false">COUNTIF(B73:P73,"&lt;=3")</f>
        <v>4</v>
      </c>
      <c r="R73" s="12" t="n">
        <f aca="false">COUNTIF(B73:P73,1)</f>
        <v>1</v>
      </c>
    </row>
    <row r="74" customFormat="false" ht="15" hidden="false" customHeight="false" outlineLevel="0" collapsed="false">
      <c r="A74" s="3" t="str">
        <f aca="false">Daten!A74</f>
        <v>Lane Johnson</v>
      </c>
      <c r="B74" s="12" t="n">
        <f aca="false">RANK(Daten!B74,Daten!B$2:B$101,1)</f>
        <v>3</v>
      </c>
      <c r="C74" s="12" t="n">
        <f aca="false">RANK(Daten!C74,Daten!C$2:C$101,0)</f>
        <v>2</v>
      </c>
      <c r="D74" s="12" t="n">
        <f aca="false">RANK(Daten!D74,Daten!D$2:D$101,0)</f>
        <v>4</v>
      </c>
      <c r="E74" s="12" t="n">
        <f aca="false">RANK(Daten!E74,Daten!E$2:E$101,1)</f>
        <v>3</v>
      </c>
      <c r="F74" s="12" t="n">
        <f aca="false">RANK(Daten!F74,Daten!F$2:F$101,1)</f>
        <v>23</v>
      </c>
      <c r="G74" s="12" t="n">
        <f aca="false">RANK(Daten!G74,Daten!G$2:G$101,1)</f>
        <v>91</v>
      </c>
      <c r="H74" s="12" t="n">
        <f aca="false">RANK(Daten!H74,Daten!H$2:H$101,0)</f>
        <v>3</v>
      </c>
      <c r="I74" s="12" t="n">
        <f aca="false">RANK(Daten!I74,Daten!I$2:I$101,0)</f>
        <v>1</v>
      </c>
      <c r="J74" s="12" t="n">
        <f aca="false">RANK(Daten!J74,Daten!J$2:J$101,0)</f>
        <v>5</v>
      </c>
      <c r="K74" s="12" t="n">
        <f aca="false">RANK(Daten!K74,Daten!K$2:K$101,0)</f>
        <v>10</v>
      </c>
      <c r="L74" s="12" t="n">
        <f aca="false">RANK(Daten!L74,Daten!L$2:L$101,0)</f>
        <v>3</v>
      </c>
      <c r="M74" s="12" t="n">
        <f aca="false">RANK(Daten!M74,Daten!M$2:M$101,1)</f>
        <v>81</v>
      </c>
      <c r="N74" s="12" t="n">
        <f aca="false">RANK(Daten!N74,Daten!N$2:N$101,0)</f>
        <v>45</v>
      </c>
      <c r="O74" s="12" t="n">
        <f aca="false">RANK(Daten!O74,Daten!O$2:O$101,0)</f>
        <v>54</v>
      </c>
      <c r="P74" s="12" t="n">
        <f aca="false">RANK(Daten!P74,Daten!P$2:P$101,0)</f>
        <v>98</v>
      </c>
      <c r="Q74" s="13" t="n">
        <f aca="false">COUNTIF(B74:P74,"&lt;=3")</f>
        <v>6</v>
      </c>
      <c r="R74" s="12" t="n">
        <f aca="false">COUNTIF(B74:P74,1)</f>
        <v>1</v>
      </c>
    </row>
    <row r="75" customFormat="false" ht="15" hidden="false" customHeight="false" outlineLevel="0" collapsed="false">
      <c r="A75" s="3" t="str">
        <f aca="false">Daten!A75</f>
        <v>Penei Sewell</v>
      </c>
      <c r="B75" s="12" t="n">
        <f aca="false">RANK(Daten!B75,Daten!B$2:B$101,1)</f>
        <v>64</v>
      </c>
      <c r="C75" s="12" t="n">
        <f aca="false">RANK(Daten!C75,Daten!C$2:C$101,0)</f>
        <v>8</v>
      </c>
      <c r="D75" s="12" t="n">
        <f aca="false">RANK(Daten!D75,Daten!D$2:D$101,0)</f>
        <v>2</v>
      </c>
      <c r="E75" s="12" t="n">
        <f aca="false">RANK(Daten!E75,Daten!E$2:E$101,1)</f>
        <v>44</v>
      </c>
      <c r="F75" s="12" t="n">
        <f aca="false">RANK(Daten!F75,Daten!F$2:F$101,1)</f>
        <v>36</v>
      </c>
      <c r="G75" s="12" t="n">
        <f aca="false">RANK(Daten!G75,Daten!G$2:G$101,1)</f>
        <v>1</v>
      </c>
      <c r="H75" s="12" t="n">
        <f aca="false">RANK(Daten!H75,Daten!H$2:H$101,0)</f>
        <v>42</v>
      </c>
      <c r="I75" s="12" t="n">
        <f aca="false">RANK(Daten!I75,Daten!I$2:I$101,0)</f>
        <v>30</v>
      </c>
      <c r="J75" s="12" t="n">
        <f aca="false">RANK(Daten!J75,Daten!J$2:J$101,0)</f>
        <v>26</v>
      </c>
      <c r="K75" s="12" t="n">
        <f aca="false">RANK(Daten!K75,Daten!K$2:K$101,0)</f>
        <v>10</v>
      </c>
      <c r="L75" s="12" t="n">
        <f aca="false">RANK(Daten!L75,Daten!L$2:L$101,0)</f>
        <v>30</v>
      </c>
      <c r="M75" s="12" t="n">
        <f aca="false">RANK(Daten!M75,Daten!M$2:M$101,1)</f>
        <v>80</v>
      </c>
      <c r="N75" s="12" t="n">
        <f aca="false">RANK(Daten!N75,Daten!N$2:N$101,0)</f>
        <v>37</v>
      </c>
      <c r="O75" s="12" t="n">
        <f aca="false">RANK(Daten!O75,Daten!O$2:O$101,0)</f>
        <v>8</v>
      </c>
      <c r="P75" s="12" t="n">
        <f aca="false">RANK(Daten!P75,Daten!P$2:P$101,0)</f>
        <v>98</v>
      </c>
      <c r="Q75" s="13" t="n">
        <f aca="false">COUNTIF(B75:P75,"&lt;=3")</f>
        <v>2</v>
      </c>
      <c r="R75" s="12" t="n">
        <f aca="false">COUNTIF(B75:P75,1)</f>
        <v>1</v>
      </c>
    </row>
    <row r="76" customFormat="false" ht="15" hidden="false" customHeight="false" outlineLevel="0" collapsed="false">
      <c r="A76" s="3" t="str">
        <f aca="false">Daten!A76</f>
        <v>Tristan Wirfs</v>
      </c>
      <c r="B76" s="12" t="n">
        <f aca="false">RANK(Daten!B76,Daten!B$2:B$101,1)</f>
        <v>43</v>
      </c>
      <c r="C76" s="12" t="n">
        <f aca="false">RANK(Daten!C76,Daten!C$2:C$101,0)</f>
        <v>8</v>
      </c>
      <c r="D76" s="12" t="n">
        <f aca="false">RANK(Daten!D76,Daten!D$2:D$101,0)</f>
        <v>5</v>
      </c>
      <c r="E76" s="12" t="n">
        <f aca="false">RANK(Daten!E76,Daten!E$2:E$101,1)</f>
        <v>34</v>
      </c>
      <c r="F76" s="12" t="n">
        <f aca="false">RANK(Daten!F76,Daten!F$2:F$101,1)</f>
        <v>57</v>
      </c>
      <c r="G76" s="12" t="n">
        <f aca="false">RANK(Daten!G76,Daten!G$2:G$101,1)</f>
        <v>21</v>
      </c>
      <c r="H76" s="12" t="n">
        <f aca="false">RANK(Daten!H76,Daten!H$2:H$101,0)</f>
        <v>13</v>
      </c>
      <c r="I76" s="12" t="n">
        <f aca="false">RANK(Daten!I76,Daten!I$2:I$101,0)</f>
        <v>19</v>
      </c>
      <c r="J76" s="12" t="n">
        <f aca="false">RANK(Daten!J76,Daten!J$2:J$101,0)</f>
        <v>13</v>
      </c>
      <c r="K76" s="12" t="n">
        <f aca="false">RANK(Daten!K76,Daten!K$2:K$101,0)</f>
        <v>22</v>
      </c>
      <c r="L76" s="12" t="n">
        <f aca="false">RANK(Daten!L76,Daten!L$2:L$101,0)</f>
        <v>11</v>
      </c>
      <c r="M76" s="12" t="n">
        <f aca="false">RANK(Daten!M76,Daten!M$2:M$101,1)</f>
        <v>84</v>
      </c>
      <c r="N76" s="12" t="n">
        <f aca="false">RANK(Daten!N76,Daten!N$2:N$101,0)</f>
        <v>36</v>
      </c>
      <c r="O76" s="12" t="n">
        <f aca="false">RANK(Daten!O76,Daten!O$2:O$101,0)</f>
        <v>8</v>
      </c>
      <c r="P76" s="12" t="n">
        <f aca="false">RANK(Daten!P76,Daten!P$2:P$101,0)</f>
        <v>91</v>
      </c>
      <c r="Q76" s="13" t="n">
        <f aca="false">COUNTIF(B76:P76,"&lt;=3")</f>
        <v>0</v>
      </c>
      <c r="R76" s="12" t="n">
        <f aca="false">COUNTIF(B76:P76,1)</f>
        <v>0</v>
      </c>
    </row>
    <row r="77" customFormat="false" ht="15" hidden="false" customHeight="false" outlineLevel="0" collapsed="false">
      <c r="A77" s="3" t="str">
        <f aca="false">Daten!A77</f>
        <v>Rashawn Slater</v>
      </c>
      <c r="B77" s="12" t="n">
        <f aca="false">RANK(Daten!B77,Daten!B$2:B$101,1)</f>
        <v>45</v>
      </c>
      <c r="C77" s="12" t="n">
        <f aca="false">RANK(Daten!C77,Daten!C$2:C$101,0)</f>
        <v>18</v>
      </c>
      <c r="D77" s="12" t="n">
        <f aca="false">RANK(Daten!D77,Daten!D$2:D$101,0)</f>
        <v>7</v>
      </c>
      <c r="E77" s="12" t="n">
        <f aca="false">RANK(Daten!E77,Daten!E$2:E$101,1)</f>
        <v>44</v>
      </c>
      <c r="F77" s="12" t="n">
        <f aca="false">RANK(Daten!F77,Daten!F$2:F$101,1)</f>
        <v>57</v>
      </c>
      <c r="G77" s="12" t="n">
        <f aca="false">RANK(Daten!G77,Daten!G$2:G$101,1)</f>
        <v>70</v>
      </c>
      <c r="H77" s="12" t="n">
        <f aca="false">RANK(Daten!H77,Daten!H$2:H$101,0)</f>
        <v>63</v>
      </c>
      <c r="I77" s="12" t="n">
        <f aca="false">RANK(Daten!I77,Daten!I$2:I$101,0)</f>
        <v>30</v>
      </c>
      <c r="J77" s="12" t="n">
        <f aca="false">RANK(Daten!J77,Daten!J$2:J$101,0)</f>
        <v>37</v>
      </c>
      <c r="K77" s="12" t="n">
        <f aca="false">RANK(Daten!K77,Daten!K$2:K$101,0)</f>
        <v>37</v>
      </c>
      <c r="L77" s="12" t="n">
        <f aca="false">RANK(Daten!L77,Daten!L$2:L$101,0)</f>
        <v>30</v>
      </c>
      <c r="M77" s="12" t="n">
        <f aca="false">RANK(Daten!M77,Daten!M$2:M$101,1)</f>
        <v>82</v>
      </c>
      <c r="N77" s="12" t="n">
        <f aca="false">RANK(Daten!N77,Daten!N$2:N$101,0)</f>
        <v>34</v>
      </c>
      <c r="O77" s="12" t="n">
        <f aca="false">RANK(Daten!O77,Daten!O$2:O$101,0)</f>
        <v>8</v>
      </c>
      <c r="P77" s="12" t="n">
        <f aca="false">RANK(Daten!P77,Daten!P$2:P$101,0)</f>
        <v>38</v>
      </c>
      <c r="Q77" s="13" t="n">
        <f aca="false">COUNTIF(B77:P77,"&lt;=3")</f>
        <v>0</v>
      </c>
      <c r="R77" s="12" t="n">
        <f aca="false">COUNTIF(B77:P77,1)</f>
        <v>0</v>
      </c>
    </row>
    <row r="78" customFormat="false" ht="15" hidden="false" customHeight="false" outlineLevel="0" collapsed="false">
      <c r="A78" s="3" t="str">
        <f aca="false">Daten!A78</f>
        <v>Quenton Nelson</v>
      </c>
      <c r="B78" s="12" t="n">
        <f aca="false">RANK(Daten!B78,Daten!B$2:B$101,1)</f>
        <v>17</v>
      </c>
      <c r="C78" s="12" t="n">
        <f aca="false">RANK(Daten!C78,Daten!C$2:C$101,0)</f>
        <v>8</v>
      </c>
      <c r="D78" s="12" t="n">
        <f aca="false">RANK(Daten!D78,Daten!D$2:D$101,0)</f>
        <v>3</v>
      </c>
      <c r="E78" s="12" t="n">
        <f aca="false">RANK(Daten!E78,Daten!E$2:E$101,1)</f>
        <v>16</v>
      </c>
      <c r="F78" s="12" t="n">
        <f aca="false">RANK(Daten!F78,Daten!F$2:F$101,1)</f>
        <v>31</v>
      </c>
      <c r="G78" s="12" t="n">
        <f aca="false">RANK(Daten!G78,Daten!G$2:G$101,1)</f>
        <v>71</v>
      </c>
      <c r="H78" s="12" t="n">
        <f aca="false">RANK(Daten!H78,Daten!H$2:H$101,0)</f>
        <v>55</v>
      </c>
      <c r="I78" s="12" t="n">
        <f aca="false">RANK(Daten!I78,Daten!I$2:I$101,0)</f>
        <v>9</v>
      </c>
      <c r="J78" s="12" t="n">
        <f aca="false">RANK(Daten!J78,Daten!J$2:J$101,0)</f>
        <v>2</v>
      </c>
      <c r="K78" s="12" t="n">
        <f aca="false">RANK(Daten!K78,Daten!K$2:K$101,0)</f>
        <v>3</v>
      </c>
      <c r="L78" s="12" t="n">
        <f aca="false">RANK(Daten!L78,Daten!L$2:L$101,0)</f>
        <v>30</v>
      </c>
      <c r="M78" s="12" t="n">
        <f aca="false">RANK(Daten!M78,Daten!M$2:M$101,1)</f>
        <v>79</v>
      </c>
      <c r="N78" s="12" t="n">
        <f aca="false">RANK(Daten!N78,Daten!N$2:N$101,0)</f>
        <v>50</v>
      </c>
      <c r="O78" s="12" t="n">
        <f aca="false">RANK(Daten!O78,Daten!O$2:O$101,0)</f>
        <v>76</v>
      </c>
      <c r="P78" s="12" t="n">
        <f aca="false">RANK(Daten!P78,Daten!P$2:P$101,0)</f>
        <v>70</v>
      </c>
      <c r="Q78" s="13" t="n">
        <f aca="false">COUNTIF(B78:P78,"&lt;=3")</f>
        <v>3</v>
      </c>
      <c r="R78" s="12" t="n">
        <f aca="false">COUNTIF(B78:P78,1)</f>
        <v>0</v>
      </c>
    </row>
    <row r="79" customFormat="false" ht="15" hidden="false" customHeight="false" outlineLevel="0" collapsed="false">
      <c r="A79" s="3" t="str">
        <f aca="false">Daten!A79</f>
        <v>Creed Humphrey</v>
      </c>
      <c r="B79" s="12" t="n">
        <f aca="false">RANK(Daten!B79,Daten!B$2:B$101,1)</f>
        <v>49</v>
      </c>
      <c r="C79" s="12" t="n">
        <f aca="false">RANK(Daten!C79,Daten!C$2:C$101,0)</f>
        <v>18</v>
      </c>
      <c r="D79" s="12" t="n">
        <f aca="false">RANK(Daten!D79,Daten!D$2:D$101,0)</f>
        <v>10</v>
      </c>
      <c r="E79" s="12" t="n">
        <f aca="false">RANK(Daten!E79,Daten!E$2:E$101,1)</f>
        <v>44</v>
      </c>
      <c r="F79" s="12" t="n">
        <f aca="false">RANK(Daten!F79,Daten!F$2:F$101,1)</f>
        <v>87</v>
      </c>
      <c r="G79" s="12" t="n">
        <f aca="false">RANK(Daten!G79,Daten!G$2:G$101,1)</f>
        <v>62</v>
      </c>
      <c r="H79" s="12" t="n">
        <f aca="false">RANK(Daten!H79,Daten!H$2:H$101,0)</f>
        <v>7</v>
      </c>
      <c r="I79" s="12" t="n">
        <f aca="false">RANK(Daten!I79,Daten!I$2:I$101,0)</f>
        <v>30</v>
      </c>
      <c r="J79" s="12" t="n">
        <f aca="false">RANK(Daten!J79,Daten!J$2:J$101,0)</f>
        <v>26</v>
      </c>
      <c r="K79" s="12" t="n">
        <f aca="false">RANK(Daten!K79,Daten!K$2:K$101,0)</f>
        <v>10</v>
      </c>
      <c r="L79" s="12" t="n">
        <f aca="false">RANK(Daten!L79,Daten!L$2:L$101,0)</f>
        <v>3</v>
      </c>
      <c r="M79" s="12" t="n">
        <f aca="false">RANK(Daten!M79,Daten!M$2:M$101,1)</f>
        <v>77</v>
      </c>
      <c r="N79" s="12" t="n">
        <f aca="false">RANK(Daten!N79,Daten!N$2:N$101,0)</f>
        <v>56</v>
      </c>
      <c r="O79" s="12" t="n">
        <f aca="false">RANK(Daten!O79,Daten!O$2:O$101,0)</f>
        <v>22</v>
      </c>
      <c r="P79" s="12" t="n">
        <f aca="false">RANK(Daten!P79,Daten!P$2:P$101,0)</f>
        <v>61</v>
      </c>
      <c r="Q79" s="13" t="n">
        <f aca="false">COUNTIF(B79:P79,"&lt;=3")</f>
        <v>1</v>
      </c>
      <c r="R79" s="12" t="n">
        <f aca="false">COUNTIF(B79:P79,1)</f>
        <v>0</v>
      </c>
    </row>
    <row r="80" customFormat="false" ht="15" hidden="false" customHeight="false" outlineLevel="0" collapsed="false">
      <c r="A80" s="3" t="str">
        <f aca="false">Daten!A80</f>
        <v>Myles Garrett</v>
      </c>
      <c r="B80" s="12" t="n">
        <f aca="false">RANK(Daten!B80,Daten!B$2:B$101,1)</f>
        <v>16</v>
      </c>
      <c r="C80" s="12" t="n">
        <f aca="false">RANK(Daten!C80,Daten!C$2:C$101,0)</f>
        <v>18</v>
      </c>
      <c r="D80" s="12" t="n">
        <f aca="false">RANK(Daten!D80,Daten!D$2:D$101,0)</f>
        <v>11</v>
      </c>
      <c r="E80" s="12" t="n">
        <f aca="false">RANK(Daten!E80,Daten!E$2:E$101,1)</f>
        <v>11</v>
      </c>
      <c r="F80" s="12" t="n">
        <f aca="false">RANK(Daten!F80,Daten!F$2:F$101,1)</f>
        <v>1</v>
      </c>
      <c r="G80" s="12" t="n">
        <f aca="false">RANK(Daten!G80,Daten!G$2:G$101,1)</f>
        <v>26</v>
      </c>
      <c r="H80" s="12" t="n">
        <f aca="false">RANK(Daten!H80,Daten!H$2:H$101,0)</f>
        <v>63</v>
      </c>
      <c r="I80" s="12" t="n">
        <f aca="false">RANK(Daten!I80,Daten!I$2:I$101,0)</f>
        <v>5</v>
      </c>
      <c r="J80" s="12" t="n">
        <f aca="false">RANK(Daten!J80,Daten!J$2:J$101,0)</f>
        <v>5</v>
      </c>
      <c r="K80" s="12" t="n">
        <f aca="false">RANK(Daten!K80,Daten!K$2:K$101,0)</f>
        <v>1</v>
      </c>
      <c r="L80" s="12" t="n">
        <f aca="false">RANK(Daten!L80,Daten!L$2:L$101,0)</f>
        <v>30</v>
      </c>
      <c r="M80" s="12" t="n">
        <f aca="false">RANK(Daten!M80,Daten!M$2:M$101,1)</f>
        <v>94</v>
      </c>
      <c r="N80" s="12" t="n">
        <f aca="false">RANK(Daten!N80,Daten!N$2:N$101,0)</f>
        <v>17</v>
      </c>
      <c r="O80" s="12" t="n">
        <f aca="false">RANK(Daten!O80,Daten!O$2:O$101,0)</f>
        <v>2</v>
      </c>
      <c r="P80" s="12" t="n">
        <f aca="false">RANK(Daten!P80,Daten!P$2:P$101,0)</f>
        <v>23</v>
      </c>
      <c r="Q80" s="13" t="n">
        <f aca="false">COUNTIF(B80:P80,"&lt;=3")</f>
        <v>3</v>
      </c>
      <c r="R80" s="12" t="n">
        <f aca="false">COUNTIF(B80:P80,1)</f>
        <v>2</v>
      </c>
    </row>
    <row r="81" customFormat="false" ht="15" hidden="false" customHeight="false" outlineLevel="0" collapsed="false">
      <c r="A81" s="3" t="str">
        <f aca="false">Daten!A81</f>
        <v>T.J. Watt</v>
      </c>
      <c r="B81" s="12" t="n">
        <f aca="false">RANK(Daten!B81,Daten!B$2:B$101,1)</f>
        <v>10</v>
      </c>
      <c r="C81" s="12" t="n">
        <f aca="false">RANK(Daten!C81,Daten!C$2:C$101,0)</f>
        <v>8</v>
      </c>
      <c r="D81" s="12" t="n">
        <f aca="false">RANK(Daten!D81,Daten!D$2:D$101,0)</f>
        <v>16</v>
      </c>
      <c r="E81" s="12" t="n">
        <f aca="false">RANK(Daten!E81,Daten!E$2:E$101,1)</f>
        <v>11</v>
      </c>
      <c r="F81" s="12" t="n">
        <f aca="false">RANK(Daten!F81,Daten!F$2:F$101,1)</f>
        <v>72</v>
      </c>
      <c r="G81" s="12" t="n">
        <f aca="false">RANK(Daten!G81,Daten!G$2:G$101,1)</f>
        <v>86</v>
      </c>
      <c r="H81" s="12" t="n">
        <f aca="false">RANK(Daten!H81,Daten!H$2:H$101,0)</f>
        <v>29</v>
      </c>
      <c r="I81" s="12" t="n">
        <f aca="false">RANK(Daten!I81,Daten!I$2:I$101,0)</f>
        <v>5</v>
      </c>
      <c r="J81" s="12" t="n">
        <f aca="false">RANK(Daten!J81,Daten!J$2:J$101,0)</f>
        <v>2</v>
      </c>
      <c r="K81" s="12" t="n">
        <f aca="false">RANK(Daten!K81,Daten!K$2:K$101,0)</f>
        <v>1</v>
      </c>
      <c r="L81" s="12" t="n">
        <f aca="false">RANK(Daten!L81,Daten!L$2:L$101,0)</f>
        <v>30</v>
      </c>
      <c r="M81" s="12" t="n">
        <f aca="false">RANK(Daten!M81,Daten!M$2:M$101,1)</f>
        <v>93</v>
      </c>
      <c r="N81" s="12" t="n">
        <f aca="false">RANK(Daten!N81,Daten!N$2:N$101,0)</f>
        <v>15</v>
      </c>
      <c r="O81" s="12" t="n">
        <f aca="false">RANK(Daten!O81,Daten!O$2:O$101,0)</f>
        <v>22</v>
      </c>
      <c r="P81" s="12" t="n">
        <f aca="false">RANK(Daten!P81,Daten!P$2:P$101,0)</f>
        <v>73</v>
      </c>
      <c r="Q81" s="13" t="n">
        <f aca="false">COUNTIF(B81:P81,"&lt;=3")</f>
        <v>2</v>
      </c>
      <c r="R81" s="12" t="n">
        <f aca="false">COUNTIF(B81:P81,1)</f>
        <v>1</v>
      </c>
    </row>
    <row r="82" customFormat="false" ht="15" hidden="false" customHeight="false" outlineLevel="0" collapsed="false">
      <c r="A82" s="3" t="str">
        <f aca="false">Daten!A82</f>
        <v>Micah Parsons</v>
      </c>
      <c r="B82" s="12" t="n">
        <f aca="false">RANK(Daten!B82,Daten!B$2:B$101,1)</f>
        <v>47</v>
      </c>
      <c r="C82" s="12" t="n">
        <f aca="false">RANK(Daten!C82,Daten!C$2:C$101,0)</f>
        <v>37</v>
      </c>
      <c r="D82" s="12" t="n">
        <f aca="false">RANK(Daten!D82,Daten!D$2:D$101,0)</f>
        <v>24</v>
      </c>
      <c r="E82" s="12" t="n">
        <f aca="false">RANK(Daten!E82,Daten!E$2:E$101,1)</f>
        <v>44</v>
      </c>
      <c r="F82" s="12" t="n">
        <f aca="false">RANK(Daten!F82,Daten!F$2:F$101,1)</f>
        <v>54</v>
      </c>
      <c r="G82" s="12" t="n">
        <f aca="false">RANK(Daten!G82,Daten!G$2:G$101,1)</f>
        <v>65</v>
      </c>
      <c r="H82" s="12" t="n">
        <f aca="false">RANK(Daten!H82,Daten!H$2:H$101,0)</f>
        <v>34</v>
      </c>
      <c r="I82" s="12" t="n">
        <f aca="false">RANK(Daten!I82,Daten!I$2:I$101,0)</f>
        <v>86</v>
      </c>
      <c r="J82" s="12" t="n">
        <f aca="false">RANK(Daten!J82,Daten!J$2:J$101,0)</f>
        <v>13</v>
      </c>
      <c r="K82" s="12" t="n">
        <f aca="false">RANK(Daten!K82,Daten!K$2:K$101,0)</f>
        <v>10</v>
      </c>
      <c r="L82" s="12" t="n">
        <f aca="false">RANK(Daten!L82,Daten!L$2:L$101,0)</f>
        <v>30</v>
      </c>
      <c r="M82" s="12" t="n">
        <f aca="false">RANK(Daten!M82,Daten!M$2:M$101,1)</f>
        <v>2</v>
      </c>
      <c r="N82" s="12" t="n">
        <f aca="false">RANK(Daten!N82,Daten!N$2:N$101,0)</f>
        <v>12</v>
      </c>
      <c r="O82" s="12" t="n">
        <f aca="false">RANK(Daten!O82,Daten!O$2:O$101,0)</f>
        <v>8</v>
      </c>
      <c r="P82" s="12" t="n">
        <f aca="false">RANK(Daten!P82,Daten!P$2:P$101,0)</f>
        <v>55</v>
      </c>
      <c r="Q82" s="13" t="n">
        <f aca="false">COUNTIF(B82:P82,"&lt;=3")</f>
        <v>1</v>
      </c>
      <c r="R82" s="12" t="n">
        <f aca="false">COUNTIF(B82:P82,1)</f>
        <v>0</v>
      </c>
    </row>
    <row r="83" customFormat="false" ht="15" hidden="false" customHeight="false" outlineLevel="0" collapsed="false">
      <c r="A83" s="3" t="str">
        <f aca="false">Daten!A83</f>
        <v>Nick Bosa</v>
      </c>
      <c r="B83" s="12" t="n">
        <f aca="false">RANK(Daten!B83,Daten!B$2:B$101,1)</f>
        <v>31</v>
      </c>
      <c r="C83" s="12" t="n">
        <f aca="false">RANK(Daten!C83,Daten!C$2:C$101,0)</f>
        <v>18</v>
      </c>
      <c r="D83" s="12" t="n">
        <f aca="false">RANK(Daten!D83,Daten!D$2:D$101,0)</f>
        <v>13</v>
      </c>
      <c r="E83" s="12" t="n">
        <f aca="false">RANK(Daten!E83,Daten!E$2:E$101,1)</f>
        <v>25</v>
      </c>
      <c r="F83" s="12" t="n">
        <f aca="false">RANK(Daten!F83,Daten!F$2:F$101,1)</f>
        <v>12</v>
      </c>
      <c r="G83" s="12" t="n">
        <f aca="false">RANK(Daten!G83,Daten!G$2:G$101,1)</f>
        <v>35</v>
      </c>
      <c r="H83" s="12" t="n">
        <f aca="false">RANK(Daten!H83,Daten!H$2:H$101,0)</f>
        <v>9</v>
      </c>
      <c r="I83" s="12" t="n">
        <f aca="false">RANK(Daten!I83,Daten!I$2:I$101,0)</f>
        <v>14</v>
      </c>
      <c r="J83" s="12" t="n">
        <f aca="false">RANK(Daten!J83,Daten!J$2:J$101,0)</f>
        <v>13</v>
      </c>
      <c r="K83" s="12" t="n">
        <f aca="false">RANK(Daten!K83,Daten!K$2:K$101,0)</f>
        <v>22</v>
      </c>
      <c r="L83" s="12" t="n">
        <f aca="false">RANK(Daten!L83,Daten!L$2:L$101,0)</f>
        <v>5</v>
      </c>
      <c r="M83" s="12" t="n">
        <f aca="false">RANK(Daten!M83,Daten!M$2:M$101,1)</f>
        <v>96</v>
      </c>
      <c r="N83" s="12" t="n">
        <f aca="false">RANK(Daten!N83,Daten!N$2:N$101,0)</f>
        <v>21</v>
      </c>
      <c r="O83" s="12" t="n">
        <f aca="false">RANK(Daten!O83,Daten!O$2:O$101,0)</f>
        <v>22</v>
      </c>
      <c r="P83" s="12" t="n">
        <f aca="false">RANK(Daten!P83,Daten!P$2:P$101,0)</f>
        <v>30</v>
      </c>
      <c r="Q83" s="13" t="n">
        <f aca="false">COUNTIF(B83:P83,"&lt;=3")</f>
        <v>0</v>
      </c>
      <c r="R83" s="12" t="n">
        <f aca="false">COUNTIF(B83:P83,1)</f>
        <v>0</v>
      </c>
    </row>
    <row r="84" customFormat="false" ht="15" hidden="false" customHeight="false" outlineLevel="0" collapsed="false">
      <c r="A84" s="3" t="str">
        <f aca="false">Daten!A84</f>
        <v>Maxx Crosby</v>
      </c>
      <c r="B84" s="12" t="n">
        <f aca="false">RANK(Daten!B84,Daten!B$2:B$101,1)</f>
        <v>30</v>
      </c>
      <c r="C84" s="12" t="n">
        <f aca="false">RANK(Daten!C84,Daten!C$2:C$101,0)</f>
        <v>8</v>
      </c>
      <c r="D84" s="12" t="n">
        <f aca="false">RANK(Daten!D84,Daten!D$2:D$101,0)</f>
        <v>14</v>
      </c>
      <c r="E84" s="12" t="n">
        <f aca="false">RANK(Daten!E84,Daten!E$2:E$101,1)</f>
        <v>25</v>
      </c>
      <c r="F84" s="12" t="n">
        <f aca="false">RANK(Daten!F84,Daten!F$2:F$101,1)</f>
        <v>94</v>
      </c>
      <c r="G84" s="12" t="n">
        <f aca="false">RANK(Daten!G84,Daten!G$2:G$101,1)</f>
        <v>49</v>
      </c>
      <c r="H84" s="12" t="n">
        <f aca="false">RANK(Daten!H84,Daten!H$2:H$101,0)</f>
        <v>77</v>
      </c>
      <c r="I84" s="12" t="n">
        <f aca="false">RANK(Daten!I84,Daten!I$2:I$101,0)</f>
        <v>14</v>
      </c>
      <c r="J84" s="12" t="n">
        <f aca="false">RANK(Daten!J84,Daten!J$2:J$101,0)</f>
        <v>13</v>
      </c>
      <c r="K84" s="12" t="n">
        <f aca="false">RANK(Daten!K84,Daten!K$2:K$101,0)</f>
        <v>37</v>
      </c>
      <c r="L84" s="12" t="n">
        <f aca="false">RANK(Daten!L84,Daten!L$2:L$101,0)</f>
        <v>30</v>
      </c>
      <c r="M84" s="12" t="n">
        <f aca="false">RANK(Daten!M84,Daten!M$2:M$101,1)</f>
        <v>99</v>
      </c>
      <c r="N84" s="12" t="n">
        <f aca="false">RANK(Daten!N84,Daten!N$2:N$101,0)</f>
        <v>19</v>
      </c>
      <c r="O84" s="12" t="n">
        <f aca="false">RANK(Daten!O84,Daten!O$2:O$101,0)</f>
        <v>22</v>
      </c>
      <c r="P84" s="12" t="n">
        <f aca="false">RANK(Daten!P84,Daten!P$2:P$101,0)</f>
        <v>36</v>
      </c>
      <c r="Q84" s="13" t="n">
        <f aca="false">COUNTIF(B84:P84,"&lt;=3")</f>
        <v>0</v>
      </c>
      <c r="R84" s="12" t="n">
        <f aca="false">COUNTIF(B84:P84,1)</f>
        <v>0</v>
      </c>
    </row>
    <row r="85" customFormat="false" ht="15" hidden="false" customHeight="false" outlineLevel="0" collapsed="false">
      <c r="A85" s="3" t="str">
        <f aca="false">Daten!A85</f>
        <v>Aidan Hutchinson</v>
      </c>
      <c r="B85" s="12" t="n">
        <f aca="false">RANK(Daten!B85,Daten!B$2:B$101,1)</f>
        <v>60</v>
      </c>
      <c r="C85" s="12" t="n">
        <f aca="false">RANK(Daten!C85,Daten!C$2:C$101,0)</f>
        <v>1</v>
      </c>
      <c r="D85" s="12" t="n">
        <f aca="false">RANK(Daten!D85,Daten!D$2:D$101,0)</f>
        <v>11</v>
      </c>
      <c r="E85" s="12" t="n">
        <f aca="false">RANK(Daten!E85,Daten!E$2:E$101,1)</f>
        <v>55</v>
      </c>
      <c r="F85" s="12" t="n">
        <f aca="false">RANK(Daten!F85,Daten!F$2:F$101,1)</f>
        <v>12</v>
      </c>
      <c r="G85" s="12" t="n">
        <f aca="false">RANK(Daten!G85,Daten!G$2:G$101,1)</f>
        <v>50</v>
      </c>
      <c r="H85" s="12" t="n">
        <f aca="false">RANK(Daten!H85,Daten!H$2:H$101,0)</f>
        <v>55</v>
      </c>
      <c r="I85" s="12" t="n">
        <f aca="false">RANK(Daten!I85,Daten!I$2:I$101,0)</f>
        <v>42</v>
      </c>
      <c r="J85" s="12" t="n">
        <f aca="false">RANK(Daten!J85,Daten!J$2:J$101,0)</f>
        <v>48</v>
      </c>
      <c r="K85" s="12" t="n">
        <f aca="false">RANK(Daten!K85,Daten!K$2:K$101,0)</f>
        <v>37</v>
      </c>
      <c r="L85" s="12" t="n">
        <f aca="false">RANK(Daten!L85,Daten!L$2:L$101,0)</f>
        <v>30</v>
      </c>
      <c r="M85" s="12" t="n">
        <f aca="false">RANK(Daten!M85,Daten!M$2:M$101,1)</f>
        <v>96</v>
      </c>
      <c r="N85" s="12" t="n">
        <f aca="false">RANK(Daten!N85,Daten!N$2:N$101,0)</f>
        <v>82</v>
      </c>
      <c r="O85" s="12" t="n">
        <f aca="false">RANK(Daten!O85,Daten!O$2:O$101,0)</f>
        <v>76</v>
      </c>
      <c r="P85" s="12" t="n">
        <f aca="false">RANK(Daten!P85,Daten!P$2:P$101,0)</f>
        <v>81</v>
      </c>
      <c r="Q85" s="13" t="n">
        <f aca="false">COUNTIF(B85:P85,"&lt;=3")</f>
        <v>1</v>
      </c>
      <c r="R85" s="12" t="n">
        <f aca="false">COUNTIF(B85:P85,1)</f>
        <v>1</v>
      </c>
    </row>
    <row r="86" customFormat="false" ht="15" hidden="false" customHeight="false" outlineLevel="0" collapsed="false">
      <c r="A86" s="3" t="str">
        <f aca="false">Daten!A86</f>
        <v>Will Anderson Jr.</v>
      </c>
      <c r="B86" s="12" t="n">
        <f aca="false">RANK(Daten!B86,Daten!B$2:B$101,1)</f>
        <v>76</v>
      </c>
      <c r="C86" s="12" t="n">
        <f aca="false">RANK(Daten!C86,Daten!C$2:C$101,0)</f>
        <v>18</v>
      </c>
      <c r="D86" s="12" t="n">
        <f aca="false">RANK(Daten!D86,Daten!D$2:D$101,0)</f>
        <v>26</v>
      </c>
      <c r="E86" s="12" t="n">
        <f aca="false">RANK(Daten!E86,Daten!E$2:E$101,1)</f>
        <v>66</v>
      </c>
      <c r="F86" s="12" t="n">
        <f aca="false">RANK(Daten!F86,Daten!F$2:F$101,1)</f>
        <v>18</v>
      </c>
      <c r="G86" s="12" t="n">
        <f aca="false">RANK(Daten!G86,Daten!G$2:G$101,1)</f>
        <v>45</v>
      </c>
      <c r="H86" s="12" t="n">
        <f aca="false">RANK(Daten!H86,Daten!H$2:H$101,0)</f>
        <v>42</v>
      </c>
      <c r="I86" s="12" t="n">
        <f aca="false">RANK(Daten!I86,Daten!I$2:I$101,0)</f>
        <v>56</v>
      </c>
      <c r="J86" s="12" t="n">
        <f aca="false">RANK(Daten!J86,Daten!J$2:J$101,0)</f>
        <v>48</v>
      </c>
      <c r="K86" s="12" t="n">
        <f aca="false">RANK(Daten!K86,Daten!K$2:K$101,0)</f>
        <v>37</v>
      </c>
      <c r="L86" s="12" t="n">
        <f aca="false">RANK(Daten!L86,Daten!L$2:L$101,0)</f>
        <v>30</v>
      </c>
      <c r="M86" s="12" t="n">
        <f aca="false">RANK(Daten!M86,Daten!M$2:M$101,1)</f>
        <v>75</v>
      </c>
      <c r="N86" s="12" t="n">
        <f aca="false">RANK(Daten!N86,Daten!N$2:N$101,0)</f>
        <v>75</v>
      </c>
      <c r="O86" s="12" t="n">
        <f aca="false">RANK(Daten!O86,Daten!O$2:O$101,0)</f>
        <v>76</v>
      </c>
      <c r="P86" s="12" t="n">
        <f aca="false">RANK(Daten!P86,Daten!P$2:P$101,0)</f>
        <v>82</v>
      </c>
      <c r="Q86" s="13" t="n">
        <f aca="false">COUNTIF(B86:P86,"&lt;=3")</f>
        <v>0</v>
      </c>
      <c r="R86" s="12" t="n">
        <f aca="false">COUNTIF(B86:P86,1)</f>
        <v>0</v>
      </c>
    </row>
    <row r="87" customFormat="false" ht="15" hidden="false" customHeight="false" outlineLevel="0" collapsed="false">
      <c r="A87" s="3" t="str">
        <f aca="false">Daten!A87</f>
        <v>Chris Jones</v>
      </c>
      <c r="B87" s="12" t="n">
        <f aca="false">RANK(Daten!B87,Daten!B$2:B$101,1)</f>
        <v>9</v>
      </c>
      <c r="C87" s="12" t="n">
        <f aca="false">RANK(Daten!C87,Daten!C$2:C$101,0)</f>
        <v>2</v>
      </c>
      <c r="D87" s="12" t="n">
        <f aca="false">RANK(Daten!D87,Daten!D$2:D$101,0)</f>
        <v>9</v>
      </c>
      <c r="E87" s="12" t="n">
        <f aca="false">RANK(Daten!E87,Daten!E$2:E$101,1)</f>
        <v>6</v>
      </c>
      <c r="F87" s="12" t="n">
        <f aca="false">RANK(Daten!F87,Daten!F$2:F$101,1)</f>
        <v>77</v>
      </c>
      <c r="G87" s="12" t="n">
        <f aca="false">RANK(Daten!G87,Daten!G$2:G$101,1)</f>
        <v>60</v>
      </c>
      <c r="H87" s="12" t="n">
        <f aca="false">RANK(Daten!H87,Daten!H$2:H$101,0)</f>
        <v>1</v>
      </c>
      <c r="I87" s="12" t="n">
        <f aca="false">RANK(Daten!I87,Daten!I$2:I$101,0)</f>
        <v>3</v>
      </c>
      <c r="J87" s="12" t="n">
        <f aca="false">RANK(Daten!J87,Daten!J$2:J$101,0)</f>
        <v>5</v>
      </c>
      <c r="K87" s="12" t="n">
        <f aca="false">RANK(Daten!K87,Daten!K$2:K$101,0)</f>
        <v>10</v>
      </c>
      <c r="L87" s="12" t="n">
        <f aca="false">RANK(Daten!L87,Daten!L$2:L$101,0)</f>
        <v>1</v>
      </c>
      <c r="M87" s="12" t="n">
        <f aca="false">RANK(Daten!M87,Daten!M$2:M$101,1)</f>
        <v>94</v>
      </c>
      <c r="N87" s="12" t="n">
        <f aca="false">RANK(Daten!N87,Daten!N$2:N$101,0)</f>
        <v>29</v>
      </c>
      <c r="O87" s="12" t="n">
        <f aca="false">RANK(Daten!O87,Daten!O$2:O$101,0)</f>
        <v>22</v>
      </c>
      <c r="P87" s="12" t="n">
        <f aca="false">RANK(Daten!P87,Daten!P$2:P$101,0)</f>
        <v>96</v>
      </c>
      <c r="Q87" s="13" t="n">
        <f aca="false">COUNTIF(B87:P87,"&lt;=3")</f>
        <v>4</v>
      </c>
      <c r="R87" s="12" t="n">
        <f aca="false">COUNTIF(B87:P87,1)</f>
        <v>2</v>
      </c>
    </row>
    <row r="88" customFormat="false" ht="15" hidden="false" customHeight="false" outlineLevel="0" collapsed="false">
      <c r="A88" s="3" t="str">
        <f aca="false">Daten!A88</f>
        <v>Jalen Carter</v>
      </c>
      <c r="B88" s="12" t="n">
        <f aca="false">RANK(Daten!B88,Daten!B$2:B$101,1)</f>
        <v>71</v>
      </c>
      <c r="C88" s="12" t="n">
        <f aca="false">RANK(Daten!C88,Daten!C$2:C$101,0)</f>
        <v>37</v>
      </c>
      <c r="D88" s="12" t="n">
        <f aca="false">RANK(Daten!D88,Daten!D$2:D$101,0)</f>
        <v>7</v>
      </c>
      <c r="E88" s="12" t="n">
        <f aca="false">RANK(Daten!E88,Daten!E$2:E$101,1)</f>
        <v>66</v>
      </c>
      <c r="F88" s="12" t="n">
        <f aca="false">RANK(Daten!F88,Daten!F$2:F$101,1)</f>
        <v>46</v>
      </c>
      <c r="G88" s="12" t="n">
        <f aca="false">RANK(Daten!G88,Daten!G$2:G$101,1)</f>
        <v>68</v>
      </c>
      <c r="H88" s="12" t="n">
        <f aca="false">RANK(Daten!H88,Daten!H$2:H$101,0)</f>
        <v>29</v>
      </c>
      <c r="I88" s="12" t="n">
        <f aca="false">RANK(Daten!I88,Daten!I$2:I$101,0)</f>
        <v>56</v>
      </c>
      <c r="J88" s="12" t="n">
        <f aca="false">RANK(Daten!J88,Daten!J$2:J$101,0)</f>
        <v>48</v>
      </c>
      <c r="K88" s="12" t="n">
        <f aca="false">RANK(Daten!K88,Daten!K$2:K$101,0)</f>
        <v>37</v>
      </c>
      <c r="L88" s="12" t="n">
        <f aca="false">RANK(Daten!L88,Daten!L$2:L$101,0)</f>
        <v>11</v>
      </c>
      <c r="M88" s="12" t="n">
        <f aca="false">RANK(Daten!M88,Daten!M$2:M$101,1)</f>
        <v>99</v>
      </c>
      <c r="N88" s="12" t="n">
        <f aca="false">RANK(Daten!N88,Daten!N$2:N$101,0)</f>
        <v>84</v>
      </c>
      <c r="O88" s="12" t="n">
        <f aca="false">RANK(Daten!O88,Daten!O$2:O$101,0)</f>
        <v>76</v>
      </c>
      <c r="P88" s="12" t="n">
        <f aca="false">RANK(Daten!P88,Daten!P$2:P$101,0)</f>
        <v>49</v>
      </c>
      <c r="Q88" s="13" t="n">
        <f aca="false">COUNTIF(B88:P88,"&lt;=3")</f>
        <v>0</v>
      </c>
      <c r="R88" s="12" t="n">
        <f aca="false">COUNTIF(B88:P88,1)</f>
        <v>0</v>
      </c>
    </row>
    <row r="89" customFormat="false" ht="15" hidden="false" customHeight="false" outlineLevel="0" collapsed="false">
      <c r="A89" s="3" t="str">
        <f aca="false">Daten!A89</f>
        <v>Abdul Carter</v>
      </c>
      <c r="B89" s="12" t="n">
        <f aca="false">RANK(Daten!B89,Daten!B$2:B$101,1)</f>
        <v>96</v>
      </c>
      <c r="C89" s="12" t="n">
        <f aca="false">RANK(Daten!C89,Daten!C$2:C$101,0)</f>
        <v>37</v>
      </c>
      <c r="D89" s="12" t="n">
        <f aca="false">RANK(Daten!D89,Daten!D$2:D$101,0)</f>
        <v>18</v>
      </c>
      <c r="E89" s="12" t="n">
        <f aca="false">RANK(Daten!E89,Daten!E$2:E$101,1)</f>
        <v>92</v>
      </c>
      <c r="F89" s="12" t="n">
        <f aca="false">RANK(Daten!F89,Daten!F$2:F$101,1)</f>
        <v>18</v>
      </c>
      <c r="G89" s="12" t="n">
        <f aca="false">RANK(Daten!G89,Daten!G$2:G$101,1)</f>
        <v>55</v>
      </c>
      <c r="H89" s="12" t="n">
        <f aca="false">RANK(Daten!H89,Daten!H$2:H$101,0)</f>
        <v>82</v>
      </c>
      <c r="I89" s="12" t="n">
        <f aca="false">RANK(Daten!I89,Daten!I$2:I$101,0)</f>
        <v>86</v>
      </c>
      <c r="J89" s="12" t="n">
        <f aca="false">RANK(Daten!J89,Daten!J$2:J$101,0)</f>
        <v>75</v>
      </c>
      <c r="K89" s="12" t="n">
        <f aca="false">RANK(Daten!K89,Daten!K$2:K$101,0)</f>
        <v>37</v>
      </c>
      <c r="L89" s="12" t="n">
        <f aca="false">RANK(Daten!L89,Daten!L$2:L$101,0)</f>
        <v>30</v>
      </c>
      <c r="M89" s="12" t="n">
        <f aca="false">RANK(Daten!M89,Daten!M$2:M$101,1)</f>
        <v>75</v>
      </c>
      <c r="N89" s="12" t="n">
        <f aca="false">RANK(Daten!N89,Daten!N$2:N$101,0)</f>
        <v>66</v>
      </c>
      <c r="O89" s="12" t="n">
        <f aca="false">RANK(Daten!O89,Daten!O$2:O$101,0)</f>
        <v>22</v>
      </c>
      <c r="P89" s="12" t="n">
        <f aca="false">RANK(Daten!P89,Daten!P$2:P$101,0)</f>
        <v>3</v>
      </c>
      <c r="Q89" s="13" t="n">
        <f aca="false">COUNTIF(B89:P89,"&lt;=3")</f>
        <v>1</v>
      </c>
      <c r="R89" s="12" t="n">
        <f aca="false">COUNTIF(B89:P89,1)</f>
        <v>0</v>
      </c>
    </row>
    <row r="90" customFormat="false" ht="15" hidden="false" customHeight="false" outlineLevel="0" collapsed="false">
      <c r="A90" s="3" t="str">
        <f aca="false">Daten!A90</f>
        <v>Jared Verse</v>
      </c>
      <c r="B90" s="12" t="n">
        <f aca="false">RANK(Daten!B90,Daten!B$2:B$101,1)</f>
        <v>67</v>
      </c>
      <c r="C90" s="12" t="n">
        <f aca="false">RANK(Daten!C90,Daten!C$2:C$101,0)</f>
        <v>18</v>
      </c>
      <c r="D90" s="12" t="n">
        <f aca="false">RANK(Daten!D90,Daten!D$2:D$101,0)</f>
        <v>16</v>
      </c>
      <c r="E90" s="12" t="n">
        <f aca="false">RANK(Daten!E90,Daten!E$2:E$101,1)</f>
        <v>79</v>
      </c>
      <c r="F90" s="12" t="n">
        <f aca="false">RANK(Daten!F90,Daten!F$2:F$101,1)</f>
        <v>65</v>
      </c>
      <c r="G90" s="12" t="n">
        <f aca="false">RANK(Daten!G90,Daten!G$2:G$101,1)</f>
        <v>96</v>
      </c>
      <c r="H90" s="12" t="n">
        <f aca="false">RANK(Daten!H90,Daten!H$2:H$101,0)</f>
        <v>34</v>
      </c>
      <c r="I90" s="12" t="n">
        <f aca="false">RANK(Daten!I90,Daten!I$2:I$101,0)</f>
        <v>70</v>
      </c>
      <c r="J90" s="12" t="n">
        <f aca="false">RANK(Daten!J90,Daten!J$2:J$101,0)</f>
        <v>75</v>
      </c>
      <c r="K90" s="12" t="n">
        <f aca="false">RANK(Daten!K90,Daten!K$2:K$101,0)</f>
        <v>37</v>
      </c>
      <c r="L90" s="12" t="n">
        <f aca="false">RANK(Daten!L90,Daten!L$2:L$101,0)</f>
        <v>30</v>
      </c>
      <c r="M90" s="12" t="n">
        <f aca="false">RANK(Daten!M90,Daten!M$2:M$101,1)</f>
        <v>28</v>
      </c>
      <c r="N90" s="12" t="n">
        <f aca="false">RANK(Daten!N90,Daten!N$2:N$101,0)</f>
        <v>90</v>
      </c>
      <c r="O90" s="12" t="n">
        <f aca="false">RANK(Daten!O90,Daten!O$2:O$101,0)</f>
        <v>54</v>
      </c>
      <c r="P90" s="12" t="n">
        <f aca="false">RANK(Daten!P90,Daten!P$2:P$101,0)</f>
        <v>91</v>
      </c>
      <c r="Q90" s="13" t="n">
        <f aca="false">COUNTIF(B90:P90,"&lt;=3")</f>
        <v>0</v>
      </c>
      <c r="R90" s="12" t="n">
        <f aca="false">COUNTIF(B90:P90,1)</f>
        <v>0</v>
      </c>
    </row>
    <row r="91" customFormat="false" ht="15" hidden="false" customHeight="false" outlineLevel="0" collapsed="false">
      <c r="A91" s="3" t="str">
        <f aca="false">Daten!A91</f>
        <v>Dexter Lawrence</v>
      </c>
      <c r="B91" s="12" t="n">
        <f aca="false">RANK(Daten!B91,Daten!B$2:B$101,1)</f>
        <v>32</v>
      </c>
      <c r="C91" s="12" t="n">
        <f aca="false">RANK(Daten!C91,Daten!C$2:C$101,0)</f>
        <v>18</v>
      </c>
      <c r="D91" s="12" t="n">
        <f aca="false">RANK(Daten!D91,Daten!D$2:D$101,0)</f>
        <v>1</v>
      </c>
      <c r="E91" s="12" t="n">
        <f aca="false">RANK(Daten!E91,Daten!E$2:E$101,1)</f>
        <v>25</v>
      </c>
      <c r="F91" s="12" t="n">
        <f aca="false">RANK(Daten!F91,Daten!F$2:F$101,1)</f>
        <v>62</v>
      </c>
      <c r="G91" s="12" t="n">
        <f aca="false">RANK(Daten!G91,Daten!G$2:G$101,1)</f>
        <v>33</v>
      </c>
      <c r="H91" s="12" t="n">
        <f aca="false">RANK(Daten!H91,Daten!H$2:H$101,0)</f>
        <v>63</v>
      </c>
      <c r="I91" s="12" t="n">
        <f aca="false">RANK(Daten!I91,Daten!I$2:I$101,0)</f>
        <v>14</v>
      </c>
      <c r="J91" s="12" t="n">
        <f aca="false">RANK(Daten!J91,Daten!J$2:J$101,0)</f>
        <v>26</v>
      </c>
      <c r="K91" s="12" t="n">
        <f aca="false">RANK(Daten!K91,Daten!K$2:K$101,0)</f>
        <v>22</v>
      </c>
      <c r="L91" s="12" t="n">
        <f aca="false">RANK(Daten!L91,Daten!L$2:L$101,0)</f>
        <v>30</v>
      </c>
      <c r="M91" s="12" t="n">
        <f aca="false">RANK(Daten!M91,Daten!M$2:M$101,1)</f>
        <v>96</v>
      </c>
      <c r="N91" s="12" t="n">
        <f aca="false">RANK(Daten!N91,Daten!N$2:N$101,0)</f>
        <v>44</v>
      </c>
      <c r="O91" s="12" t="n">
        <f aca="false">RANK(Daten!O91,Daten!O$2:O$101,0)</f>
        <v>54</v>
      </c>
      <c r="P91" s="12" t="n">
        <f aca="false">RANK(Daten!P91,Daten!P$2:P$101,0)</f>
        <v>57</v>
      </c>
      <c r="Q91" s="13" t="n">
        <f aca="false">COUNTIF(B91:P91,"&lt;=3")</f>
        <v>1</v>
      </c>
      <c r="R91" s="12" t="n">
        <f aca="false">COUNTIF(B91:P91,1)</f>
        <v>1</v>
      </c>
    </row>
    <row r="92" customFormat="false" ht="15" hidden="false" customHeight="false" outlineLevel="0" collapsed="false">
      <c r="A92" s="3" t="str">
        <f aca="false">Daten!A92</f>
        <v>Fred Warner</v>
      </c>
      <c r="B92" s="12" t="n">
        <f aca="false">RANK(Daten!B92,Daten!B$2:B$101,1)</f>
        <v>21</v>
      </c>
      <c r="C92" s="12" t="n">
        <f aca="false">RANK(Daten!C92,Daten!C$2:C$101,0)</f>
        <v>37</v>
      </c>
      <c r="D92" s="12" t="n">
        <f aca="false">RANK(Daten!D92,Daten!D$2:D$101,0)</f>
        <v>34</v>
      </c>
      <c r="E92" s="12" t="n">
        <f aca="false">RANK(Daten!E92,Daten!E$2:E$101,1)</f>
        <v>16</v>
      </c>
      <c r="F92" s="12" t="n">
        <f aca="false">RANK(Daten!F92,Daten!F$2:F$101,1)</f>
        <v>90</v>
      </c>
      <c r="G92" s="12" t="n">
        <f aca="false">RANK(Daten!G92,Daten!G$2:G$101,1)</f>
        <v>32</v>
      </c>
      <c r="H92" s="12" t="n">
        <f aca="false">RANK(Daten!H92,Daten!H$2:H$101,0)</f>
        <v>9</v>
      </c>
      <c r="I92" s="12" t="n">
        <f aca="false">RANK(Daten!I92,Daten!I$2:I$101,0)</f>
        <v>9</v>
      </c>
      <c r="J92" s="12" t="n">
        <f aca="false">RANK(Daten!J92,Daten!J$2:J$101,0)</f>
        <v>13</v>
      </c>
      <c r="K92" s="12" t="n">
        <f aca="false">RANK(Daten!K92,Daten!K$2:K$101,0)</f>
        <v>3</v>
      </c>
      <c r="L92" s="12" t="n">
        <f aca="false">RANK(Daten!L92,Daten!L$2:L$101,0)</f>
        <v>5</v>
      </c>
      <c r="M92" s="12" t="n">
        <f aca="false">RANK(Daten!M92,Daten!M$2:M$101,1)</f>
        <v>78</v>
      </c>
      <c r="N92" s="12" t="n">
        <f aca="false">RANK(Daten!N92,Daten!N$2:N$101,0)</f>
        <v>47</v>
      </c>
      <c r="O92" s="12" t="n">
        <f aca="false">RANK(Daten!O92,Daten!O$2:O$101,0)</f>
        <v>8</v>
      </c>
      <c r="P92" s="12" t="n">
        <f aca="false">RANK(Daten!P92,Daten!P$2:P$101,0)</f>
        <v>40</v>
      </c>
      <c r="Q92" s="13" t="n">
        <f aca="false">COUNTIF(B92:P92,"&lt;=3")</f>
        <v>1</v>
      </c>
      <c r="R92" s="12" t="n">
        <f aca="false">COUNTIF(B92:P92,1)</f>
        <v>0</v>
      </c>
    </row>
    <row r="93" customFormat="false" ht="15" hidden="false" customHeight="false" outlineLevel="0" collapsed="false">
      <c r="A93" s="3" t="str">
        <f aca="false">Daten!A93</f>
        <v>Roquan Smith</v>
      </c>
      <c r="B93" s="12" t="n">
        <f aca="false">RANK(Daten!B93,Daten!B$2:B$101,1)</f>
        <v>25</v>
      </c>
      <c r="C93" s="12" t="n">
        <f aca="false">RANK(Daten!C93,Daten!C$2:C$101,0)</f>
        <v>63</v>
      </c>
      <c r="D93" s="12" t="n">
        <f aca="false">RANK(Daten!D93,Daten!D$2:D$101,0)</f>
        <v>32</v>
      </c>
      <c r="E93" s="12" t="n">
        <f aca="false">RANK(Daten!E93,Daten!E$2:E$101,1)</f>
        <v>16</v>
      </c>
      <c r="F93" s="12" t="n">
        <f aca="false">RANK(Daten!F93,Daten!F$2:F$101,1)</f>
        <v>39</v>
      </c>
      <c r="G93" s="12" t="n">
        <f aca="false">RANK(Daten!G93,Daten!G$2:G$101,1)</f>
        <v>10</v>
      </c>
      <c r="H93" s="12" t="n">
        <f aca="false">RANK(Daten!H93,Daten!H$2:H$101,0)</f>
        <v>34</v>
      </c>
      <c r="I93" s="12" t="n">
        <f aca="false">RANK(Daten!I93,Daten!I$2:I$101,0)</f>
        <v>42</v>
      </c>
      <c r="J93" s="12" t="n">
        <f aca="false">RANK(Daten!J93,Daten!J$2:J$101,0)</f>
        <v>26</v>
      </c>
      <c r="K93" s="12" t="n">
        <f aca="false">RANK(Daten!K93,Daten!K$2:K$101,0)</f>
        <v>3</v>
      </c>
      <c r="L93" s="12" t="n">
        <f aca="false">RANK(Daten!L93,Daten!L$2:L$101,0)</f>
        <v>30</v>
      </c>
      <c r="M93" s="12" t="n">
        <f aca="false">RANK(Daten!M93,Daten!M$2:M$101,1)</f>
        <v>1</v>
      </c>
      <c r="N93" s="12" t="n">
        <f aca="false">RANK(Daten!N93,Daten!N$2:N$101,0)</f>
        <v>50</v>
      </c>
      <c r="O93" s="12" t="n">
        <f aca="false">RANK(Daten!O93,Daten!O$2:O$101,0)</f>
        <v>54</v>
      </c>
      <c r="P93" s="12" t="n">
        <f aca="false">RANK(Daten!P93,Daten!P$2:P$101,0)</f>
        <v>96</v>
      </c>
      <c r="Q93" s="13" t="n">
        <f aca="false">COUNTIF(B93:P93,"&lt;=3")</f>
        <v>2</v>
      </c>
      <c r="R93" s="12" t="n">
        <f aca="false">COUNTIF(B93:P93,1)</f>
        <v>1</v>
      </c>
    </row>
    <row r="94" customFormat="false" ht="15" hidden="false" customHeight="false" outlineLevel="0" collapsed="false">
      <c r="A94" s="3" t="str">
        <f aca="false">Daten!A94</f>
        <v>Patrick Surtain II</v>
      </c>
      <c r="B94" s="12" t="n">
        <f aca="false">RANK(Daten!B94,Daten!B$2:B$101,1)</f>
        <v>57</v>
      </c>
      <c r="C94" s="12" t="n">
        <f aca="false">RANK(Daten!C94,Daten!C$2:C$101,0)</f>
        <v>53</v>
      </c>
      <c r="D94" s="12" t="n">
        <f aca="false">RANK(Daten!D94,Daten!D$2:D$101,0)</f>
        <v>79</v>
      </c>
      <c r="E94" s="12" t="n">
        <f aca="false">RANK(Daten!E94,Daten!E$2:E$101,1)</f>
        <v>44</v>
      </c>
      <c r="F94" s="12" t="n">
        <f aca="false">RANK(Daten!F94,Daten!F$2:F$101,1)</f>
        <v>46</v>
      </c>
      <c r="G94" s="12" t="n">
        <f aca="false">RANK(Daten!G94,Daten!G$2:G$101,1)</f>
        <v>9</v>
      </c>
      <c r="H94" s="12" t="n">
        <f aca="false">RANK(Daten!H94,Daten!H$2:H$101,0)</f>
        <v>55</v>
      </c>
      <c r="I94" s="12" t="n">
        <f aca="false">RANK(Daten!I94,Daten!I$2:I$101,0)</f>
        <v>30</v>
      </c>
      <c r="J94" s="12" t="n">
        <f aca="false">RANK(Daten!J94,Daten!J$2:J$101,0)</f>
        <v>26</v>
      </c>
      <c r="K94" s="12" t="n">
        <f aca="false">RANK(Daten!K94,Daten!K$2:K$101,0)</f>
        <v>10</v>
      </c>
      <c r="L94" s="12" t="n">
        <f aca="false">RANK(Daten!L94,Daten!L$2:L$101,0)</f>
        <v>30</v>
      </c>
      <c r="M94" s="12" t="n">
        <f aca="false">RANK(Daten!M94,Daten!M$2:M$101,1)</f>
        <v>10</v>
      </c>
      <c r="N94" s="12" t="n">
        <f aca="false">RANK(Daten!N94,Daten!N$2:N$101,0)</f>
        <v>43</v>
      </c>
      <c r="O94" s="12" t="n">
        <f aca="false">RANK(Daten!O94,Daten!O$2:O$101,0)</f>
        <v>8</v>
      </c>
      <c r="P94" s="12" t="n">
        <f aca="false">RANK(Daten!P94,Daten!P$2:P$101,0)</f>
        <v>41</v>
      </c>
      <c r="Q94" s="13" t="n">
        <f aca="false">COUNTIF(B94:P94,"&lt;=3")</f>
        <v>0</v>
      </c>
      <c r="R94" s="12" t="n">
        <f aca="false">COUNTIF(B94:P94,1)</f>
        <v>0</v>
      </c>
    </row>
    <row r="95" customFormat="false" ht="15" hidden="false" customHeight="false" outlineLevel="0" collapsed="false">
      <c r="A95" s="3" t="str">
        <f aca="false">Daten!A95</f>
        <v>Sauce Gardner</v>
      </c>
      <c r="B95" s="12" t="n">
        <f aca="false">RANK(Daten!B95,Daten!B$2:B$101,1)</f>
        <v>62</v>
      </c>
      <c r="C95" s="12" t="n">
        <f aca="false">RANK(Daten!C95,Daten!C$2:C$101,0)</f>
        <v>37</v>
      </c>
      <c r="D95" s="12" t="n">
        <f aca="false">RANK(Daten!D95,Daten!D$2:D$101,0)</f>
        <v>89</v>
      </c>
      <c r="E95" s="12" t="n">
        <f aca="false">RANK(Daten!E95,Daten!E$2:E$101,1)</f>
        <v>55</v>
      </c>
      <c r="F95" s="12" t="n">
        <f aca="false">RANK(Daten!F95,Daten!F$2:F$101,1)</f>
        <v>23</v>
      </c>
      <c r="G95" s="12" t="n">
        <f aca="false">RANK(Daten!G95,Daten!G$2:G$101,1)</f>
        <v>45</v>
      </c>
      <c r="H95" s="12" t="n">
        <f aca="false">RANK(Daten!H95,Daten!H$2:H$101,0)</f>
        <v>82</v>
      </c>
      <c r="I95" s="12" t="n">
        <f aca="false">RANK(Daten!I95,Daten!I$2:I$101,0)</f>
        <v>86</v>
      </c>
      <c r="J95" s="12" t="n">
        <f aca="false">RANK(Daten!J95,Daten!J$2:J$101,0)</f>
        <v>26</v>
      </c>
      <c r="K95" s="12" t="n">
        <f aca="false">RANK(Daten!K95,Daten!K$2:K$101,0)</f>
        <v>10</v>
      </c>
      <c r="L95" s="12" t="n">
        <f aca="false">RANK(Daten!L95,Daten!L$2:L$101,0)</f>
        <v>30</v>
      </c>
      <c r="M95" s="12" t="n">
        <f aca="false">RANK(Daten!M95,Daten!M$2:M$101,1)</f>
        <v>2</v>
      </c>
      <c r="N95" s="12" t="n">
        <f aca="false">RANK(Daten!N95,Daten!N$2:N$101,0)</f>
        <v>30</v>
      </c>
      <c r="O95" s="12" t="n">
        <f aca="false">RANK(Daten!O95,Daten!O$2:O$101,0)</f>
        <v>2</v>
      </c>
      <c r="P95" s="12" t="n">
        <f aca="false">RANK(Daten!P95,Daten!P$2:P$101,0)</f>
        <v>14</v>
      </c>
      <c r="Q95" s="13" t="n">
        <f aca="false">COUNTIF(B95:P95,"&lt;=3")</f>
        <v>2</v>
      </c>
      <c r="R95" s="12" t="n">
        <f aca="false">COUNTIF(B95:P95,1)</f>
        <v>0</v>
      </c>
    </row>
    <row r="96" customFormat="false" ht="15" hidden="false" customHeight="false" outlineLevel="0" collapsed="false">
      <c r="A96" s="3" t="str">
        <f aca="false">Daten!A96</f>
        <v>Derek Stingley Jr.</v>
      </c>
      <c r="B96" s="12" t="n">
        <f aca="false">RANK(Daten!B96,Daten!B$2:B$101,1)</f>
        <v>73</v>
      </c>
      <c r="C96" s="12" t="n">
        <f aca="false">RANK(Daten!C96,Daten!C$2:C$101,0)</f>
        <v>75</v>
      </c>
      <c r="D96" s="12" t="n">
        <f aca="false">RANK(Daten!D96,Daten!D$2:D$101,0)</f>
        <v>89</v>
      </c>
      <c r="E96" s="12" t="n">
        <f aca="false">RANK(Daten!E96,Daten!E$2:E$101,1)</f>
        <v>55</v>
      </c>
      <c r="F96" s="12" t="n">
        <f aca="false">RANK(Daten!F96,Daten!F$2:F$101,1)</f>
        <v>18</v>
      </c>
      <c r="G96" s="12" t="n">
        <f aca="false">RANK(Daten!G96,Daten!G$2:G$101,1)</f>
        <v>5</v>
      </c>
      <c r="H96" s="12" t="n">
        <f aca="false">RANK(Daten!H96,Daten!H$2:H$101,0)</f>
        <v>42</v>
      </c>
      <c r="I96" s="12" t="n">
        <f aca="false">RANK(Daten!I96,Daten!I$2:I$101,0)</f>
        <v>42</v>
      </c>
      <c r="J96" s="12" t="n">
        <f aca="false">RANK(Daten!J96,Daten!J$2:J$101,0)</f>
        <v>48</v>
      </c>
      <c r="K96" s="12" t="n">
        <f aca="false">RANK(Daten!K96,Daten!K$2:K$101,0)</f>
        <v>22</v>
      </c>
      <c r="L96" s="12" t="n">
        <f aca="false">RANK(Daten!L96,Daten!L$2:L$101,0)</f>
        <v>30</v>
      </c>
      <c r="M96" s="12" t="n">
        <f aca="false">RANK(Daten!M96,Daten!M$2:M$101,1)</f>
        <v>68</v>
      </c>
      <c r="N96" s="12" t="n">
        <f aca="false">RANK(Daten!N96,Daten!N$2:N$101,0)</f>
        <v>31</v>
      </c>
      <c r="O96" s="12" t="n">
        <f aca="false">RANK(Daten!O96,Daten!O$2:O$101,0)</f>
        <v>8</v>
      </c>
      <c r="P96" s="12" t="n">
        <f aca="false">RANK(Daten!P96,Daten!P$2:P$101,0)</f>
        <v>27</v>
      </c>
      <c r="Q96" s="13" t="n">
        <f aca="false">COUNTIF(B96:P96,"&lt;=3")</f>
        <v>0</v>
      </c>
      <c r="R96" s="12" t="n">
        <f aca="false">COUNTIF(B96:P96,1)</f>
        <v>0</v>
      </c>
    </row>
    <row r="97" customFormat="false" ht="15" hidden="false" customHeight="false" outlineLevel="0" collapsed="false">
      <c r="A97" s="3" t="str">
        <f aca="false">Daten!A97</f>
        <v>Devon Witherspoon</v>
      </c>
      <c r="B97" s="12" t="n">
        <f aca="false">RANK(Daten!B97,Daten!B$2:B$101,1)</f>
        <v>66</v>
      </c>
      <c r="C97" s="12" t="n">
        <f aca="false">RANK(Daten!C97,Daten!C$2:C$101,0)</f>
        <v>75</v>
      </c>
      <c r="D97" s="12" t="n">
        <f aca="false">RANK(Daten!D97,Daten!D$2:D$101,0)</f>
        <v>94</v>
      </c>
      <c r="E97" s="12" t="n">
        <f aca="false">RANK(Daten!E97,Daten!E$2:E$101,1)</f>
        <v>66</v>
      </c>
      <c r="F97" s="12" t="n">
        <f aca="false">RANK(Daten!F97,Daten!F$2:F$101,1)</f>
        <v>27</v>
      </c>
      <c r="G97" s="12" t="n">
        <f aca="false">RANK(Daten!G97,Daten!G$2:G$101,1)</f>
        <v>84</v>
      </c>
      <c r="H97" s="12" t="n">
        <f aca="false">RANK(Daten!H97,Daten!H$2:H$101,0)</f>
        <v>55</v>
      </c>
      <c r="I97" s="12" t="n">
        <f aca="false">RANK(Daten!I97,Daten!I$2:I$101,0)</f>
        <v>56</v>
      </c>
      <c r="J97" s="12" t="n">
        <f aca="false">RANK(Daten!J97,Daten!J$2:J$101,0)</f>
        <v>48</v>
      </c>
      <c r="K97" s="12" t="n">
        <f aca="false">RANK(Daten!K97,Daten!K$2:K$101,0)</f>
        <v>37</v>
      </c>
      <c r="L97" s="12" t="n">
        <f aca="false">RANK(Daten!L97,Daten!L$2:L$101,0)</f>
        <v>11</v>
      </c>
      <c r="M97" s="12" t="n">
        <f aca="false">RANK(Daten!M97,Daten!M$2:M$101,1)</f>
        <v>64</v>
      </c>
      <c r="N97" s="12" t="n">
        <f aca="false">RANK(Daten!N97,Daten!N$2:N$101,0)</f>
        <v>79</v>
      </c>
      <c r="O97" s="12" t="n">
        <f aca="false">RANK(Daten!O97,Daten!O$2:O$101,0)</f>
        <v>76</v>
      </c>
      <c r="P97" s="12" t="n">
        <f aca="false">RANK(Daten!P97,Daten!P$2:P$101,0)</f>
        <v>51</v>
      </c>
      <c r="Q97" s="13" t="n">
        <f aca="false">COUNTIF(B97:P97,"&lt;=3")</f>
        <v>0</v>
      </c>
      <c r="R97" s="12" t="n">
        <f aca="false">COUNTIF(B97:P97,1)</f>
        <v>0</v>
      </c>
    </row>
    <row r="98" customFormat="false" ht="15" hidden="false" customHeight="false" outlineLevel="0" collapsed="false">
      <c r="A98" s="3" t="str">
        <f aca="false">Daten!A98</f>
        <v>Jalen Ramsey</v>
      </c>
      <c r="B98" s="12" t="n">
        <f aca="false">RANK(Daten!B98,Daten!B$2:B$101,1)</f>
        <v>12</v>
      </c>
      <c r="C98" s="12" t="n">
        <f aca="false">RANK(Daten!C98,Daten!C$2:C$101,0)</f>
        <v>63</v>
      </c>
      <c r="D98" s="12" t="n">
        <f aca="false">RANK(Daten!D98,Daten!D$2:D$101,0)</f>
        <v>74</v>
      </c>
      <c r="E98" s="12" t="n">
        <f aca="false">RANK(Daten!E98,Daten!E$2:E$101,1)</f>
        <v>6</v>
      </c>
      <c r="F98" s="12" t="n">
        <f aca="false">RANK(Daten!F98,Daten!F$2:F$101,1)</f>
        <v>27</v>
      </c>
      <c r="G98" s="12" t="n">
        <f aca="false">RANK(Daten!G98,Daten!G$2:G$101,1)</f>
        <v>35</v>
      </c>
      <c r="H98" s="12" t="n">
        <f aca="false">RANK(Daten!H98,Daten!H$2:H$101,0)</f>
        <v>11</v>
      </c>
      <c r="I98" s="12" t="n">
        <f aca="false">RANK(Daten!I98,Daten!I$2:I$101,0)</f>
        <v>86</v>
      </c>
      <c r="J98" s="12" t="n">
        <f aca="false">RANK(Daten!J98,Daten!J$2:J$101,0)</f>
        <v>2</v>
      </c>
      <c r="K98" s="12" t="n">
        <f aca="false">RANK(Daten!K98,Daten!K$2:K$101,0)</f>
        <v>3</v>
      </c>
      <c r="L98" s="12" t="n">
        <f aca="false">RANK(Daten!L98,Daten!L$2:L$101,0)</f>
        <v>11</v>
      </c>
      <c r="M98" s="12" t="n">
        <f aca="false">RANK(Daten!M98,Daten!M$2:M$101,1)</f>
        <v>18</v>
      </c>
      <c r="N98" s="12" t="n">
        <f aca="false">RANK(Daten!N98,Daten!N$2:N$101,0)</f>
        <v>42</v>
      </c>
      <c r="O98" s="12" t="n">
        <f aca="false">RANK(Daten!O98,Daten!O$2:O$101,0)</f>
        <v>22</v>
      </c>
      <c r="P98" s="12" t="n">
        <f aca="false">RANK(Daten!P98,Daten!P$2:P$101,0)</f>
        <v>49</v>
      </c>
      <c r="Q98" s="13" t="n">
        <f aca="false">COUNTIF(B98:P98,"&lt;=3")</f>
        <v>2</v>
      </c>
      <c r="R98" s="12" t="n">
        <f aca="false">COUNTIF(B98:P98,1)</f>
        <v>0</v>
      </c>
    </row>
    <row r="99" customFormat="false" ht="15" hidden="false" customHeight="false" outlineLevel="0" collapsed="false">
      <c r="A99" s="3" t="str">
        <f aca="false">Daten!A99</f>
        <v>Kyle Hamilton</v>
      </c>
      <c r="B99" s="12" t="n">
        <f aca="false">RANK(Daten!B99,Daten!B$2:B$101,1)</f>
        <v>70</v>
      </c>
      <c r="C99" s="12" t="n">
        <f aca="false">RANK(Daten!C99,Daten!C$2:C$101,0)</f>
        <v>18</v>
      </c>
      <c r="D99" s="12" t="n">
        <f aca="false">RANK(Daten!D99,Daten!D$2:D$101,0)</f>
        <v>44</v>
      </c>
      <c r="E99" s="12" t="n">
        <f aca="false">RANK(Daten!E99,Daten!E$2:E$101,1)</f>
        <v>55</v>
      </c>
      <c r="F99" s="12" t="n">
        <f aca="false">RANK(Daten!F99,Daten!F$2:F$101,1)</f>
        <v>60</v>
      </c>
      <c r="G99" s="12" t="n">
        <f aca="false">RANK(Daten!G99,Daten!G$2:G$101,1)</f>
        <v>14</v>
      </c>
      <c r="H99" s="12" t="n">
        <f aca="false">RANK(Daten!H99,Daten!H$2:H$101,0)</f>
        <v>34</v>
      </c>
      <c r="I99" s="12" t="n">
        <f aca="false">RANK(Daten!I99,Daten!I$2:I$101,0)</f>
        <v>42</v>
      </c>
      <c r="J99" s="12" t="n">
        <f aca="false">RANK(Daten!J99,Daten!J$2:J$101,0)</f>
        <v>37</v>
      </c>
      <c r="K99" s="12" t="n">
        <f aca="false">RANK(Daten!K99,Daten!K$2:K$101,0)</f>
        <v>22</v>
      </c>
      <c r="L99" s="12" t="n">
        <f aca="false">RANK(Daten!L99,Daten!L$2:L$101,0)</f>
        <v>30</v>
      </c>
      <c r="M99" s="12" t="n">
        <f aca="false">RANK(Daten!M99,Daten!M$2:M$101,1)</f>
        <v>47</v>
      </c>
      <c r="N99" s="12" t="n">
        <f aca="false">RANK(Daten!N99,Daten!N$2:N$101,0)</f>
        <v>39</v>
      </c>
      <c r="O99" s="12" t="n">
        <f aca="false">RANK(Daten!O99,Daten!O$2:O$101,0)</f>
        <v>8</v>
      </c>
      <c r="P99" s="12" t="n">
        <f aca="false">RANK(Daten!P99,Daten!P$2:P$101,0)</f>
        <v>32</v>
      </c>
      <c r="Q99" s="13" t="n">
        <f aca="false">COUNTIF(B99:P99,"&lt;=3")</f>
        <v>0</v>
      </c>
      <c r="R99" s="12" t="n">
        <f aca="false">COUNTIF(B99:P99,1)</f>
        <v>0</v>
      </c>
    </row>
    <row r="100" customFormat="false" ht="15" hidden="false" customHeight="false" outlineLevel="0" collapsed="false">
      <c r="A100" s="3" t="str">
        <f aca="false">Daten!A100</f>
        <v>Derwin James</v>
      </c>
      <c r="B100" s="12" t="n">
        <f aca="false">RANK(Daten!B100,Daten!B$2:B$101,1)</f>
        <v>20</v>
      </c>
      <c r="C100" s="12" t="n">
        <f aca="false">RANK(Daten!C100,Daten!C$2:C$101,0)</f>
        <v>53</v>
      </c>
      <c r="D100" s="12" t="n">
        <f aca="false">RANK(Daten!D100,Daten!D$2:D$101,0)</f>
        <v>54</v>
      </c>
      <c r="E100" s="12" t="n">
        <f aca="false">RANK(Daten!E100,Daten!E$2:E$101,1)</f>
        <v>16</v>
      </c>
      <c r="F100" s="12" t="n">
        <f aca="false">RANK(Daten!F100,Daten!F$2:F$101,1)</f>
        <v>62</v>
      </c>
      <c r="G100" s="12" t="n">
        <f aca="false">RANK(Daten!G100,Daten!G$2:G$101,1)</f>
        <v>54</v>
      </c>
      <c r="H100" s="12" t="n">
        <f aca="false">RANK(Daten!H100,Daten!H$2:H$101,0)</f>
        <v>63</v>
      </c>
      <c r="I100" s="12" t="n">
        <f aca="false">RANK(Daten!I100,Daten!I$2:I$101,0)</f>
        <v>9</v>
      </c>
      <c r="J100" s="12" t="n">
        <f aca="false">RANK(Daten!J100,Daten!J$2:J$101,0)</f>
        <v>13</v>
      </c>
      <c r="K100" s="12" t="n">
        <f aca="false">RANK(Daten!K100,Daten!K$2:K$101,0)</f>
        <v>22</v>
      </c>
      <c r="L100" s="12" t="n">
        <f aca="false">RANK(Daten!L100,Daten!L$2:L$101,0)</f>
        <v>30</v>
      </c>
      <c r="M100" s="12" t="n">
        <f aca="false">RANK(Daten!M100,Daten!M$2:M$101,1)</f>
        <v>12</v>
      </c>
      <c r="N100" s="12" t="n">
        <f aca="false">RANK(Daten!N100,Daten!N$2:N$101,0)</f>
        <v>53</v>
      </c>
      <c r="O100" s="12" t="n">
        <f aca="false">RANK(Daten!O100,Daten!O$2:O$101,0)</f>
        <v>76</v>
      </c>
      <c r="P100" s="12" t="n">
        <f aca="false">RANK(Daten!P100,Daten!P$2:P$101,0)</f>
        <v>63</v>
      </c>
      <c r="Q100" s="13" t="n">
        <f aca="false">COUNTIF(B100:P100,"&lt;=3")</f>
        <v>0</v>
      </c>
      <c r="R100" s="12" t="n">
        <f aca="false">COUNTIF(B100:P100,1)</f>
        <v>0</v>
      </c>
    </row>
    <row r="101" customFormat="false" ht="15" hidden="false" customHeight="false" outlineLevel="0" collapsed="false">
      <c r="A101" s="3" t="str">
        <f aca="false">Daten!A101</f>
        <v>Brian Branch</v>
      </c>
      <c r="B101" s="12" t="n">
        <f aca="false">RANK(Daten!B101,Daten!B$2:B$101,1)</f>
        <v>81</v>
      </c>
      <c r="C101" s="12" t="n">
        <f aca="false">RANK(Daten!C101,Daten!C$2:C$101,0)</f>
        <v>75</v>
      </c>
      <c r="D101" s="12" t="n">
        <f aca="false">RANK(Daten!D101,Daten!D$2:D$101,0)</f>
        <v>89</v>
      </c>
      <c r="E101" s="12" t="n">
        <f aca="false">RANK(Daten!E101,Daten!E$2:E$101,1)</f>
        <v>66</v>
      </c>
      <c r="F101" s="12" t="n">
        <f aca="false">RANK(Daten!F101,Daten!F$2:F$101,1)</f>
        <v>81</v>
      </c>
      <c r="G101" s="12" t="n">
        <f aca="false">RANK(Daten!G101,Daten!G$2:G$101,1)</f>
        <v>27</v>
      </c>
      <c r="H101" s="12" t="n">
        <f aca="false">RANK(Daten!H101,Daten!H$2:H$101,0)</f>
        <v>42</v>
      </c>
      <c r="I101" s="12" t="n">
        <f aca="false">RANK(Daten!I101,Daten!I$2:I$101,0)</f>
        <v>56</v>
      </c>
      <c r="J101" s="12" t="n">
        <f aca="false">RANK(Daten!J101,Daten!J$2:J$101,0)</f>
        <v>48</v>
      </c>
      <c r="K101" s="12" t="n">
        <f aca="false">RANK(Daten!K101,Daten!K$2:K$101,0)</f>
        <v>37</v>
      </c>
      <c r="L101" s="12" t="n">
        <f aca="false">RANK(Daten!L101,Daten!L$2:L$101,0)</f>
        <v>30</v>
      </c>
      <c r="M101" s="12" t="n">
        <f aca="false">RANK(Daten!M101,Daten!M$2:M$101,1)</f>
        <v>73</v>
      </c>
      <c r="N101" s="12" t="n">
        <f aca="false">RANK(Daten!N101,Daten!N$2:N$101,0)</f>
        <v>99</v>
      </c>
      <c r="O101" s="12" t="n">
        <f aca="false">RANK(Daten!O101,Daten!O$2:O$101,0)</f>
        <v>76</v>
      </c>
      <c r="P101" s="12" t="n">
        <f aca="false">RANK(Daten!P101,Daten!P$2:P$101,0)</f>
        <v>82</v>
      </c>
      <c r="Q101" s="13" t="n">
        <f aca="false">COUNTIF(B101:P101,"&lt;=3")</f>
        <v>0</v>
      </c>
      <c r="R101" s="12" t="n">
        <f aca="false">COUNTIF(B101:P101,1)</f>
        <v>0</v>
      </c>
    </row>
    <row r="103" customFormat="false" ht="15" hidden="false" customHeight="false" outlineLevel="0" collapsed="false">
      <c r="A103" s="9" t="s">
        <v>381</v>
      </c>
      <c r="B103" s="9" t="n">
        <f aca="false">COUNTIF(Q2:Q101,"&gt;0")</f>
        <v>44</v>
      </c>
    </row>
    <row r="104" customFormat="false" ht="15" hidden="false" customHeight="false" outlineLevel="0" collapsed="false">
      <c r="A104" s="9" t="s">
        <v>382</v>
      </c>
      <c r="B104" s="9" t="n">
        <f aca="false">COUNTIF(Q2:Q101,0)</f>
        <v>56</v>
      </c>
    </row>
    <row r="105" customFormat="false" ht="15" hidden="false" customHeight="false" outlineLevel="0" collapsed="false">
      <c r="A105" s="9" t="s">
        <v>383</v>
      </c>
      <c r="B105" s="9" t="n">
        <f aca="false">COUNTIF(R2:R101,"&gt;0")</f>
        <v>23</v>
      </c>
    </row>
    <row r="107" customFormat="false" ht="15" hidden="false" customHeight="false" outlineLevel="0" collapsed="false">
      <c r="A107" s="11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48" hidden="false" customHeight="true" outlineLevel="0" collapsed="false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</row>
    <row r="2" customFormat="false" ht="23.85" hidden="false" customHeight="false" outlineLevel="0" collapsed="false">
      <c r="A2" s="14" t="n">
        <v>1</v>
      </c>
      <c r="B2" s="14" t="s">
        <v>364</v>
      </c>
      <c r="C2" s="14" t="s">
        <v>397</v>
      </c>
      <c r="D2" s="14" t="s">
        <v>398</v>
      </c>
      <c r="E2" s="14" t="s">
        <v>159</v>
      </c>
      <c r="F2" s="14" t="s">
        <v>399</v>
      </c>
      <c r="G2" s="14" t="s">
        <v>400</v>
      </c>
      <c r="H2" s="14" t="n">
        <v>86</v>
      </c>
      <c r="I2" s="14" t="s">
        <v>401</v>
      </c>
      <c r="J2" s="14" t="s">
        <v>402</v>
      </c>
      <c r="K2" s="14" t="s">
        <v>403</v>
      </c>
      <c r="L2" s="14" t="s">
        <v>404</v>
      </c>
    </row>
    <row r="3" customFormat="false" ht="35.05" hidden="false" customHeight="false" outlineLevel="0" collapsed="false">
      <c r="A3" s="14" t="n">
        <v>2</v>
      </c>
      <c r="B3" s="14" t="s">
        <v>365</v>
      </c>
      <c r="C3" s="14" t="s">
        <v>405</v>
      </c>
      <c r="D3" s="14" t="s">
        <v>406</v>
      </c>
      <c r="E3" s="14" t="s">
        <v>307</v>
      </c>
      <c r="F3" s="14" t="s">
        <v>407</v>
      </c>
      <c r="G3" s="14" t="s">
        <v>408</v>
      </c>
      <c r="H3" s="14" t="n">
        <v>88</v>
      </c>
      <c r="I3" s="14" t="s">
        <v>409</v>
      </c>
      <c r="J3" s="14" t="s">
        <v>410</v>
      </c>
      <c r="K3" s="14" t="s">
        <v>411</v>
      </c>
      <c r="L3" s="14" t="s">
        <v>412</v>
      </c>
    </row>
    <row r="4" customFormat="false" ht="23.85" hidden="false" customHeight="false" outlineLevel="0" collapsed="false">
      <c r="A4" s="14" t="n">
        <v>3</v>
      </c>
      <c r="B4" s="14" t="s">
        <v>366</v>
      </c>
      <c r="C4" s="14" t="s">
        <v>413</v>
      </c>
      <c r="D4" s="14" t="s">
        <v>414</v>
      </c>
      <c r="E4" s="14" t="s">
        <v>325</v>
      </c>
      <c r="F4" s="14" t="s">
        <v>407</v>
      </c>
      <c r="G4" s="14" t="s">
        <v>415</v>
      </c>
      <c r="H4" s="14" t="n">
        <v>86</v>
      </c>
      <c r="I4" s="14" t="s">
        <v>416</v>
      </c>
      <c r="J4" s="14" t="s">
        <v>410</v>
      </c>
      <c r="K4" s="14" t="s">
        <v>417</v>
      </c>
      <c r="L4" s="14" t="s">
        <v>418</v>
      </c>
    </row>
    <row r="5" customFormat="false" ht="23.85" hidden="false" customHeight="false" outlineLevel="0" collapsed="false">
      <c r="A5" s="14" t="n">
        <v>4</v>
      </c>
      <c r="B5" s="14" t="s">
        <v>367</v>
      </c>
      <c r="C5" s="14" t="s">
        <v>419</v>
      </c>
      <c r="D5" s="14" t="s">
        <v>420</v>
      </c>
      <c r="E5" s="14" t="s">
        <v>159</v>
      </c>
      <c r="F5" s="14" t="s">
        <v>399</v>
      </c>
      <c r="G5" s="14" t="s">
        <v>421</v>
      </c>
      <c r="H5" s="14" t="n">
        <v>85</v>
      </c>
      <c r="I5" s="14" t="s">
        <v>422</v>
      </c>
      <c r="J5" s="14" t="s">
        <v>423</v>
      </c>
      <c r="K5" s="14" t="s">
        <v>424</v>
      </c>
      <c r="L5" s="14" t="s">
        <v>425</v>
      </c>
    </row>
    <row r="6" customFormat="false" ht="68.65" hidden="false" customHeight="false" outlineLevel="0" collapsed="false">
      <c r="A6" s="14" t="n">
        <v>5</v>
      </c>
      <c r="B6" s="14" t="s">
        <v>368</v>
      </c>
      <c r="C6" s="14" t="s">
        <v>426</v>
      </c>
      <c r="D6" s="14" t="s">
        <v>427</v>
      </c>
      <c r="E6" s="14" t="s">
        <v>428</v>
      </c>
      <c r="F6" s="14" t="s">
        <v>399</v>
      </c>
      <c r="G6" s="14" t="s">
        <v>429</v>
      </c>
      <c r="H6" s="14" t="n">
        <v>81</v>
      </c>
      <c r="I6" s="14" t="s">
        <v>430</v>
      </c>
      <c r="J6" s="14" t="s">
        <v>423</v>
      </c>
      <c r="K6" s="14" t="s">
        <v>431</v>
      </c>
      <c r="L6" s="14" t="s">
        <v>412</v>
      </c>
    </row>
    <row r="7" customFormat="false" ht="23.85" hidden="false" customHeight="false" outlineLevel="0" collapsed="false">
      <c r="A7" s="14" t="n">
        <v>6</v>
      </c>
      <c r="B7" s="14" t="s">
        <v>369</v>
      </c>
      <c r="C7" s="14" t="s">
        <v>432</v>
      </c>
      <c r="D7" s="14" t="s">
        <v>433</v>
      </c>
      <c r="E7" s="14" t="s">
        <v>273</v>
      </c>
      <c r="F7" s="14" t="s">
        <v>399</v>
      </c>
      <c r="G7" s="14" t="s">
        <v>434</v>
      </c>
      <c r="H7" s="14" t="n">
        <v>97</v>
      </c>
      <c r="I7" s="14" t="s">
        <v>435</v>
      </c>
      <c r="J7" s="14" t="s">
        <v>436</v>
      </c>
      <c r="K7" s="14" t="s">
        <v>437</v>
      </c>
      <c r="L7" s="14" t="s">
        <v>412</v>
      </c>
    </row>
    <row r="8" customFormat="false" ht="35.05" hidden="false" customHeight="false" outlineLevel="0" collapsed="false">
      <c r="A8" s="14" t="n">
        <v>7</v>
      </c>
      <c r="B8" s="14" t="s">
        <v>370</v>
      </c>
      <c r="C8" s="14" t="s">
        <v>438</v>
      </c>
      <c r="D8" s="14" t="s">
        <v>439</v>
      </c>
      <c r="E8" s="14" t="s">
        <v>313</v>
      </c>
      <c r="F8" s="14" t="s">
        <v>407</v>
      </c>
      <c r="G8" s="14" t="s">
        <v>440</v>
      </c>
      <c r="H8" s="14" t="n">
        <v>81</v>
      </c>
      <c r="I8" s="14" t="s">
        <v>441</v>
      </c>
      <c r="J8" s="14" t="s">
        <v>442</v>
      </c>
      <c r="K8" s="14" t="s">
        <v>443</v>
      </c>
      <c r="L8" s="14" t="s">
        <v>444</v>
      </c>
    </row>
    <row r="9" customFormat="false" ht="23.85" hidden="false" customHeight="false" outlineLevel="0" collapsed="false">
      <c r="A9" s="14" t="n">
        <v>8</v>
      </c>
      <c r="B9" s="14" t="s">
        <v>371</v>
      </c>
      <c r="C9" s="14" t="s">
        <v>445</v>
      </c>
      <c r="D9" s="14" t="s">
        <v>439</v>
      </c>
      <c r="E9" s="14" t="s">
        <v>270</v>
      </c>
      <c r="F9" s="14" t="s">
        <v>399</v>
      </c>
      <c r="G9" s="14" t="s">
        <v>446</v>
      </c>
      <c r="H9" s="14" t="n">
        <v>87</v>
      </c>
      <c r="I9" s="14" t="s">
        <v>447</v>
      </c>
      <c r="J9" s="14" t="s">
        <v>448</v>
      </c>
      <c r="K9" s="14" t="s">
        <v>449</v>
      </c>
      <c r="L9" s="14" t="s">
        <v>450</v>
      </c>
    </row>
    <row r="10" customFormat="false" ht="35.05" hidden="false" customHeight="false" outlineLevel="0" collapsed="false">
      <c r="A10" s="14" t="n">
        <v>9</v>
      </c>
      <c r="B10" s="14" t="s">
        <v>372</v>
      </c>
      <c r="C10" s="14" t="s">
        <v>451</v>
      </c>
      <c r="D10" s="14" t="s">
        <v>439</v>
      </c>
      <c r="E10" s="14" t="s">
        <v>266</v>
      </c>
      <c r="F10" s="14" t="s">
        <v>407</v>
      </c>
      <c r="G10" s="14" t="s">
        <v>452</v>
      </c>
      <c r="H10" s="14" t="n">
        <v>91</v>
      </c>
      <c r="I10" s="14" t="s">
        <v>453</v>
      </c>
      <c r="J10" s="14" t="s">
        <v>423</v>
      </c>
      <c r="K10" s="14" t="s">
        <v>454</v>
      </c>
      <c r="L10" s="14" t="s">
        <v>455</v>
      </c>
    </row>
    <row r="11" customFormat="false" ht="23.85" hidden="false" customHeight="false" outlineLevel="0" collapsed="false">
      <c r="A11" s="14" t="n">
        <v>10</v>
      </c>
      <c r="B11" s="14" t="s">
        <v>373</v>
      </c>
      <c r="C11" s="14" t="s">
        <v>451</v>
      </c>
      <c r="D11" s="14" t="s">
        <v>439</v>
      </c>
      <c r="E11" s="14" t="s">
        <v>456</v>
      </c>
      <c r="F11" s="14" t="s">
        <v>407</v>
      </c>
      <c r="G11" s="14" t="s">
        <v>457</v>
      </c>
      <c r="H11" s="14" t="n">
        <v>95</v>
      </c>
      <c r="I11" s="14" t="s">
        <v>458</v>
      </c>
      <c r="J11" s="14" t="s">
        <v>423</v>
      </c>
      <c r="K11" s="14" t="s">
        <v>459</v>
      </c>
      <c r="L11" s="14" t="s">
        <v>455</v>
      </c>
    </row>
    <row r="12" customFormat="false" ht="23.85" hidden="false" customHeight="false" outlineLevel="0" collapsed="false">
      <c r="A12" s="14" t="n">
        <v>11</v>
      </c>
      <c r="B12" s="14" t="s">
        <v>374</v>
      </c>
      <c r="C12" s="14" t="s">
        <v>451</v>
      </c>
      <c r="D12" s="14" t="s">
        <v>439</v>
      </c>
      <c r="E12" s="14" t="s">
        <v>460</v>
      </c>
      <c r="F12" s="14" t="s">
        <v>399</v>
      </c>
      <c r="G12" s="14" t="s">
        <v>461</v>
      </c>
      <c r="H12" s="14" t="n">
        <v>95</v>
      </c>
      <c r="I12" s="14" t="s">
        <v>462</v>
      </c>
      <c r="J12" s="14" t="s">
        <v>423</v>
      </c>
      <c r="K12" s="14" t="s">
        <v>463</v>
      </c>
      <c r="L12" s="14" t="s">
        <v>464</v>
      </c>
    </row>
    <row r="13" customFormat="false" ht="35.05" hidden="false" customHeight="false" outlineLevel="0" collapsed="false">
      <c r="A13" s="14" t="n">
        <v>12</v>
      </c>
      <c r="B13" s="14" t="s">
        <v>375</v>
      </c>
      <c r="C13" s="14" t="s">
        <v>465</v>
      </c>
      <c r="D13" s="14" t="s">
        <v>466</v>
      </c>
      <c r="E13" s="14" t="s">
        <v>332</v>
      </c>
      <c r="F13" s="14" t="s">
        <v>399</v>
      </c>
      <c r="G13" s="14" t="s">
        <v>467</v>
      </c>
      <c r="H13" s="14" t="n">
        <v>84</v>
      </c>
      <c r="I13" s="14" t="s">
        <v>468</v>
      </c>
      <c r="J13" s="14" t="s">
        <v>469</v>
      </c>
      <c r="K13" s="14" t="s">
        <v>470</v>
      </c>
      <c r="L13" s="14" t="s">
        <v>471</v>
      </c>
    </row>
    <row r="14" customFormat="false" ht="46.25" hidden="false" customHeight="false" outlineLevel="0" collapsed="false">
      <c r="A14" s="14" t="n">
        <v>13</v>
      </c>
      <c r="B14" s="14" t="s">
        <v>376</v>
      </c>
      <c r="C14" s="14" t="s">
        <v>472</v>
      </c>
      <c r="D14" s="14" t="s">
        <v>473</v>
      </c>
      <c r="E14" s="14" t="s">
        <v>75</v>
      </c>
      <c r="F14" s="14" t="s">
        <v>407</v>
      </c>
      <c r="G14" s="14" t="s">
        <v>474</v>
      </c>
      <c r="H14" s="14" t="n">
        <v>91</v>
      </c>
      <c r="I14" s="14" t="s">
        <v>475</v>
      </c>
      <c r="J14" s="14" t="s">
        <v>476</v>
      </c>
      <c r="K14" s="14" t="s">
        <v>477</v>
      </c>
      <c r="L14" s="14" t="s">
        <v>478</v>
      </c>
    </row>
    <row r="15" customFormat="false" ht="35.05" hidden="false" customHeight="false" outlineLevel="0" collapsed="false">
      <c r="A15" s="14" t="n">
        <v>14</v>
      </c>
      <c r="B15" s="14" t="s">
        <v>377</v>
      </c>
      <c r="C15" s="14" t="s">
        <v>479</v>
      </c>
      <c r="D15" s="14" t="s">
        <v>480</v>
      </c>
      <c r="E15" s="14" t="s">
        <v>22</v>
      </c>
      <c r="F15" s="14" t="s">
        <v>407</v>
      </c>
      <c r="G15" s="14" t="s">
        <v>446</v>
      </c>
      <c r="H15" s="14" t="n">
        <v>94</v>
      </c>
      <c r="I15" s="14" t="s">
        <v>481</v>
      </c>
      <c r="J15" s="14" t="s">
        <v>482</v>
      </c>
      <c r="K15" s="14" t="s">
        <v>483</v>
      </c>
      <c r="L15" s="14" t="s">
        <v>484</v>
      </c>
    </row>
    <row r="16" customFormat="false" ht="46.25" hidden="false" customHeight="false" outlineLevel="0" collapsed="false">
      <c r="A16" s="14" t="n">
        <v>15</v>
      </c>
      <c r="B16" s="14" t="s">
        <v>378</v>
      </c>
      <c r="C16" s="14" t="s">
        <v>485</v>
      </c>
      <c r="D16" s="14" t="s">
        <v>486</v>
      </c>
      <c r="E16" s="14" t="s">
        <v>487</v>
      </c>
      <c r="F16" s="14" t="s">
        <v>407</v>
      </c>
      <c r="G16" s="14" t="s">
        <v>474</v>
      </c>
      <c r="H16" s="14" t="n">
        <v>75</v>
      </c>
      <c r="I16" s="14" t="s">
        <v>488</v>
      </c>
      <c r="J16" s="14" t="s">
        <v>489</v>
      </c>
      <c r="K16" s="14" t="s">
        <v>490</v>
      </c>
      <c r="L16" s="14" t="s">
        <v>491</v>
      </c>
    </row>
    <row r="19" customFormat="false" ht="15" hidden="false" customHeight="false" outlineLevel="0" collapsed="false">
      <c r="A19" s="9" t="s">
        <v>395</v>
      </c>
    </row>
    <row r="20" customFormat="false" ht="15" hidden="false" customHeight="false" outlineLevel="0" collapsed="false">
      <c r="A20" s="15" t="s">
        <v>492</v>
      </c>
    </row>
    <row r="21" customFormat="false" ht="15" hidden="false" customHeight="false" outlineLevel="0" collapsed="false">
      <c r="A21" s="15" t="s">
        <v>493</v>
      </c>
    </row>
    <row r="22" customFormat="false" ht="15" hidden="false" customHeight="false" outlineLevel="0" collapsed="false">
      <c r="A22" s="15" t="s">
        <v>494</v>
      </c>
    </row>
    <row r="23" customFormat="false" ht="15" hidden="false" customHeight="false" outlineLevel="0" collapsed="false">
      <c r="A23" s="15" t="s">
        <v>495</v>
      </c>
    </row>
    <row r="24" customFormat="false" ht="15" hidden="false" customHeight="false" outlineLevel="0" collapsed="false">
      <c r="A24" s="15" t="s">
        <v>496</v>
      </c>
    </row>
    <row r="25" customFormat="false" ht="15" hidden="false" customHeight="false" outlineLevel="0" collapsed="false">
      <c r="A25" s="15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48" hidden="false" customHeight="true" outlineLevel="0" collapsed="false">
      <c r="A1" s="1" t="s">
        <v>386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I1" s="11" t="s">
        <v>504</v>
      </c>
    </row>
    <row r="2" customFormat="false" ht="15" hidden="false" customHeight="false" outlineLevel="0" collapsed="false">
      <c r="A2" s="16" t="s">
        <v>364</v>
      </c>
      <c r="B2" s="16" t="s">
        <v>75</v>
      </c>
      <c r="C2" s="16" t="s">
        <v>505</v>
      </c>
      <c r="D2" s="16" t="s">
        <v>225</v>
      </c>
      <c r="E2" s="16" t="s">
        <v>506</v>
      </c>
      <c r="F2" s="16" t="s">
        <v>507</v>
      </c>
      <c r="G2" s="16"/>
    </row>
    <row r="3" customFormat="false" ht="15" hidden="false" customHeight="false" outlineLevel="0" collapsed="false">
      <c r="A3" s="16" t="s">
        <v>364</v>
      </c>
      <c r="B3" s="16" t="s">
        <v>225</v>
      </c>
      <c r="C3" s="16" t="s">
        <v>506</v>
      </c>
      <c r="D3" s="16" t="s">
        <v>133</v>
      </c>
      <c r="E3" s="16" t="s">
        <v>508</v>
      </c>
      <c r="F3" s="16" t="s">
        <v>509</v>
      </c>
      <c r="G3" s="16"/>
    </row>
    <row r="4" customFormat="false" ht="15" hidden="false" customHeight="false" outlineLevel="0" collapsed="false">
      <c r="A4" s="16" t="s">
        <v>364</v>
      </c>
      <c r="B4" s="16" t="s">
        <v>133</v>
      </c>
      <c r="C4" s="16" t="s">
        <v>508</v>
      </c>
      <c r="D4" s="16" t="s">
        <v>87</v>
      </c>
      <c r="E4" s="16" t="s">
        <v>510</v>
      </c>
      <c r="F4" s="16" t="s">
        <v>511</v>
      </c>
      <c r="G4" s="16"/>
    </row>
    <row r="5" customFormat="false" ht="15" hidden="false" customHeight="false" outlineLevel="0" collapsed="false">
      <c r="A5" s="16" t="s">
        <v>364</v>
      </c>
      <c r="B5" s="16" t="s">
        <v>295</v>
      </c>
      <c r="C5" s="16" t="s">
        <v>512</v>
      </c>
      <c r="D5" s="16" t="s">
        <v>79</v>
      </c>
      <c r="E5" s="16" t="s">
        <v>513</v>
      </c>
      <c r="F5" s="16" t="s">
        <v>514</v>
      </c>
      <c r="G5" s="16"/>
    </row>
    <row r="6" customFormat="false" ht="15" hidden="false" customHeight="false" outlineLevel="0" collapsed="false">
      <c r="A6" s="16" t="s">
        <v>364</v>
      </c>
      <c r="B6" s="16" t="s">
        <v>79</v>
      </c>
      <c r="C6" s="16" t="s">
        <v>513</v>
      </c>
      <c r="D6" s="16" t="s">
        <v>348</v>
      </c>
      <c r="E6" s="16" t="s">
        <v>515</v>
      </c>
      <c r="F6" s="16" t="s">
        <v>516</v>
      </c>
      <c r="G6" s="16"/>
    </row>
    <row r="7" customFormat="false" ht="15" hidden="false" customHeight="false" outlineLevel="0" collapsed="false">
      <c r="A7" s="16" t="s">
        <v>364</v>
      </c>
      <c r="B7" s="16" t="s">
        <v>222</v>
      </c>
      <c r="C7" s="16" t="s">
        <v>517</v>
      </c>
      <c r="D7" s="16" t="s">
        <v>22</v>
      </c>
      <c r="E7" s="16" t="s">
        <v>518</v>
      </c>
      <c r="F7" s="16" t="s">
        <v>519</v>
      </c>
      <c r="G7" s="16"/>
    </row>
    <row r="8" customFormat="false" ht="15" hidden="false" customHeight="false" outlineLevel="0" collapsed="false">
      <c r="A8" s="16" t="s">
        <v>364</v>
      </c>
      <c r="B8" s="16" t="s">
        <v>290</v>
      </c>
      <c r="C8" s="16" t="s">
        <v>520</v>
      </c>
      <c r="D8" s="16" t="s">
        <v>282</v>
      </c>
      <c r="E8" s="16" t="s">
        <v>521</v>
      </c>
      <c r="F8" s="16" t="s">
        <v>522</v>
      </c>
      <c r="G8" s="16"/>
    </row>
    <row r="9" customFormat="false" ht="15" hidden="false" customHeight="false" outlineLevel="0" collapsed="false">
      <c r="A9" s="16" t="s">
        <v>364</v>
      </c>
      <c r="B9" s="16" t="s">
        <v>282</v>
      </c>
      <c r="C9" s="16" t="s">
        <v>521</v>
      </c>
      <c r="D9" s="16" t="s">
        <v>27</v>
      </c>
      <c r="E9" s="16" t="s">
        <v>523</v>
      </c>
      <c r="F9" s="16" t="s">
        <v>524</v>
      </c>
      <c r="G9" s="16"/>
    </row>
    <row r="10" customFormat="false" ht="15" hidden="false" customHeight="false" outlineLevel="0" collapsed="false">
      <c r="A10" s="16" t="s">
        <v>364</v>
      </c>
      <c r="B10" s="16" t="s">
        <v>27</v>
      </c>
      <c r="C10" s="16" t="s">
        <v>523</v>
      </c>
      <c r="D10" s="16" t="s">
        <v>90</v>
      </c>
      <c r="E10" s="16" t="s">
        <v>525</v>
      </c>
      <c r="F10" s="16" t="s">
        <v>526</v>
      </c>
      <c r="G10" s="16"/>
    </row>
    <row r="11" customFormat="false" ht="15" hidden="false" customHeight="false" outlineLevel="0" collapsed="false">
      <c r="A11" s="16" t="s">
        <v>364</v>
      </c>
      <c r="B11" s="16" t="s">
        <v>90</v>
      </c>
      <c r="C11" s="16" t="s">
        <v>525</v>
      </c>
      <c r="D11" s="16" t="s">
        <v>355</v>
      </c>
      <c r="E11" s="16" t="s">
        <v>527</v>
      </c>
      <c r="F11" s="16" t="s">
        <v>528</v>
      </c>
      <c r="G11" s="16"/>
    </row>
    <row r="12" customFormat="false" ht="15" hidden="false" customHeight="false" outlineLevel="0" collapsed="false">
      <c r="A12" s="16" t="s">
        <v>364</v>
      </c>
      <c r="B12" s="16" t="s">
        <v>328</v>
      </c>
      <c r="C12" s="16" t="s">
        <v>529</v>
      </c>
      <c r="D12" s="16" t="s">
        <v>35</v>
      </c>
      <c r="E12" s="16" t="s">
        <v>530</v>
      </c>
      <c r="F12" s="16" t="s">
        <v>531</v>
      </c>
      <c r="G12" s="16"/>
    </row>
    <row r="13" customFormat="false" ht="15" hidden="false" customHeight="false" outlineLevel="0" collapsed="false">
      <c r="A13" s="16" t="s">
        <v>364</v>
      </c>
      <c r="B13" s="16" t="s">
        <v>35</v>
      </c>
      <c r="C13" s="16" t="s">
        <v>530</v>
      </c>
      <c r="D13" s="16" t="s">
        <v>31</v>
      </c>
      <c r="E13" s="16" t="s">
        <v>532</v>
      </c>
      <c r="F13" s="16" t="s">
        <v>533</v>
      </c>
      <c r="G13" s="16"/>
    </row>
    <row r="14" customFormat="false" ht="15" hidden="false" customHeight="false" outlineLevel="0" collapsed="false">
      <c r="A14" s="16" t="s">
        <v>364</v>
      </c>
      <c r="B14" s="16" t="s">
        <v>31</v>
      </c>
      <c r="C14" s="16" t="s">
        <v>532</v>
      </c>
      <c r="D14" s="16" t="s">
        <v>83</v>
      </c>
      <c r="E14" s="16" t="s">
        <v>534</v>
      </c>
      <c r="F14" s="16" t="s">
        <v>535</v>
      </c>
      <c r="G14" s="16"/>
    </row>
    <row r="15" customFormat="false" ht="15" hidden="false" customHeight="false" outlineLevel="0" collapsed="false">
      <c r="A15" s="16" t="s">
        <v>364</v>
      </c>
      <c r="B15" s="16" t="s">
        <v>83</v>
      </c>
      <c r="C15" s="16" t="s">
        <v>534</v>
      </c>
      <c r="D15" s="16" t="s">
        <v>332</v>
      </c>
      <c r="E15" s="16" t="s">
        <v>536</v>
      </c>
      <c r="F15" s="16" t="s">
        <v>537</v>
      </c>
      <c r="G15" s="16"/>
    </row>
    <row r="16" customFormat="false" ht="15" hidden="false" customHeight="false" outlineLevel="0" collapsed="false">
      <c r="A16" s="16" t="s">
        <v>364</v>
      </c>
      <c r="B16" s="16" t="s">
        <v>332</v>
      </c>
      <c r="C16" s="16" t="s">
        <v>536</v>
      </c>
      <c r="D16" s="16" t="s">
        <v>171</v>
      </c>
      <c r="E16" s="16" t="s">
        <v>538</v>
      </c>
      <c r="F16" s="16" t="s">
        <v>537</v>
      </c>
      <c r="G16" s="16"/>
    </row>
    <row r="17" customFormat="false" ht="15" hidden="false" customHeight="false" outlineLevel="0" collapsed="false">
      <c r="A17" s="16" t="s">
        <v>364</v>
      </c>
      <c r="B17" s="16" t="s">
        <v>171</v>
      </c>
      <c r="C17" s="16" t="s">
        <v>538</v>
      </c>
      <c r="D17" s="16" t="s">
        <v>126</v>
      </c>
      <c r="E17" s="16" t="s">
        <v>539</v>
      </c>
      <c r="F17" s="16" t="s">
        <v>540</v>
      </c>
      <c r="G17" s="16"/>
    </row>
    <row r="18" customFormat="false" ht="15" hidden="false" customHeight="false" outlineLevel="0" collapsed="false">
      <c r="A18" s="16" t="s">
        <v>364</v>
      </c>
      <c r="B18" s="16" t="s">
        <v>126</v>
      </c>
      <c r="C18" s="16" t="s">
        <v>539</v>
      </c>
      <c r="D18" s="16" t="s">
        <v>257</v>
      </c>
      <c r="E18" s="16" t="s">
        <v>541</v>
      </c>
      <c r="F18" s="16" t="s">
        <v>514</v>
      </c>
      <c r="G18" s="16"/>
    </row>
    <row r="19" customFormat="false" ht="15" hidden="false" customHeight="false" outlineLevel="0" collapsed="false">
      <c r="A19" s="16" t="s">
        <v>364</v>
      </c>
      <c r="B19" s="16" t="s">
        <v>257</v>
      </c>
      <c r="C19" s="16" t="s">
        <v>541</v>
      </c>
      <c r="D19" s="16" t="s">
        <v>148</v>
      </c>
      <c r="E19" s="16" t="s">
        <v>542</v>
      </c>
      <c r="F19" s="16" t="s">
        <v>543</v>
      </c>
      <c r="G19" s="16"/>
    </row>
    <row r="20" customFormat="false" ht="15" hidden="false" customHeight="false" outlineLevel="0" collapsed="false">
      <c r="A20" s="16" t="s">
        <v>364</v>
      </c>
      <c r="B20" s="16" t="s">
        <v>148</v>
      </c>
      <c r="C20" s="16" t="s">
        <v>542</v>
      </c>
      <c r="D20" s="16" t="s">
        <v>304</v>
      </c>
      <c r="E20" s="16" t="s">
        <v>544</v>
      </c>
      <c r="F20" s="16" t="s">
        <v>545</v>
      </c>
      <c r="G20" s="16"/>
    </row>
    <row r="21" customFormat="false" ht="15" hidden="false" customHeight="false" outlineLevel="0" collapsed="false">
      <c r="A21" s="16" t="s">
        <v>364</v>
      </c>
      <c r="B21" s="16" t="s">
        <v>304</v>
      </c>
      <c r="C21" s="16" t="s">
        <v>544</v>
      </c>
      <c r="D21" s="16" t="s">
        <v>302</v>
      </c>
      <c r="E21" s="16" t="s">
        <v>546</v>
      </c>
      <c r="F21" s="16" t="s">
        <v>547</v>
      </c>
      <c r="G21" s="16"/>
    </row>
    <row r="22" customFormat="false" ht="15" hidden="false" customHeight="false" outlineLevel="0" collapsed="false">
      <c r="A22" s="16" t="s">
        <v>364</v>
      </c>
      <c r="B22" s="16" t="s">
        <v>302</v>
      </c>
      <c r="C22" s="16" t="s">
        <v>546</v>
      </c>
      <c r="D22" s="16" t="s">
        <v>325</v>
      </c>
      <c r="E22" s="16" t="s">
        <v>548</v>
      </c>
      <c r="F22" s="16" t="s">
        <v>549</v>
      </c>
      <c r="G22" s="16"/>
    </row>
    <row r="23" customFormat="false" ht="15" hidden="false" customHeight="false" outlineLevel="0" collapsed="false">
      <c r="A23" s="16" t="s">
        <v>364</v>
      </c>
      <c r="B23" s="16" t="s">
        <v>325</v>
      </c>
      <c r="C23" s="16" t="s">
        <v>548</v>
      </c>
      <c r="D23" s="16" t="s">
        <v>205</v>
      </c>
      <c r="E23" s="16" t="s">
        <v>550</v>
      </c>
      <c r="F23" s="16" t="s">
        <v>551</v>
      </c>
      <c r="G23" s="16"/>
    </row>
    <row r="24" customFormat="false" ht="15" hidden="false" customHeight="false" outlineLevel="0" collapsed="false">
      <c r="A24" s="16" t="s">
        <v>364</v>
      </c>
      <c r="B24" s="16" t="s">
        <v>205</v>
      </c>
      <c r="C24" s="16" t="s">
        <v>550</v>
      </c>
      <c r="D24" s="16" t="s">
        <v>184</v>
      </c>
      <c r="E24" s="16" t="s">
        <v>552</v>
      </c>
      <c r="F24" s="16" t="s">
        <v>553</v>
      </c>
      <c r="G24" s="16"/>
    </row>
    <row r="25" customFormat="false" ht="15" hidden="false" customHeight="false" outlineLevel="0" collapsed="false">
      <c r="A25" s="16" t="s">
        <v>364</v>
      </c>
      <c r="B25" s="16" t="s">
        <v>184</v>
      </c>
      <c r="C25" s="16" t="s">
        <v>552</v>
      </c>
      <c r="D25" s="16" t="s">
        <v>155</v>
      </c>
      <c r="E25" s="16" t="s">
        <v>554</v>
      </c>
      <c r="F25" s="16" t="s">
        <v>555</v>
      </c>
      <c r="G25" s="16"/>
    </row>
    <row r="26" customFormat="false" ht="15" hidden="false" customHeight="false" outlineLevel="0" collapsed="false">
      <c r="A26" s="16" t="s">
        <v>364</v>
      </c>
      <c r="B26" s="16" t="s">
        <v>155</v>
      </c>
      <c r="C26" s="16" t="s">
        <v>554</v>
      </c>
      <c r="D26" s="16" t="s">
        <v>43</v>
      </c>
      <c r="E26" s="16" t="s">
        <v>556</v>
      </c>
      <c r="F26" s="16" t="s">
        <v>557</v>
      </c>
      <c r="G26" s="16"/>
    </row>
    <row r="27" customFormat="false" ht="15" hidden="false" customHeight="false" outlineLevel="0" collapsed="false">
      <c r="A27" s="16" t="s">
        <v>364</v>
      </c>
      <c r="B27" s="16" t="s">
        <v>39</v>
      </c>
      <c r="C27" s="16" t="s">
        <v>558</v>
      </c>
      <c r="D27" s="16" t="s">
        <v>63</v>
      </c>
      <c r="E27" s="16" t="s">
        <v>559</v>
      </c>
      <c r="F27" s="16" t="s">
        <v>511</v>
      </c>
      <c r="G27" s="16"/>
    </row>
    <row r="28" customFormat="false" ht="15" hidden="false" customHeight="false" outlineLevel="0" collapsed="false">
      <c r="A28" s="16" t="s">
        <v>364</v>
      </c>
      <c r="B28" s="16" t="s">
        <v>63</v>
      </c>
      <c r="C28" s="16" t="s">
        <v>559</v>
      </c>
      <c r="D28" s="16" t="s">
        <v>248</v>
      </c>
      <c r="E28" s="16" t="s">
        <v>560</v>
      </c>
      <c r="F28" s="16" t="s">
        <v>561</v>
      </c>
      <c r="G28" s="16"/>
    </row>
    <row r="29" customFormat="false" ht="15" hidden="false" customHeight="false" outlineLevel="0" collapsed="false">
      <c r="A29" s="16" t="s">
        <v>364</v>
      </c>
      <c r="B29" s="16" t="s">
        <v>248</v>
      </c>
      <c r="C29" s="16" t="s">
        <v>560</v>
      </c>
      <c r="D29" s="16" t="s">
        <v>228</v>
      </c>
      <c r="E29" s="16" t="s">
        <v>562</v>
      </c>
      <c r="F29" s="16" t="s">
        <v>563</v>
      </c>
      <c r="G29" s="16"/>
    </row>
    <row r="30" customFormat="false" ht="15" hidden="false" customHeight="false" outlineLevel="0" collapsed="false">
      <c r="A30" s="16" t="s">
        <v>364</v>
      </c>
      <c r="B30" s="16" t="s">
        <v>228</v>
      </c>
      <c r="C30" s="16" t="s">
        <v>562</v>
      </c>
      <c r="D30" s="16" t="s">
        <v>219</v>
      </c>
      <c r="E30" s="16" t="s">
        <v>564</v>
      </c>
      <c r="F30" s="16" t="s">
        <v>565</v>
      </c>
      <c r="G30" s="16"/>
    </row>
    <row r="31" customFormat="false" ht="15" hidden="false" customHeight="false" outlineLevel="0" collapsed="false">
      <c r="A31" s="16" t="s">
        <v>364</v>
      </c>
      <c r="B31" s="16" t="s">
        <v>219</v>
      </c>
      <c r="C31" s="16" t="s">
        <v>564</v>
      </c>
      <c r="D31" s="16" t="s">
        <v>195</v>
      </c>
      <c r="E31" s="16" t="s">
        <v>566</v>
      </c>
      <c r="F31" s="16" t="s">
        <v>567</v>
      </c>
      <c r="G31" s="16"/>
    </row>
    <row r="32" customFormat="false" ht="15" hidden="false" customHeight="false" outlineLevel="0" collapsed="false">
      <c r="A32" s="16" t="s">
        <v>364</v>
      </c>
      <c r="B32" s="16" t="s">
        <v>195</v>
      </c>
      <c r="C32" s="16" t="s">
        <v>566</v>
      </c>
      <c r="D32" s="16" t="s">
        <v>276</v>
      </c>
      <c r="E32" s="16" t="s">
        <v>568</v>
      </c>
      <c r="F32" s="16" t="s">
        <v>519</v>
      </c>
      <c r="G32" s="16"/>
    </row>
    <row r="33" customFormat="false" ht="15" hidden="false" customHeight="false" outlineLevel="0" collapsed="false">
      <c r="A33" s="16" t="s">
        <v>364</v>
      </c>
      <c r="B33" s="16" t="s">
        <v>276</v>
      </c>
      <c r="C33" s="16" t="s">
        <v>568</v>
      </c>
      <c r="D33" s="16" t="s">
        <v>213</v>
      </c>
      <c r="E33" s="16" t="s">
        <v>569</v>
      </c>
      <c r="F33" s="16" t="s">
        <v>565</v>
      </c>
      <c r="G33" s="16"/>
    </row>
    <row r="34" customFormat="false" ht="15" hidden="false" customHeight="false" outlineLevel="0" collapsed="false">
      <c r="A34" s="16" t="s">
        <v>364</v>
      </c>
      <c r="B34" s="16" t="s">
        <v>213</v>
      </c>
      <c r="C34" s="16" t="s">
        <v>569</v>
      </c>
      <c r="D34" s="16" t="s">
        <v>279</v>
      </c>
      <c r="E34" s="16" t="s">
        <v>570</v>
      </c>
      <c r="F34" s="16" t="s">
        <v>571</v>
      </c>
      <c r="G34" s="16"/>
    </row>
    <row r="35" customFormat="false" ht="15" hidden="false" customHeight="false" outlineLevel="0" collapsed="false">
      <c r="A35" s="16" t="s">
        <v>364</v>
      </c>
      <c r="B35" s="16" t="s">
        <v>279</v>
      </c>
      <c r="C35" s="16" t="s">
        <v>570</v>
      </c>
      <c r="D35" s="16" t="s">
        <v>112</v>
      </c>
      <c r="E35" s="16" t="s">
        <v>572</v>
      </c>
      <c r="F35" s="16" t="s">
        <v>573</v>
      </c>
      <c r="G35" s="16"/>
    </row>
    <row r="36" customFormat="false" ht="15" hidden="false" customHeight="false" outlineLevel="0" collapsed="false">
      <c r="A36" s="16" t="s">
        <v>364</v>
      </c>
      <c r="B36" s="16" t="s">
        <v>112</v>
      </c>
      <c r="C36" s="16" t="s">
        <v>572</v>
      </c>
      <c r="D36" s="16" t="s">
        <v>299</v>
      </c>
      <c r="E36" s="16" t="s">
        <v>574</v>
      </c>
      <c r="F36" s="16" t="s">
        <v>575</v>
      </c>
      <c r="G36" s="16"/>
    </row>
    <row r="37" customFormat="false" ht="15" hidden="false" customHeight="false" outlineLevel="0" collapsed="false">
      <c r="A37" s="16" t="s">
        <v>364</v>
      </c>
      <c r="B37" s="16" t="s">
        <v>299</v>
      </c>
      <c r="C37" s="16" t="s">
        <v>574</v>
      </c>
      <c r="D37" s="16" t="s">
        <v>104</v>
      </c>
      <c r="E37" s="16" t="s">
        <v>576</v>
      </c>
      <c r="F37" s="16" t="s">
        <v>531</v>
      </c>
      <c r="G37" s="16"/>
    </row>
    <row r="38" customFormat="false" ht="15" hidden="false" customHeight="false" outlineLevel="0" collapsed="false">
      <c r="A38" s="16" t="s">
        <v>364</v>
      </c>
      <c r="B38" s="16" t="s">
        <v>104</v>
      </c>
      <c r="C38" s="16" t="s">
        <v>576</v>
      </c>
      <c r="D38" s="16" t="s">
        <v>286</v>
      </c>
      <c r="E38" s="16" t="s">
        <v>577</v>
      </c>
      <c r="F38" s="16" t="s">
        <v>561</v>
      </c>
      <c r="G38" s="16"/>
    </row>
    <row r="39" customFormat="false" ht="15" hidden="false" customHeight="false" outlineLevel="0" collapsed="false">
      <c r="A39" s="16" t="s">
        <v>364</v>
      </c>
      <c r="B39" s="16" t="s">
        <v>286</v>
      </c>
      <c r="C39" s="16" t="s">
        <v>577</v>
      </c>
      <c r="D39" s="16" t="s">
        <v>187</v>
      </c>
      <c r="E39" s="16" t="s">
        <v>578</v>
      </c>
      <c r="F39" s="16" t="s">
        <v>579</v>
      </c>
      <c r="G39" s="16"/>
    </row>
    <row r="40" customFormat="false" ht="15" hidden="false" customHeight="false" outlineLevel="0" collapsed="false">
      <c r="A40" s="16" t="s">
        <v>364</v>
      </c>
      <c r="B40" s="16" t="s">
        <v>187</v>
      </c>
      <c r="C40" s="16" t="s">
        <v>578</v>
      </c>
      <c r="D40" s="16" t="s">
        <v>151</v>
      </c>
      <c r="E40" s="16" t="s">
        <v>580</v>
      </c>
      <c r="F40" s="16" t="s">
        <v>563</v>
      </c>
      <c r="G40" s="16"/>
    </row>
    <row r="41" customFormat="false" ht="15" hidden="false" customHeight="false" outlineLevel="0" collapsed="false">
      <c r="A41" s="16" t="s">
        <v>364</v>
      </c>
      <c r="B41" s="16" t="s">
        <v>151</v>
      </c>
      <c r="C41" s="16" t="s">
        <v>580</v>
      </c>
      <c r="D41" s="16" t="s">
        <v>115</v>
      </c>
      <c r="E41" s="16" t="s">
        <v>581</v>
      </c>
      <c r="F41" s="16" t="s">
        <v>582</v>
      </c>
      <c r="G41" s="16"/>
    </row>
    <row r="42" customFormat="false" ht="15" hidden="false" customHeight="false" outlineLevel="0" collapsed="false">
      <c r="A42" s="16" t="s">
        <v>364</v>
      </c>
      <c r="B42" s="16" t="s">
        <v>115</v>
      </c>
      <c r="C42" s="16" t="s">
        <v>581</v>
      </c>
      <c r="D42" s="16" t="s">
        <v>140</v>
      </c>
      <c r="E42" s="16" t="s">
        <v>583</v>
      </c>
      <c r="F42" s="16" t="s">
        <v>584</v>
      </c>
      <c r="G42" s="16"/>
    </row>
    <row r="43" customFormat="false" ht="15" hidden="false" customHeight="false" outlineLevel="0" collapsed="false">
      <c r="A43" s="16" t="s">
        <v>364</v>
      </c>
      <c r="B43" s="16" t="s">
        <v>140</v>
      </c>
      <c r="C43" s="16" t="s">
        <v>583</v>
      </c>
      <c r="D43" s="16" t="s">
        <v>67</v>
      </c>
      <c r="E43" s="16" t="s">
        <v>585</v>
      </c>
      <c r="F43" s="16" t="s">
        <v>543</v>
      </c>
      <c r="G43" s="16"/>
    </row>
    <row r="44" customFormat="false" ht="15" hidden="false" customHeight="false" outlineLevel="0" collapsed="false">
      <c r="A44" s="16" t="s">
        <v>364</v>
      </c>
      <c r="B44" s="16" t="s">
        <v>67</v>
      </c>
      <c r="C44" s="16" t="s">
        <v>585</v>
      </c>
      <c r="D44" s="16" t="s">
        <v>71</v>
      </c>
      <c r="E44" s="16" t="s">
        <v>586</v>
      </c>
      <c r="F44" s="16" t="s">
        <v>587</v>
      </c>
      <c r="G44" s="16"/>
    </row>
    <row r="45" customFormat="false" ht="15" hidden="false" customHeight="false" outlineLevel="0" collapsed="false">
      <c r="A45" s="16" t="s">
        <v>364</v>
      </c>
      <c r="B45" s="16" t="s">
        <v>71</v>
      </c>
      <c r="C45" s="16" t="s">
        <v>586</v>
      </c>
      <c r="D45" s="16" t="s">
        <v>109</v>
      </c>
      <c r="E45" s="16" t="s">
        <v>588</v>
      </c>
      <c r="F45" s="16" t="s">
        <v>589</v>
      </c>
      <c r="G45" s="16"/>
    </row>
    <row r="46" customFormat="false" ht="15" hidden="false" customHeight="false" outlineLevel="0" collapsed="false">
      <c r="A46" s="16" t="s">
        <v>364</v>
      </c>
      <c r="B46" s="16" t="s">
        <v>109</v>
      </c>
      <c r="C46" s="16" t="s">
        <v>588</v>
      </c>
      <c r="D46" s="16" t="s">
        <v>335</v>
      </c>
      <c r="E46" s="16" t="s">
        <v>590</v>
      </c>
      <c r="F46" s="16" t="s">
        <v>591</v>
      </c>
      <c r="G46" s="16"/>
    </row>
    <row r="47" customFormat="false" ht="15" hidden="false" customHeight="false" outlineLevel="0" collapsed="false">
      <c r="A47" s="16" t="s">
        <v>364</v>
      </c>
      <c r="B47" s="16" t="s">
        <v>335</v>
      </c>
      <c r="C47" s="16" t="s">
        <v>590</v>
      </c>
      <c r="D47" s="16" t="s">
        <v>166</v>
      </c>
      <c r="E47" s="16" t="s">
        <v>592</v>
      </c>
      <c r="F47" s="16" t="s">
        <v>593</v>
      </c>
      <c r="G47" s="16"/>
    </row>
    <row r="48" customFormat="false" ht="15" hidden="false" customHeight="false" outlineLevel="0" collapsed="false">
      <c r="A48" s="16" t="s">
        <v>364</v>
      </c>
      <c r="B48" s="16" t="s">
        <v>166</v>
      </c>
      <c r="C48" s="16" t="s">
        <v>592</v>
      </c>
      <c r="D48" s="16" t="s">
        <v>209</v>
      </c>
      <c r="E48" s="16" t="s">
        <v>594</v>
      </c>
      <c r="F48" s="16" t="s">
        <v>595</v>
      </c>
      <c r="G48" s="16"/>
    </row>
    <row r="49" customFormat="false" ht="15" hidden="false" customHeight="false" outlineLevel="0" collapsed="false">
      <c r="A49" s="16" t="s">
        <v>364</v>
      </c>
      <c r="B49" s="16" t="s">
        <v>209</v>
      </c>
      <c r="C49" s="16" t="s">
        <v>594</v>
      </c>
      <c r="D49" s="16" t="s">
        <v>307</v>
      </c>
      <c r="E49" s="16" t="s">
        <v>596</v>
      </c>
      <c r="F49" s="16" t="s">
        <v>582</v>
      </c>
      <c r="G49" s="16"/>
    </row>
    <row r="50" customFormat="false" ht="15" hidden="false" customHeight="false" outlineLevel="0" collapsed="false">
      <c r="A50" s="16" t="s">
        <v>364</v>
      </c>
      <c r="B50" s="16" t="s">
        <v>307</v>
      </c>
      <c r="C50" s="16" t="s">
        <v>596</v>
      </c>
      <c r="D50" s="16" t="s">
        <v>189</v>
      </c>
      <c r="E50" s="16" t="s">
        <v>597</v>
      </c>
      <c r="F50" s="16" t="s">
        <v>526</v>
      </c>
      <c r="G50" s="16"/>
    </row>
    <row r="51" customFormat="false" ht="15" hidden="false" customHeight="false" outlineLevel="0" collapsed="false">
      <c r="A51" s="16" t="s">
        <v>364</v>
      </c>
      <c r="B51" s="16" t="s">
        <v>189</v>
      </c>
      <c r="C51" s="16" t="s">
        <v>597</v>
      </c>
      <c r="D51" s="16" t="s">
        <v>339</v>
      </c>
      <c r="E51" s="16" t="s">
        <v>598</v>
      </c>
      <c r="F51" s="16" t="s">
        <v>589</v>
      </c>
      <c r="G51" s="16"/>
    </row>
    <row r="52" customFormat="false" ht="15" hidden="false" customHeight="false" outlineLevel="0" collapsed="false">
      <c r="A52" s="16" t="s">
        <v>364</v>
      </c>
      <c r="B52" s="16" t="s">
        <v>339</v>
      </c>
      <c r="C52" s="16" t="s">
        <v>598</v>
      </c>
      <c r="D52" s="16" t="s">
        <v>245</v>
      </c>
      <c r="E52" s="16" t="s">
        <v>599</v>
      </c>
      <c r="F52" s="16" t="s">
        <v>600</v>
      </c>
      <c r="G52" s="16"/>
    </row>
    <row r="53" customFormat="false" ht="15" hidden="false" customHeight="false" outlineLevel="0" collapsed="false">
      <c r="A53" s="16" t="s">
        <v>364</v>
      </c>
      <c r="B53" s="16" t="s">
        <v>245</v>
      </c>
      <c r="C53" s="16" t="s">
        <v>599</v>
      </c>
      <c r="D53" s="16" t="s">
        <v>273</v>
      </c>
      <c r="E53" s="16" t="s">
        <v>601</v>
      </c>
      <c r="F53" s="16" t="s">
        <v>602</v>
      </c>
      <c r="G53" s="16"/>
    </row>
    <row r="54" customFormat="false" ht="15" hidden="false" customHeight="false" outlineLevel="0" collapsed="false">
      <c r="A54" s="16" t="s">
        <v>364</v>
      </c>
      <c r="B54" s="16" t="s">
        <v>273</v>
      </c>
      <c r="C54" s="16" t="s">
        <v>601</v>
      </c>
      <c r="D54" s="16" t="s">
        <v>181</v>
      </c>
      <c r="E54" s="16" t="s">
        <v>603</v>
      </c>
      <c r="F54" s="16" t="s">
        <v>563</v>
      </c>
      <c r="G54" s="16"/>
    </row>
    <row r="55" customFormat="false" ht="15" hidden="false" customHeight="false" outlineLevel="0" collapsed="false">
      <c r="A55" s="16" t="s">
        <v>364</v>
      </c>
      <c r="B55" s="16" t="s">
        <v>181</v>
      </c>
      <c r="C55" s="16" t="s">
        <v>603</v>
      </c>
      <c r="D55" s="16" t="s">
        <v>345</v>
      </c>
      <c r="E55" s="16" t="s">
        <v>604</v>
      </c>
      <c r="F55" s="16" t="s">
        <v>600</v>
      </c>
      <c r="G55" s="16"/>
    </row>
    <row r="56" customFormat="false" ht="15" hidden="false" customHeight="false" outlineLevel="0" collapsed="false">
      <c r="A56" s="16" t="s">
        <v>364</v>
      </c>
      <c r="B56" s="16" t="s">
        <v>345</v>
      </c>
      <c r="C56" s="16" t="s">
        <v>604</v>
      </c>
      <c r="D56" s="16" t="s">
        <v>322</v>
      </c>
      <c r="E56" s="16" t="s">
        <v>605</v>
      </c>
      <c r="F56" s="16" t="s">
        <v>563</v>
      </c>
      <c r="G56" s="16"/>
    </row>
    <row r="57" customFormat="false" ht="15" hidden="false" customHeight="false" outlineLevel="0" collapsed="false">
      <c r="A57" s="16" t="s">
        <v>364</v>
      </c>
      <c r="B57" s="16" t="s">
        <v>322</v>
      </c>
      <c r="C57" s="16" t="s">
        <v>605</v>
      </c>
      <c r="D57" s="16" t="s">
        <v>51</v>
      </c>
      <c r="E57" s="16" t="s">
        <v>606</v>
      </c>
      <c r="F57" s="16" t="s">
        <v>607</v>
      </c>
      <c r="G57" s="16"/>
    </row>
    <row r="58" customFormat="false" ht="15" hidden="false" customHeight="false" outlineLevel="0" collapsed="false">
      <c r="A58" s="16" t="s">
        <v>364</v>
      </c>
      <c r="B58" s="16" t="s">
        <v>51</v>
      </c>
      <c r="C58" s="16" t="s">
        <v>606</v>
      </c>
      <c r="D58" s="16" t="s">
        <v>254</v>
      </c>
      <c r="E58" s="16" t="s">
        <v>608</v>
      </c>
      <c r="F58" s="16" t="s">
        <v>540</v>
      </c>
      <c r="G58" s="16"/>
    </row>
    <row r="59" customFormat="false" ht="15" hidden="false" customHeight="false" outlineLevel="0" collapsed="false">
      <c r="A59" s="16" t="s">
        <v>364</v>
      </c>
      <c r="B59" s="16" t="s">
        <v>254</v>
      </c>
      <c r="C59" s="16" t="s">
        <v>608</v>
      </c>
      <c r="D59" s="16" t="s">
        <v>351</v>
      </c>
      <c r="E59" s="16" t="s">
        <v>609</v>
      </c>
      <c r="F59" s="16" t="s">
        <v>524</v>
      </c>
      <c r="G59" s="16"/>
    </row>
    <row r="60" customFormat="false" ht="15" hidden="false" customHeight="false" outlineLevel="0" collapsed="false">
      <c r="A60" s="16" t="s">
        <v>364</v>
      </c>
      <c r="B60" s="16" t="s">
        <v>351</v>
      </c>
      <c r="C60" s="16" t="s">
        <v>609</v>
      </c>
      <c r="D60" s="16" t="s">
        <v>317</v>
      </c>
      <c r="E60" s="16" t="s">
        <v>610</v>
      </c>
      <c r="F60" s="16" t="s">
        <v>555</v>
      </c>
      <c r="G60" s="16"/>
    </row>
    <row r="61" customFormat="false" ht="15" hidden="false" customHeight="false" outlineLevel="0" collapsed="false">
      <c r="A61" s="16" t="s">
        <v>364</v>
      </c>
      <c r="B61" s="16" t="s">
        <v>317</v>
      </c>
      <c r="C61" s="16" t="s">
        <v>610</v>
      </c>
      <c r="D61" s="16" t="s">
        <v>118</v>
      </c>
      <c r="E61" s="16" t="s">
        <v>611</v>
      </c>
      <c r="F61" s="16" t="s">
        <v>612</v>
      </c>
      <c r="G61" s="16"/>
    </row>
    <row r="62" customFormat="false" ht="15" hidden="false" customHeight="false" outlineLevel="0" collapsed="false">
      <c r="A62" s="16" t="s">
        <v>364</v>
      </c>
      <c r="B62" s="16" t="s">
        <v>118</v>
      </c>
      <c r="C62" s="16" t="s">
        <v>611</v>
      </c>
      <c r="D62" s="16" t="s">
        <v>342</v>
      </c>
      <c r="E62" s="16" t="s">
        <v>613</v>
      </c>
      <c r="F62" s="16" t="s">
        <v>614</v>
      </c>
      <c r="G62" s="16"/>
    </row>
    <row r="63" customFormat="false" ht="15" hidden="false" customHeight="false" outlineLevel="0" collapsed="false">
      <c r="A63" s="16" t="s">
        <v>364</v>
      </c>
      <c r="B63" s="16" t="s">
        <v>342</v>
      </c>
      <c r="C63" s="16" t="s">
        <v>613</v>
      </c>
      <c r="D63" s="16" t="s">
        <v>216</v>
      </c>
      <c r="E63" s="16" t="s">
        <v>615</v>
      </c>
      <c r="F63" s="16" t="s">
        <v>616</v>
      </c>
      <c r="G63" s="16"/>
    </row>
    <row r="64" customFormat="false" ht="15" hidden="false" customHeight="false" outlineLevel="0" collapsed="false">
      <c r="A64" s="16" t="s">
        <v>364</v>
      </c>
      <c r="B64" s="16" t="s">
        <v>216</v>
      </c>
      <c r="C64" s="16" t="s">
        <v>615</v>
      </c>
      <c r="D64" s="16" t="s">
        <v>162</v>
      </c>
      <c r="E64" s="16" t="s">
        <v>617</v>
      </c>
      <c r="F64" s="16" t="s">
        <v>600</v>
      </c>
      <c r="G64" s="16"/>
    </row>
    <row r="65" customFormat="false" ht="15" hidden="false" customHeight="false" outlineLevel="0" collapsed="false">
      <c r="A65" s="16" t="s">
        <v>364</v>
      </c>
      <c r="B65" s="16" t="s">
        <v>162</v>
      </c>
      <c r="C65" s="16" t="s">
        <v>617</v>
      </c>
      <c r="D65" s="16" t="s">
        <v>310</v>
      </c>
      <c r="E65" s="16" t="s">
        <v>618</v>
      </c>
      <c r="F65" s="16" t="s">
        <v>619</v>
      </c>
      <c r="G65" s="16"/>
    </row>
    <row r="66" customFormat="false" ht="15" hidden="false" customHeight="false" outlineLevel="0" collapsed="false">
      <c r="A66" s="16" t="s">
        <v>364</v>
      </c>
      <c r="B66" s="16" t="s">
        <v>310</v>
      </c>
      <c r="C66" s="16" t="s">
        <v>618</v>
      </c>
      <c r="D66" s="16" t="s">
        <v>47</v>
      </c>
      <c r="E66" s="16" t="s">
        <v>620</v>
      </c>
      <c r="F66" s="16" t="s">
        <v>621</v>
      </c>
      <c r="G66" s="16"/>
    </row>
    <row r="67" customFormat="false" ht="15" hidden="false" customHeight="false" outlineLevel="0" collapsed="false">
      <c r="A67" s="16" t="s">
        <v>364</v>
      </c>
      <c r="B67" s="16" t="s">
        <v>47</v>
      </c>
      <c r="C67" s="16" t="s">
        <v>620</v>
      </c>
      <c r="D67" s="16" t="s">
        <v>192</v>
      </c>
      <c r="E67" s="16" t="s">
        <v>622</v>
      </c>
      <c r="F67" s="16" t="s">
        <v>600</v>
      </c>
      <c r="G67" s="16"/>
    </row>
    <row r="68" customFormat="false" ht="15" hidden="false" customHeight="false" outlineLevel="0" collapsed="false">
      <c r="A68" s="16" t="s">
        <v>364</v>
      </c>
      <c r="B68" s="16" t="s">
        <v>192</v>
      </c>
      <c r="C68" s="16" t="s">
        <v>622</v>
      </c>
      <c r="D68" s="16" t="s">
        <v>233</v>
      </c>
      <c r="E68" s="16" t="s">
        <v>623</v>
      </c>
      <c r="F68" s="16" t="s">
        <v>624</v>
      </c>
      <c r="G68" s="16"/>
    </row>
    <row r="69" customFormat="false" ht="15" hidden="false" customHeight="false" outlineLevel="0" collapsed="false">
      <c r="A69" s="16" t="s">
        <v>364</v>
      </c>
      <c r="B69" s="16" t="s">
        <v>233</v>
      </c>
      <c r="C69" s="16" t="s">
        <v>623</v>
      </c>
      <c r="D69" s="16" t="s">
        <v>59</v>
      </c>
      <c r="E69" s="16" t="s">
        <v>625</v>
      </c>
      <c r="F69" s="16" t="s">
        <v>514</v>
      </c>
      <c r="G69" s="16"/>
    </row>
    <row r="70" customFormat="false" ht="15" hidden="false" customHeight="false" outlineLevel="0" collapsed="false">
      <c r="A70" s="16" t="s">
        <v>364</v>
      </c>
      <c r="B70" s="16" t="s">
        <v>59</v>
      </c>
      <c r="C70" s="16" t="s">
        <v>625</v>
      </c>
      <c r="D70" s="16" t="s">
        <v>358</v>
      </c>
      <c r="E70" s="16" t="s">
        <v>626</v>
      </c>
      <c r="F70" s="16" t="s">
        <v>616</v>
      </c>
      <c r="G70" s="16"/>
    </row>
    <row r="71" customFormat="false" ht="15" hidden="false" customHeight="false" outlineLevel="0" collapsed="false">
      <c r="A71" s="16" t="s">
        <v>364</v>
      </c>
      <c r="B71" s="16" t="s">
        <v>358</v>
      </c>
      <c r="C71" s="16" t="s">
        <v>626</v>
      </c>
      <c r="D71" s="16" t="s">
        <v>93</v>
      </c>
      <c r="E71" s="16" t="s">
        <v>627</v>
      </c>
      <c r="F71" s="16" t="s">
        <v>619</v>
      </c>
      <c r="G71" s="16"/>
    </row>
    <row r="72" customFormat="false" ht="15" hidden="false" customHeight="false" outlineLevel="0" collapsed="false">
      <c r="A72" s="16" t="s">
        <v>364</v>
      </c>
      <c r="B72" s="16" t="s">
        <v>93</v>
      </c>
      <c r="C72" s="16" t="s">
        <v>627</v>
      </c>
      <c r="D72" s="16" t="s">
        <v>122</v>
      </c>
      <c r="E72" s="16" t="s">
        <v>628</v>
      </c>
      <c r="F72" s="16" t="s">
        <v>545</v>
      </c>
      <c r="G72" s="16"/>
    </row>
    <row r="73" customFormat="false" ht="15" hidden="false" customHeight="false" outlineLevel="0" collapsed="false">
      <c r="A73" s="16" t="s">
        <v>364</v>
      </c>
      <c r="B73" s="16" t="s">
        <v>122</v>
      </c>
      <c r="C73" s="16" t="s">
        <v>628</v>
      </c>
      <c r="D73" s="16" t="s">
        <v>97</v>
      </c>
      <c r="E73" s="16" t="s">
        <v>629</v>
      </c>
      <c r="F73" s="16" t="s">
        <v>616</v>
      </c>
      <c r="G73" s="16"/>
    </row>
    <row r="74" customFormat="false" ht="15" hidden="false" customHeight="false" outlineLevel="0" collapsed="false">
      <c r="A74" s="16" t="s">
        <v>364</v>
      </c>
      <c r="B74" s="16" t="s">
        <v>97</v>
      </c>
      <c r="C74" s="16" t="s">
        <v>629</v>
      </c>
      <c r="D74" s="16" t="s">
        <v>260</v>
      </c>
      <c r="E74" s="16" t="s">
        <v>630</v>
      </c>
      <c r="F74" s="16" t="s">
        <v>631</v>
      </c>
      <c r="G74" s="16"/>
    </row>
    <row r="75" customFormat="false" ht="15" hidden="false" customHeight="false" outlineLevel="0" collapsed="false">
      <c r="A75" s="16" t="s">
        <v>364</v>
      </c>
      <c r="B75" s="16" t="s">
        <v>260</v>
      </c>
      <c r="C75" s="16" t="s">
        <v>630</v>
      </c>
      <c r="D75" s="16" t="s">
        <v>174</v>
      </c>
      <c r="E75" s="16" t="s">
        <v>632</v>
      </c>
      <c r="F75" s="16" t="s">
        <v>507</v>
      </c>
      <c r="G75" s="16"/>
    </row>
    <row r="76" customFormat="false" ht="15" hidden="false" customHeight="false" outlineLevel="0" collapsed="false">
      <c r="A76" s="16" t="s">
        <v>364</v>
      </c>
      <c r="B76" s="16" t="s">
        <v>174</v>
      </c>
      <c r="C76" s="16" t="s">
        <v>632</v>
      </c>
      <c r="D76" s="16" t="s">
        <v>251</v>
      </c>
      <c r="E76" s="16" t="s">
        <v>633</v>
      </c>
      <c r="F76" s="16" t="s">
        <v>561</v>
      </c>
      <c r="G76" s="16"/>
    </row>
    <row r="77" customFormat="false" ht="15" hidden="false" customHeight="false" outlineLevel="0" collapsed="false">
      <c r="A77" s="16" t="s">
        <v>364</v>
      </c>
      <c r="B77" s="16" t="s">
        <v>251</v>
      </c>
      <c r="C77" s="16" t="s">
        <v>633</v>
      </c>
      <c r="D77" s="16" t="s">
        <v>236</v>
      </c>
      <c r="E77" s="16" t="s">
        <v>634</v>
      </c>
      <c r="F77" s="16" t="s">
        <v>547</v>
      </c>
      <c r="G77" s="16"/>
    </row>
    <row r="78" customFormat="false" ht="15" hidden="false" customHeight="false" outlineLevel="0" collapsed="false">
      <c r="A78" s="16" t="s">
        <v>364</v>
      </c>
      <c r="B78" s="16" t="s">
        <v>236</v>
      </c>
      <c r="C78" s="16" t="s">
        <v>634</v>
      </c>
      <c r="D78" s="16" t="s">
        <v>55</v>
      </c>
      <c r="E78" s="16" t="s">
        <v>635</v>
      </c>
      <c r="F78" s="16" t="s">
        <v>507</v>
      </c>
      <c r="G78" s="16"/>
    </row>
    <row r="79" customFormat="false" ht="15" hidden="false" customHeight="false" outlineLevel="0" collapsed="false">
      <c r="A79" s="16" t="s">
        <v>364</v>
      </c>
      <c r="B79" s="16" t="s">
        <v>55</v>
      </c>
      <c r="C79" s="16" t="s">
        <v>635</v>
      </c>
      <c r="D79" s="16" t="s">
        <v>230</v>
      </c>
      <c r="E79" s="16" t="s">
        <v>636</v>
      </c>
      <c r="F79" s="16" t="s">
        <v>616</v>
      </c>
      <c r="G79" s="16"/>
    </row>
    <row r="80" customFormat="false" ht="15" hidden="false" customHeight="false" outlineLevel="0" collapsed="false">
      <c r="A80" s="16" t="s">
        <v>364</v>
      </c>
      <c r="B80" s="16" t="s">
        <v>230</v>
      </c>
      <c r="C80" s="16" t="s">
        <v>636</v>
      </c>
      <c r="D80" s="16" t="s">
        <v>199</v>
      </c>
      <c r="E80" s="16" t="s">
        <v>637</v>
      </c>
      <c r="F80" s="16" t="s">
        <v>549</v>
      </c>
      <c r="G80" s="16"/>
    </row>
    <row r="81" customFormat="false" ht="15" hidden="false" customHeight="false" outlineLevel="0" collapsed="false">
      <c r="A81" s="16" t="s">
        <v>364</v>
      </c>
      <c r="B81" s="16" t="s">
        <v>199</v>
      </c>
      <c r="C81" s="16" t="s">
        <v>637</v>
      </c>
      <c r="D81" s="16" t="s">
        <v>137</v>
      </c>
      <c r="E81" s="16" t="s">
        <v>638</v>
      </c>
      <c r="F81" s="16" t="s">
        <v>639</v>
      </c>
      <c r="G81" s="16"/>
    </row>
    <row r="82" customFormat="false" ht="15" hidden="false" customHeight="false" outlineLevel="0" collapsed="false">
      <c r="A82" s="16" t="s">
        <v>364</v>
      </c>
      <c r="B82" s="16" t="s">
        <v>137</v>
      </c>
      <c r="C82" s="16" t="s">
        <v>638</v>
      </c>
      <c r="D82" s="16" t="s">
        <v>168</v>
      </c>
      <c r="E82" s="16" t="s">
        <v>640</v>
      </c>
      <c r="F82" s="16" t="s">
        <v>641</v>
      </c>
      <c r="G82" s="16"/>
    </row>
    <row r="83" customFormat="false" ht="15" hidden="false" customHeight="false" outlineLevel="0" collapsed="false">
      <c r="A83" s="16" t="s">
        <v>364</v>
      </c>
      <c r="B83" s="16" t="s">
        <v>168</v>
      </c>
      <c r="C83" s="16" t="s">
        <v>640</v>
      </c>
      <c r="D83" s="16" t="s">
        <v>242</v>
      </c>
      <c r="E83" s="16" t="s">
        <v>642</v>
      </c>
      <c r="F83" s="16" t="s">
        <v>595</v>
      </c>
      <c r="G83" s="16"/>
    </row>
    <row r="84" customFormat="false" ht="15" hidden="false" customHeight="false" outlineLevel="0" collapsed="false">
      <c r="A84" s="16" t="s">
        <v>364</v>
      </c>
      <c r="B84" s="16" t="s">
        <v>242</v>
      </c>
      <c r="C84" s="16" t="s">
        <v>642</v>
      </c>
      <c r="D84" s="16" t="s">
        <v>238</v>
      </c>
      <c r="E84" s="16" t="s">
        <v>643</v>
      </c>
      <c r="F84" s="16" t="s">
        <v>631</v>
      </c>
      <c r="G84" s="16"/>
    </row>
    <row r="85" customFormat="false" ht="15" hidden="false" customHeight="false" outlineLevel="0" collapsed="false">
      <c r="A85" s="16" t="s">
        <v>364</v>
      </c>
      <c r="B85" s="16" t="s">
        <v>238</v>
      </c>
      <c r="C85" s="16" t="s">
        <v>643</v>
      </c>
      <c r="D85" s="16" t="s">
        <v>129</v>
      </c>
      <c r="E85" s="16" t="s">
        <v>644</v>
      </c>
      <c r="F85" s="16" t="s">
        <v>645</v>
      </c>
      <c r="G85" s="16"/>
    </row>
    <row r="86" customFormat="false" ht="15" hidden="false" customHeight="false" outlineLevel="0" collapsed="false">
      <c r="A86" s="16" t="s">
        <v>364</v>
      </c>
      <c r="B86" s="16" t="s">
        <v>129</v>
      </c>
      <c r="C86" s="16" t="s">
        <v>644</v>
      </c>
      <c r="D86" s="16" t="s">
        <v>320</v>
      </c>
      <c r="E86" s="16" t="s">
        <v>644</v>
      </c>
      <c r="F86" s="16" t="s">
        <v>646</v>
      </c>
      <c r="G86" s="16" t="s">
        <v>647</v>
      </c>
    </row>
    <row r="87" customFormat="false" ht="15" hidden="false" customHeight="false" outlineLevel="0" collapsed="false">
      <c r="A87" s="16" t="s">
        <v>364</v>
      </c>
      <c r="B87" s="16" t="s">
        <v>178</v>
      </c>
      <c r="C87" s="16" t="s">
        <v>648</v>
      </c>
      <c r="D87" s="16" t="s">
        <v>100</v>
      </c>
      <c r="E87" s="16" t="s">
        <v>649</v>
      </c>
      <c r="F87" s="16" t="s">
        <v>582</v>
      </c>
      <c r="G87" s="16"/>
    </row>
    <row r="88" customFormat="false" ht="15" hidden="false" customHeight="false" outlineLevel="0" collapsed="false">
      <c r="A88" s="16" t="s">
        <v>365</v>
      </c>
      <c r="B88" s="16" t="s">
        <v>97</v>
      </c>
      <c r="C88" s="16" t="n">
        <v>175</v>
      </c>
      <c r="D88" s="16" t="s">
        <v>181</v>
      </c>
      <c r="E88" s="16" t="n">
        <v>175</v>
      </c>
      <c r="F88" s="16" t="n">
        <v>0</v>
      </c>
      <c r="G88" s="16" t="s">
        <v>647</v>
      </c>
    </row>
    <row r="89" customFormat="false" ht="15" hidden="false" customHeight="false" outlineLevel="0" collapsed="false">
      <c r="A89" s="16" t="s">
        <v>365</v>
      </c>
      <c r="B89" s="16" t="s">
        <v>181</v>
      </c>
      <c r="C89" s="16" t="n">
        <v>175</v>
      </c>
      <c r="D89" s="16" t="s">
        <v>189</v>
      </c>
      <c r="E89" s="16" t="n">
        <v>175</v>
      </c>
      <c r="F89" s="16" t="n">
        <v>0</v>
      </c>
      <c r="G89" s="16" t="s">
        <v>647</v>
      </c>
    </row>
    <row r="90" customFormat="false" ht="15" hidden="false" customHeight="false" outlineLevel="0" collapsed="false">
      <c r="A90" s="16" t="s">
        <v>365</v>
      </c>
      <c r="B90" s="16" t="s">
        <v>189</v>
      </c>
      <c r="C90" s="16" t="n">
        <v>175</v>
      </c>
      <c r="D90" s="16" t="s">
        <v>192</v>
      </c>
      <c r="E90" s="16" t="n">
        <v>175</v>
      </c>
      <c r="F90" s="16" t="n">
        <v>0</v>
      </c>
      <c r="G90" s="16" t="s">
        <v>647</v>
      </c>
    </row>
    <row r="91" customFormat="false" ht="15" hidden="false" customHeight="false" outlineLevel="0" collapsed="false">
      <c r="A91" s="16" t="s">
        <v>365</v>
      </c>
      <c r="B91" s="16" t="s">
        <v>192</v>
      </c>
      <c r="C91" s="16" t="n">
        <v>175</v>
      </c>
      <c r="D91" s="16" t="s">
        <v>245</v>
      </c>
      <c r="E91" s="16" t="n">
        <v>175</v>
      </c>
      <c r="F91" s="16" t="n">
        <v>0</v>
      </c>
      <c r="G91" s="16" t="s">
        <v>647</v>
      </c>
    </row>
    <row r="92" customFormat="false" ht="15" hidden="false" customHeight="false" outlineLevel="0" collapsed="false">
      <c r="A92" s="16" t="s">
        <v>365</v>
      </c>
      <c r="B92" s="16" t="s">
        <v>148</v>
      </c>
      <c r="C92" s="16" t="n">
        <v>178</v>
      </c>
      <c r="D92" s="16" t="s">
        <v>162</v>
      </c>
      <c r="E92" s="16" t="n">
        <v>178</v>
      </c>
      <c r="F92" s="16" t="n">
        <v>0</v>
      </c>
      <c r="G92" s="16" t="s">
        <v>647</v>
      </c>
    </row>
    <row r="93" customFormat="false" ht="15" hidden="false" customHeight="false" outlineLevel="0" collapsed="false">
      <c r="A93" s="16" t="s">
        <v>365</v>
      </c>
      <c r="B93" s="16" t="s">
        <v>162</v>
      </c>
      <c r="C93" s="16" t="n">
        <v>178</v>
      </c>
      <c r="D93" s="16" t="s">
        <v>184</v>
      </c>
      <c r="E93" s="16" t="n">
        <v>178</v>
      </c>
      <c r="F93" s="16" t="n">
        <v>0</v>
      </c>
      <c r="G93" s="16" t="s">
        <v>647</v>
      </c>
    </row>
    <row r="94" customFormat="false" ht="15" hidden="false" customHeight="false" outlineLevel="0" collapsed="false">
      <c r="A94" s="16" t="s">
        <v>365</v>
      </c>
      <c r="B94" s="16" t="s">
        <v>184</v>
      </c>
      <c r="C94" s="16" t="n">
        <v>178</v>
      </c>
      <c r="D94" s="16" t="s">
        <v>195</v>
      </c>
      <c r="E94" s="16" t="n">
        <v>178</v>
      </c>
      <c r="F94" s="16" t="n">
        <v>0</v>
      </c>
      <c r="G94" s="16" t="s">
        <v>647</v>
      </c>
    </row>
    <row r="95" customFormat="false" ht="15" hidden="false" customHeight="false" outlineLevel="0" collapsed="false">
      <c r="A95" s="16" t="s">
        <v>365</v>
      </c>
      <c r="B95" s="16" t="s">
        <v>195</v>
      </c>
      <c r="C95" s="16" t="n">
        <v>178</v>
      </c>
      <c r="D95" s="16" t="s">
        <v>199</v>
      </c>
      <c r="E95" s="16" t="n">
        <v>178</v>
      </c>
      <c r="F95" s="16" t="n">
        <v>0</v>
      </c>
      <c r="G95" s="16" t="s">
        <v>647</v>
      </c>
    </row>
    <row r="96" customFormat="false" ht="15" hidden="false" customHeight="false" outlineLevel="0" collapsed="false">
      <c r="A96" s="16" t="s">
        <v>365</v>
      </c>
      <c r="B96" s="16" t="s">
        <v>199</v>
      </c>
      <c r="C96" s="16" t="n">
        <v>178</v>
      </c>
      <c r="D96" s="16" t="s">
        <v>228</v>
      </c>
      <c r="E96" s="16" t="n">
        <v>178</v>
      </c>
      <c r="F96" s="16" t="n">
        <v>0</v>
      </c>
      <c r="G96" s="16" t="s">
        <v>647</v>
      </c>
    </row>
    <row r="97" customFormat="false" ht="15" hidden="false" customHeight="false" outlineLevel="0" collapsed="false">
      <c r="A97" s="16" t="s">
        <v>365</v>
      </c>
      <c r="B97" s="16" t="s">
        <v>90</v>
      </c>
      <c r="C97" s="16" t="n">
        <v>180</v>
      </c>
      <c r="D97" s="16" t="s">
        <v>93</v>
      </c>
      <c r="E97" s="16" t="n">
        <v>180</v>
      </c>
      <c r="F97" s="16" t="n">
        <v>0</v>
      </c>
      <c r="G97" s="16" t="s">
        <v>647</v>
      </c>
    </row>
    <row r="98" customFormat="false" ht="15" hidden="false" customHeight="false" outlineLevel="0" collapsed="false">
      <c r="A98" s="16" t="s">
        <v>365</v>
      </c>
      <c r="B98" s="16" t="s">
        <v>93</v>
      </c>
      <c r="C98" s="16" t="n">
        <v>180</v>
      </c>
      <c r="D98" s="16" t="s">
        <v>187</v>
      </c>
      <c r="E98" s="16" t="n">
        <v>180</v>
      </c>
      <c r="F98" s="16" t="n">
        <v>0</v>
      </c>
      <c r="G98" s="16" t="s">
        <v>647</v>
      </c>
    </row>
    <row r="99" customFormat="false" ht="15" hidden="false" customHeight="false" outlineLevel="0" collapsed="false">
      <c r="A99" s="16" t="s">
        <v>365</v>
      </c>
      <c r="B99" s="16" t="s">
        <v>83</v>
      </c>
      <c r="C99" s="16" t="n">
        <v>183</v>
      </c>
      <c r="D99" s="16" t="s">
        <v>109</v>
      </c>
      <c r="E99" s="16" t="n">
        <v>183</v>
      </c>
      <c r="F99" s="16" t="n">
        <v>0</v>
      </c>
      <c r="G99" s="16" t="s">
        <v>647</v>
      </c>
    </row>
    <row r="100" customFormat="false" ht="15" hidden="false" customHeight="false" outlineLevel="0" collapsed="false">
      <c r="A100" s="16" t="s">
        <v>365</v>
      </c>
      <c r="B100" s="16" t="s">
        <v>109</v>
      </c>
      <c r="C100" s="16" t="n">
        <v>183</v>
      </c>
      <c r="D100" s="16" t="s">
        <v>115</v>
      </c>
      <c r="E100" s="16" t="n">
        <v>183</v>
      </c>
      <c r="F100" s="16" t="n">
        <v>0</v>
      </c>
      <c r="G100" s="16" t="s">
        <v>647</v>
      </c>
    </row>
    <row r="101" customFormat="false" ht="15" hidden="false" customHeight="false" outlineLevel="0" collapsed="false">
      <c r="A101" s="16" t="s">
        <v>365</v>
      </c>
      <c r="B101" s="16" t="s">
        <v>115</v>
      </c>
      <c r="C101" s="16" t="n">
        <v>183</v>
      </c>
      <c r="D101" s="16" t="s">
        <v>129</v>
      </c>
      <c r="E101" s="16" t="n">
        <v>183</v>
      </c>
      <c r="F101" s="16" t="n">
        <v>0</v>
      </c>
      <c r="G101" s="16" t="s">
        <v>647</v>
      </c>
    </row>
    <row r="102" customFormat="false" ht="15" hidden="false" customHeight="false" outlineLevel="0" collapsed="false">
      <c r="A102" s="16" t="s">
        <v>365</v>
      </c>
      <c r="B102" s="16" t="s">
        <v>129</v>
      </c>
      <c r="C102" s="16" t="n">
        <v>183</v>
      </c>
      <c r="D102" s="16" t="s">
        <v>209</v>
      </c>
      <c r="E102" s="16" t="n">
        <v>183</v>
      </c>
      <c r="F102" s="16" t="n">
        <v>0</v>
      </c>
      <c r="G102" s="16" t="s">
        <v>647</v>
      </c>
    </row>
    <row r="103" customFormat="false" ht="15" hidden="false" customHeight="false" outlineLevel="0" collapsed="false">
      <c r="A103" s="16" t="s">
        <v>365</v>
      </c>
      <c r="B103" s="16" t="s">
        <v>209</v>
      </c>
      <c r="C103" s="16" t="n">
        <v>183</v>
      </c>
      <c r="D103" s="16" t="s">
        <v>222</v>
      </c>
      <c r="E103" s="16" t="n">
        <v>183</v>
      </c>
      <c r="F103" s="16" t="n">
        <v>0</v>
      </c>
      <c r="G103" s="16" t="s">
        <v>647</v>
      </c>
    </row>
    <row r="104" customFormat="false" ht="15" hidden="false" customHeight="false" outlineLevel="0" collapsed="false">
      <c r="A104" s="16" t="s">
        <v>365</v>
      </c>
      <c r="B104" s="16" t="s">
        <v>222</v>
      </c>
      <c r="C104" s="16" t="n">
        <v>183</v>
      </c>
      <c r="D104" s="16" t="s">
        <v>233</v>
      </c>
      <c r="E104" s="16" t="n">
        <v>183</v>
      </c>
      <c r="F104" s="16" t="n">
        <v>0</v>
      </c>
      <c r="G104" s="16" t="s">
        <v>647</v>
      </c>
    </row>
    <row r="105" customFormat="false" ht="15" hidden="false" customHeight="false" outlineLevel="0" collapsed="false">
      <c r="A105" s="16" t="s">
        <v>365</v>
      </c>
      <c r="B105" s="16" t="s">
        <v>233</v>
      </c>
      <c r="C105" s="16" t="n">
        <v>183</v>
      </c>
      <c r="D105" s="16" t="s">
        <v>248</v>
      </c>
      <c r="E105" s="16" t="n">
        <v>183</v>
      </c>
      <c r="F105" s="16" t="n">
        <v>0</v>
      </c>
      <c r="G105" s="16" t="s">
        <v>647</v>
      </c>
    </row>
    <row r="106" customFormat="false" ht="15" hidden="false" customHeight="false" outlineLevel="0" collapsed="false">
      <c r="A106" s="16" t="s">
        <v>365</v>
      </c>
      <c r="B106" s="16" t="s">
        <v>248</v>
      </c>
      <c r="C106" s="16" t="n">
        <v>183</v>
      </c>
      <c r="D106" s="16" t="s">
        <v>342</v>
      </c>
      <c r="E106" s="16" t="n">
        <v>183</v>
      </c>
      <c r="F106" s="16" t="n">
        <v>0</v>
      </c>
      <c r="G106" s="16" t="s">
        <v>647</v>
      </c>
    </row>
    <row r="107" customFormat="false" ht="15" hidden="false" customHeight="false" outlineLevel="0" collapsed="false">
      <c r="A107" s="16" t="s">
        <v>365</v>
      </c>
      <c r="B107" s="16" t="s">
        <v>342</v>
      </c>
      <c r="C107" s="16" t="n">
        <v>183</v>
      </c>
      <c r="D107" s="16" t="s">
        <v>345</v>
      </c>
      <c r="E107" s="16" t="n">
        <v>183</v>
      </c>
      <c r="F107" s="16" t="n">
        <v>0</v>
      </c>
      <c r="G107" s="16" t="s">
        <v>647</v>
      </c>
    </row>
    <row r="108" customFormat="false" ht="15" hidden="false" customHeight="false" outlineLevel="0" collapsed="false">
      <c r="A108" s="16" t="s">
        <v>365</v>
      </c>
      <c r="B108" s="16" t="s">
        <v>345</v>
      </c>
      <c r="C108" s="16" t="n">
        <v>183</v>
      </c>
      <c r="D108" s="16" t="s">
        <v>358</v>
      </c>
      <c r="E108" s="16" t="n">
        <v>183</v>
      </c>
      <c r="F108" s="16" t="n">
        <v>0</v>
      </c>
      <c r="G108" s="16" t="s">
        <v>647</v>
      </c>
    </row>
    <row r="109" customFormat="false" ht="15" hidden="false" customHeight="false" outlineLevel="0" collapsed="false">
      <c r="A109" s="16" t="s">
        <v>365</v>
      </c>
      <c r="B109" s="16" t="s">
        <v>39</v>
      </c>
      <c r="C109" s="16" t="n">
        <v>185</v>
      </c>
      <c r="D109" s="16" t="s">
        <v>59</v>
      </c>
      <c r="E109" s="16" t="n">
        <v>185</v>
      </c>
      <c r="F109" s="16" t="n">
        <v>0</v>
      </c>
      <c r="G109" s="16" t="s">
        <v>647</v>
      </c>
    </row>
    <row r="110" customFormat="false" ht="15" hidden="false" customHeight="false" outlineLevel="0" collapsed="false">
      <c r="A110" s="16" t="s">
        <v>365</v>
      </c>
      <c r="B110" s="16" t="s">
        <v>59</v>
      </c>
      <c r="C110" s="16" t="n">
        <v>185</v>
      </c>
      <c r="D110" s="16" t="s">
        <v>67</v>
      </c>
      <c r="E110" s="16" t="n">
        <v>185</v>
      </c>
      <c r="F110" s="16" t="n">
        <v>0</v>
      </c>
      <c r="G110" s="16" t="s">
        <v>647</v>
      </c>
    </row>
    <row r="111" customFormat="false" ht="15" hidden="false" customHeight="false" outlineLevel="0" collapsed="false">
      <c r="A111" s="16" t="s">
        <v>365</v>
      </c>
      <c r="B111" s="16" t="s">
        <v>67</v>
      </c>
      <c r="C111" s="16" t="n">
        <v>185</v>
      </c>
      <c r="D111" s="16" t="s">
        <v>104</v>
      </c>
      <c r="E111" s="16" t="n">
        <v>185</v>
      </c>
      <c r="F111" s="16" t="n">
        <v>0</v>
      </c>
      <c r="G111" s="16" t="s">
        <v>647</v>
      </c>
    </row>
    <row r="112" customFormat="false" ht="15" hidden="false" customHeight="false" outlineLevel="0" collapsed="false">
      <c r="A112" s="16" t="s">
        <v>365</v>
      </c>
      <c r="B112" s="16" t="s">
        <v>104</v>
      </c>
      <c r="C112" s="16" t="n">
        <v>185</v>
      </c>
      <c r="D112" s="16" t="s">
        <v>122</v>
      </c>
      <c r="E112" s="16" t="n">
        <v>185</v>
      </c>
      <c r="F112" s="16" t="n">
        <v>0</v>
      </c>
      <c r="G112" s="16" t="s">
        <v>647</v>
      </c>
    </row>
    <row r="113" customFormat="false" ht="15" hidden="false" customHeight="false" outlineLevel="0" collapsed="false">
      <c r="A113" s="16" t="s">
        <v>365</v>
      </c>
      <c r="B113" s="16" t="s">
        <v>122</v>
      </c>
      <c r="C113" s="16" t="n">
        <v>185</v>
      </c>
      <c r="D113" s="16" t="s">
        <v>126</v>
      </c>
      <c r="E113" s="16" t="n">
        <v>185</v>
      </c>
      <c r="F113" s="16" t="n">
        <v>0</v>
      </c>
      <c r="G113" s="16" t="s">
        <v>647</v>
      </c>
    </row>
    <row r="114" customFormat="false" ht="15" hidden="false" customHeight="false" outlineLevel="0" collapsed="false">
      <c r="A114" s="16" t="s">
        <v>365</v>
      </c>
      <c r="B114" s="16" t="s">
        <v>126</v>
      </c>
      <c r="C114" s="16" t="n">
        <v>185</v>
      </c>
      <c r="D114" s="16" t="s">
        <v>144</v>
      </c>
      <c r="E114" s="16" t="n">
        <v>185</v>
      </c>
      <c r="F114" s="16" t="n">
        <v>0</v>
      </c>
      <c r="G114" s="16" t="s">
        <v>647</v>
      </c>
    </row>
    <row r="115" customFormat="false" ht="15" hidden="false" customHeight="false" outlineLevel="0" collapsed="false">
      <c r="A115" s="16" t="s">
        <v>365</v>
      </c>
      <c r="B115" s="16" t="s">
        <v>144</v>
      </c>
      <c r="C115" s="16" t="n">
        <v>185</v>
      </c>
      <c r="D115" s="16" t="s">
        <v>155</v>
      </c>
      <c r="E115" s="16" t="n">
        <v>185</v>
      </c>
      <c r="F115" s="16" t="n">
        <v>0</v>
      </c>
      <c r="G115" s="16" t="s">
        <v>647</v>
      </c>
    </row>
    <row r="116" customFormat="false" ht="15" hidden="false" customHeight="false" outlineLevel="0" collapsed="false">
      <c r="A116" s="16" t="s">
        <v>365</v>
      </c>
      <c r="B116" s="16" t="s">
        <v>155</v>
      </c>
      <c r="C116" s="16" t="n">
        <v>185</v>
      </c>
      <c r="D116" s="16" t="s">
        <v>202</v>
      </c>
      <c r="E116" s="16" t="n">
        <v>185</v>
      </c>
      <c r="F116" s="16" t="n">
        <v>0</v>
      </c>
      <c r="G116" s="16" t="s">
        <v>647</v>
      </c>
    </row>
    <row r="117" customFormat="false" ht="15" hidden="false" customHeight="false" outlineLevel="0" collapsed="false">
      <c r="A117" s="16" t="s">
        <v>365</v>
      </c>
      <c r="B117" s="16" t="s">
        <v>202</v>
      </c>
      <c r="C117" s="16" t="n">
        <v>185</v>
      </c>
      <c r="D117" s="16" t="s">
        <v>238</v>
      </c>
      <c r="E117" s="16" t="n">
        <v>185</v>
      </c>
      <c r="F117" s="16" t="n">
        <v>0</v>
      </c>
      <c r="G117" s="16" t="s">
        <v>647</v>
      </c>
    </row>
    <row r="118" customFormat="false" ht="15" hidden="false" customHeight="false" outlineLevel="0" collapsed="false">
      <c r="A118" s="16" t="s">
        <v>365</v>
      </c>
      <c r="B118" s="16" t="s">
        <v>238</v>
      </c>
      <c r="C118" s="16" t="n">
        <v>185</v>
      </c>
      <c r="D118" s="16" t="s">
        <v>332</v>
      </c>
      <c r="E118" s="16" t="n">
        <v>185</v>
      </c>
      <c r="F118" s="16" t="n">
        <v>0</v>
      </c>
      <c r="G118" s="16" t="s">
        <v>647</v>
      </c>
    </row>
    <row r="119" customFormat="false" ht="15" hidden="false" customHeight="false" outlineLevel="0" collapsed="false">
      <c r="A119" s="16" t="s">
        <v>365</v>
      </c>
      <c r="B119" s="16" t="s">
        <v>332</v>
      </c>
      <c r="C119" s="16" t="n">
        <v>185</v>
      </c>
      <c r="D119" s="16" t="s">
        <v>348</v>
      </c>
      <c r="E119" s="16" t="n">
        <v>185</v>
      </c>
      <c r="F119" s="16" t="n">
        <v>0</v>
      </c>
      <c r="G119" s="16" t="s">
        <v>647</v>
      </c>
    </row>
    <row r="120" customFormat="false" ht="15" hidden="false" customHeight="false" outlineLevel="0" collapsed="false">
      <c r="A120" s="16" t="s">
        <v>365</v>
      </c>
      <c r="B120" s="16" t="s">
        <v>22</v>
      </c>
      <c r="C120" s="16" t="n">
        <v>188</v>
      </c>
      <c r="D120" s="16" t="s">
        <v>31</v>
      </c>
      <c r="E120" s="16" t="n">
        <v>188</v>
      </c>
      <c r="F120" s="16" t="n">
        <v>0</v>
      </c>
      <c r="G120" s="16" t="s">
        <v>647</v>
      </c>
    </row>
    <row r="121" customFormat="false" ht="15" hidden="false" customHeight="false" outlineLevel="0" collapsed="false">
      <c r="A121" s="16" t="s">
        <v>365</v>
      </c>
      <c r="B121" s="16" t="s">
        <v>31</v>
      </c>
      <c r="C121" s="16" t="n">
        <v>188</v>
      </c>
      <c r="D121" s="16" t="s">
        <v>71</v>
      </c>
      <c r="E121" s="16" t="n">
        <v>188</v>
      </c>
      <c r="F121" s="16" t="n">
        <v>0</v>
      </c>
      <c r="G121" s="16" t="s">
        <v>647</v>
      </c>
    </row>
    <row r="122" customFormat="false" ht="15" hidden="false" customHeight="false" outlineLevel="0" collapsed="false">
      <c r="A122" s="16" t="s">
        <v>365</v>
      </c>
      <c r="B122" s="16" t="s">
        <v>71</v>
      </c>
      <c r="C122" s="16" t="n">
        <v>188</v>
      </c>
      <c r="D122" s="16" t="s">
        <v>75</v>
      </c>
      <c r="E122" s="16" t="n">
        <v>188</v>
      </c>
      <c r="F122" s="16" t="n">
        <v>0</v>
      </c>
      <c r="G122" s="16" t="s">
        <v>647</v>
      </c>
    </row>
    <row r="123" customFormat="false" ht="15" hidden="false" customHeight="false" outlineLevel="0" collapsed="false">
      <c r="A123" s="16" t="s">
        <v>365</v>
      </c>
      <c r="B123" s="16" t="s">
        <v>75</v>
      </c>
      <c r="C123" s="16" t="n">
        <v>188</v>
      </c>
      <c r="D123" s="16" t="s">
        <v>112</v>
      </c>
      <c r="E123" s="16" t="n">
        <v>188</v>
      </c>
      <c r="F123" s="16" t="n">
        <v>0</v>
      </c>
      <c r="G123" s="16" t="s">
        <v>647</v>
      </c>
    </row>
    <row r="124" customFormat="false" ht="15" hidden="false" customHeight="false" outlineLevel="0" collapsed="false">
      <c r="A124" s="16" t="s">
        <v>365</v>
      </c>
      <c r="B124" s="16" t="s">
        <v>112</v>
      </c>
      <c r="C124" s="16" t="n">
        <v>188</v>
      </c>
      <c r="D124" s="16" t="s">
        <v>118</v>
      </c>
      <c r="E124" s="16" t="n">
        <v>188</v>
      </c>
      <c r="F124" s="16" t="n">
        <v>0</v>
      </c>
      <c r="G124" s="16" t="s">
        <v>647</v>
      </c>
    </row>
    <row r="125" customFormat="false" ht="15" hidden="false" customHeight="false" outlineLevel="0" collapsed="false">
      <c r="A125" s="16" t="s">
        <v>365</v>
      </c>
      <c r="B125" s="16" t="s">
        <v>118</v>
      </c>
      <c r="C125" s="16" t="n">
        <v>188</v>
      </c>
      <c r="D125" s="16" t="s">
        <v>166</v>
      </c>
      <c r="E125" s="16" t="n">
        <v>188</v>
      </c>
      <c r="F125" s="16" t="n">
        <v>0</v>
      </c>
      <c r="G125" s="16" t="s">
        <v>647</v>
      </c>
    </row>
    <row r="126" customFormat="false" ht="15" hidden="false" customHeight="false" outlineLevel="0" collapsed="false">
      <c r="A126" s="16" t="s">
        <v>365</v>
      </c>
      <c r="B126" s="16" t="s">
        <v>166</v>
      </c>
      <c r="C126" s="16" t="n">
        <v>188</v>
      </c>
      <c r="D126" s="16" t="s">
        <v>174</v>
      </c>
      <c r="E126" s="16" t="n">
        <v>188</v>
      </c>
      <c r="F126" s="16" t="n">
        <v>0</v>
      </c>
      <c r="G126" s="16" t="s">
        <v>647</v>
      </c>
    </row>
    <row r="127" customFormat="false" ht="15" hidden="false" customHeight="false" outlineLevel="0" collapsed="false">
      <c r="A127" s="16" t="s">
        <v>365</v>
      </c>
      <c r="B127" s="16" t="s">
        <v>174</v>
      </c>
      <c r="C127" s="16" t="n">
        <v>188</v>
      </c>
      <c r="D127" s="16" t="s">
        <v>335</v>
      </c>
      <c r="E127" s="16" t="n">
        <v>188</v>
      </c>
      <c r="F127" s="16" t="n">
        <v>0</v>
      </c>
      <c r="G127" s="16" t="s">
        <v>647</v>
      </c>
    </row>
    <row r="128" customFormat="false" ht="15" hidden="false" customHeight="false" outlineLevel="0" collapsed="false">
      <c r="A128" s="16" t="s">
        <v>365</v>
      </c>
      <c r="B128" s="16" t="s">
        <v>335</v>
      </c>
      <c r="C128" s="16" t="n">
        <v>188</v>
      </c>
      <c r="D128" s="16" t="s">
        <v>355</v>
      </c>
      <c r="E128" s="16" t="n">
        <v>188</v>
      </c>
      <c r="F128" s="16" t="n">
        <v>0</v>
      </c>
      <c r="G128" s="16" t="s">
        <v>647</v>
      </c>
    </row>
    <row r="129" customFormat="false" ht="15" hidden="false" customHeight="false" outlineLevel="0" collapsed="false">
      <c r="A129" s="16" t="s">
        <v>365</v>
      </c>
      <c r="B129" s="16" t="s">
        <v>47</v>
      </c>
      <c r="C129" s="16" t="n">
        <v>191</v>
      </c>
      <c r="D129" s="16" t="s">
        <v>87</v>
      </c>
      <c r="E129" s="16" t="n">
        <v>191</v>
      </c>
      <c r="F129" s="16" t="n">
        <v>0</v>
      </c>
      <c r="G129" s="16" t="s">
        <v>647</v>
      </c>
    </row>
    <row r="130" customFormat="false" ht="15" hidden="false" customHeight="false" outlineLevel="0" collapsed="false">
      <c r="A130" s="16" t="s">
        <v>365</v>
      </c>
      <c r="B130" s="16" t="s">
        <v>87</v>
      </c>
      <c r="C130" s="16" t="n">
        <v>191</v>
      </c>
      <c r="D130" s="16" t="s">
        <v>137</v>
      </c>
      <c r="E130" s="16" t="n">
        <v>191</v>
      </c>
      <c r="F130" s="16" t="n">
        <v>0</v>
      </c>
      <c r="G130" s="16" t="s">
        <v>647</v>
      </c>
    </row>
    <row r="131" customFormat="false" ht="15" hidden="false" customHeight="false" outlineLevel="0" collapsed="false">
      <c r="A131" s="16" t="s">
        <v>365</v>
      </c>
      <c r="B131" s="16" t="s">
        <v>137</v>
      </c>
      <c r="C131" s="16" t="n">
        <v>191</v>
      </c>
      <c r="D131" s="16" t="s">
        <v>159</v>
      </c>
      <c r="E131" s="16" t="n">
        <v>191</v>
      </c>
      <c r="F131" s="16" t="n">
        <v>0</v>
      </c>
      <c r="G131" s="16" t="s">
        <v>647</v>
      </c>
    </row>
    <row r="132" customFormat="false" ht="15" hidden="false" customHeight="false" outlineLevel="0" collapsed="false">
      <c r="A132" s="16" t="s">
        <v>365</v>
      </c>
      <c r="B132" s="16" t="s">
        <v>159</v>
      </c>
      <c r="C132" s="16" t="n">
        <v>191</v>
      </c>
      <c r="D132" s="16" t="s">
        <v>168</v>
      </c>
      <c r="E132" s="16" t="n">
        <v>191</v>
      </c>
      <c r="F132" s="16" t="n">
        <v>0</v>
      </c>
      <c r="G132" s="16" t="s">
        <v>647</v>
      </c>
    </row>
    <row r="133" customFormat="false" ht="15" hidden="false" customHeight="false" outlineLevel="0" collapsed="false">
      <c r="A133" s="16" t="s">
        <v>365</v>
      </c>
      <c r="B133" s="16" t="s">
        <v>168</v>
      </c>
      <c r="C133" s="16" t="n">
        <v>191</v>
      </c>
      <c r="D133" s="16" t="s">
        <v>171</v>
      </c>
      <c r="E133" s="16" t="n">
        <v>191</v>
      </c>
      <c r="F133" s="16" t="n">
        <v>0</v>
      </c>
      <c r="G133" s="16" t="s">
        <v>647</v>
      </c>
    </row>
    <row r="134" customFormat="false" ht="15" hidden="false" customHeight="false" outlineLevel="0" collapsed="false">
      <c r="A134" s="16" t="s">
        <v>365</v>
      </c>
      <c r="B134" s="16" t="s">
        <v>171</v>
      </c>
      <c r="C134" s="16" t="n">
        <v>191</v>
      </c>
      <c r="D134" s="16" t="s">
        <v>216</v>
      </c>
      <c r="E134" s="16" t="n">
        <v>191</v>
      </c>
      <c r="F134" s="16" t="n">
        <v>0</v>
      </c>
      <c r="G134" s="16" t="s">
        <v>647</v>
      </c>
    </row>
    <row r="135" customFormat="false" ht="15" hidden="false" customHeight="false" outlineLevel="0" collapsed="false">
      <c r="A135" s="16" t="s">
        <v>365</v>
      </c>
      <c r="B135" s="16" t="s">
        <v>216</v>
      </c>
      <c r="C135" s="16" t="n">
        <v>191</v>
      </c>
      <c r="D135" s="16" t="s">
        <v>230</v>
      </c>
      <c r="E135" s="16" t="n">
        <v>191</v>
      </c>
      <c r="F135" s="16" t="n">
        <v>0</v>
      </c>
      <c r="G135" s="16" t="s">
        <v>647</v>
      </c>
    </row>
    <row r="136" customFormat="false" ht="15" hidden="false" customHeight="false" outlineLevel="0" collapsed="false">
      <c r="A136" s="16" t="s">
        <v>365</v>
      </c>
      <c r="B136" s="16" t="s">
        <v>230</v>
      </c>
      <c r="C136" s="16" t="n">
        <v>191</v>
      </c>
      <c r="D136" s="16" t="s">
        <v>236</v>
      </c>
      <c r="E136" s="16" t="n">
        <v>191</v>
      </c>
      <c r="F136" s="16" t="n">
        <v>0</v>
      </c>
      <c r="G136" s="16" t="s">
        <v>647</v>
      </c>
    </row>
    <row r="137" customFormat="false" ht="15" hidden="false" customHeight="false" outlineLevel="0" collapsed="false">
      <c r="A137" s="16" t="s">
        <v>365</v>
      </c>
      <c r="B137" s="16" t="s">
        <v>236</v>
      </c>
      <c r="C137" s="16" t="n">
        <v>191</v>
      </c>
      <c r="D137" s="16" t="s">
        <v>251</v>
      </c>
      <c r="E137" s="16" t="n">
        <v>191</v>
      </c>
      <c r="F137" s="16" t="n">
        <v>0</v>
      </c>
      <c r="G137" s="16" t="s">
        <v>647</v>
      </c>
    </row>
    <row r="138" customFormat="false" ht="15" hidden="false" customHeight="false" outlineLevel="0" collapsed="false">
      <c r="A138" s="16" t="s">
        <v>365</v>
      </c>
      <c r="B138" s="16" t="s">
        <v>251</v>
      </c>
      <c r="C138" s="16" t="n">
        <v>191</v>
      </c>
      <c r="D138" s="16" t="s">
        <v>254</v>
      </c>
      <c r="E138" s="16" t="n">
        <v>191</v>
      </c>
      <c r="F138" s="16" t="n">
        <v>0</v>
      </c>
      <c r="G138" s="16" t="s">
        <v>647</v>
      </c>
    </row>
    <row r="139" customFormat="false" ht="15" hidden="false" customHeight="false" outlineLevel="0" collapsed="false">
      <c r="A139" s="16" t="s">
        <v>365</v>
      </c>
      <c r="B139" s="16" t="s">
        <v>254</v>
      </c>
      <c r="C139" s="16" t="n">
        <v>191</v>
      </c>
      <c r="D139" s="16" t="s">
        <v>299</v>
      </c>
      <c r="E139" s="16" t="n">
        <v>191</v>
      </c>
      <c r="F139" s="16" t="n">
        <v>0</v>
      </c>
      <c r="G139" s="16" t="s">
        <v>647</v>
      </c>
    </row>
    <row r="140" customFormat="false" ht="15" hidden="false" customHeight="false" outlineLevel="0" collapsed="false">
      <c r="A140" s="16" t="s">
        <v>365</v>
      </c>
      <c r="B140" s="16" t="s">
        <v>299</v>
      </c>
      <c r="C140" s="16" t="n">
        <v>191</v>
      </c>
      <c r="D140" s="16" t="s">
        <v>317</v>
      </c>
      <c r="E140" s="16" t="n">
        <v>191</v>
      </c>
      <c r="F140" s="16" t="n">
        <v>0</v>
      </c>
      <c r="G140" s="16" t="s">
        <v>647</v>
      </c>
    </row>
    <row r="141" customFormat="false" ht="15" hidden="false" customHeight="false" outlineLevel="0" collapsed="false">
      <c r="A141" s="16" t="s">
        <v>365</v>
      </c>
      <c r="B141" s="16" t="s">
        <v>317</v>
      </c>
      <c r="C141" s="16" t="n">
        <v>191</v>
      </c>
      <c r="D141" s="16" t="s">
        <v>320</v>
      </c>
      <c r="E141" s="16" t="n">
        <v>191</v>
      </c>
      <c r="F141" s="16" t="n">
        <v>0</v>
      </c>
      <c r="G141" s="16" t="s">
        <v>647</v>
      </c>
    </row>
    <row r="142" customFormat="false" ht="15" hidden="false" customHeight="false" outlineLevel="0" collapsed="false">
      <c r="A142" s="16" t="s">
        <v>365</v>
      </c>
      <c r="B142" s="16" t="s">
        <v>320</v>
      </c>
      <c r="C142" s="16" t="n">
        <v>191</v>
      </c>
      <c r="D142" s="16" t="s">
        <v>328</v>
      </c>
      <c r="E142" s="16" t="n">
        <v>191</v>
      </c>
      <c r="F142" s="16" t="n">
        <v>0</v>
      </c>
      <c r="G142" s="16" t="s">
        <v>647</v>
      </c>
    </row>
    <row r="143" customFormat="false" ht="15" hidden="false" customHeight="false" outlineLevel="0" collapsed="false">
      <c r="A143" s="16" t="s">
        <v>365</v>
      </c>
      <c r="B143" s="16" t="s">
        <v>328</v>
      </c>
      <c r="C143" s="16" t="n">
        <v>191</v>
      </c>
      <c r="D143" s="16" t="s">
        <v>339</v>
      </c>
      <c r="E143" s="16" t="n">
        <v>191</v>
      </c>
      <c r="F143" s="16" t="n">
        <v>0</v>
      </c>
      <c r="G143" s="16" t="s">
        <v>647</v>
      </c>
    </row>
    <row r="144" customFormat="false" ht="15" hidden="false" customHeight="false" outlineLevel="0" collapsed="false">
      <c r="A144" s="16" t="s">
        <v>365</v>
      </c>
      <c r="B144" s="16" t="s">
        <v>35</v>
      </c>
      <c r="C144" s="16" t="n">
        <v>193</v>
      </c>
      <c r="D144" s="16" t="s">
        <v>51</v>
      </c>
      <c r="E144" s="16" t="n">
        <v>193</v>
      </c>
      <c r="F144" s="16" t="n">
        <v>0</v>
      </c>
      <c r="G144" s="16" t="s">
        <v>647</v>
      </c>
    </row>
    <row r="145" customFormat="false" ht="15" hidden="false" customHeight="false" outlineLevel="0" collapsed="false">
      <c r="A145" s="16" t="s">
        <v>365</v>
      </c>
      <c r="B145" s="16" t="s">
        <v>51</v>
      </c>
      <c r="C145" s="16" t="n">
        <v>193</v>
      </c>
      <c r="D145" s="16" t="s">
        <v>55</v>
      </c>
      <c r="E145" s="16" t="n">
        <v>193</v>
      </c>
      <c r="F145" s="16" t="n">
        <v>0</v>
      </c>
      <c r="G145" s="16" t="s">
        <v>647</v>
      </c>
    </row>
    <row r="146" customFormat="false" ht="15" hidden="false" customHeight="false" outlineLevel="0" collapsed="false">
      <c r="A146" s="16" t="s">
        <v>365</v>
      </c>
      <c r="B146" s="16" t="s">
        <v>55</v>
      </c>
      <c r="C146" s="16" t="n">
        <v>193</v>
      </c>
      <c r="D146" s="16" t="s">
        <v>63</v>
      </c>
      <c r="E146" s="16" t="n">
        <v>193</v>
      </c>
      <c r="F146" s="16" t="n">
        <v>0</v>
      </c>
      <c r="G146" s="16" t="s">
        <v>647</v>
      </c>
    </row>
    <row r="147" customFormat="false" ht="15" hidden="false" customHeight="false" outlineLevel="0" collapsed="false">
      <c r="A147" s="16" t="s">
        <v>365</v>
      </c>
      <c r="B147" s="16" t="s">
        <v>63</v>
      </c>
      <c r="C147" s="16" t="n">
        <v>193</v>
      </c>
      <c r="D147" s="16" t="s">
        <v>79</v>
      </c>
      <c r="E147" s="16" t="n">
        <v>193</v>
      </c>
      <c r="F147" s="16" t="n">
        <v>0</v>
      </c>
      <c r="G147" s="16" t="s">
        <v>647</v>
      </c>
    </row>
    <row r="148" customFormat="false" ht="15" hidden="false" customHeight="false" outlineLevel="0" collapsed="false">
      <c r="A148" s="16" t="s">
        <v>365</v>
      </c>
      <c r="B148" s="16" t="s">
        <v>79</v>
      </c>
      <c r="C148" s="16" t="n">
        <v>193</v>
      </c>
      <c r="D148" s="16" t="s">
        <v>133</v>
      </c>
      <c r="E148" s="16" t="n">
        <v>193</v>
      </c>
      <c r="F148" s="16" t="n">
        <v>0</v>
      </c>
      <c r="G148" s="16" t="s">
        <v>647</v>
      </c>
    </row>
    <row r="149" customFormat="false" ht="15" hidden="false" customHeight="false" outlineLevel="0" collapsed="false">
      <c r="A149" s="16" t="s">
        <v>365</v>
      </c>
      <c r="B149" s="16" t="s">
        <v>133</v>
      </c>
      <c r="C149" s="16" t="n">
        <v>193</v>
      </c>
      <c r="D149" s="16" t="s">
        <v>140</v>
      </c>
      <c r="E149" s="16" t="n">
        <v>193</v>
      </c>
      <c r="F149" s="16" t="n">
        <v>0</v>
      </c>
      <c r="G149" s="16" t="s">
        <v>647</v>
      </c>
    </row>
    <row r="150" customFormat="false" ht="15" hidden="false" customHeight="false" outlineLevel="0" collapsed="false">
      <c r="A150" s="16" t="s">
        <v>365</v>
      </c>
      <c r="B150" s="16" t="s">
        <v>140</v>
      </c>
      <c r="C150" s="16" t="n">
        <v>193</v>
      </c>
      <c r="D150" s="16" t="s">
        <v>205</v>
      </c>
      <c r="E150" s="16" t="n">
        <v>193</v>
      </c>
      <c r="F150" s="16" t="n">
        <v>0</v>
      </c>
      <c r="G150" s="16" t="s">
        <v>647</v>
      </c>
    </row>
    <row r="151" customFormat="false" ht="15" hidden="false" customHeight="false" outlineLevel="0" collapsed="false">
      <c r="A151" s="16" t="s">
        <v>365</v>
      </c>
      <c r="B151" s="16" t="s">
        <v>205</v>
      </c>
      <c r="C151" s="16" t="n">
        <v>193</v>
      </c>
      <c r="D151" s="16" t="s">
        <v>213</v>
      </c>
      <c r="E151" s="16" t="n">
        <v>193</v>
      </c>
      <c r="F151" s="16" t="n">
        <v>0</v>
      </c>
      <c r="G151" s="16" t="s">
        <v>647</v>
      </c>
    </row>
    <row r="152" customFormat="false" ht="15" hidden="false" customHeight="false" outlineLevel="0" collapsed="false">
      <c r="A152" s="16" t="s">
        <v>365</v>
      </c>
      <c r="B152" s="16" t="s">
        <v>213</v>
      </c>
      <c r="C152" s="16" t="n">
        <v>193</v>
      </c>
      <c r="D152" s="16" t="s">
        <v>219</v>
      </c>
      <c r="E152" s="16" t="n">
        <v>193</v>
      </c>
      <c r="F152" s="16" t="n">
        <v>0</v>
      </c>
      <c r="G152" s="16" t="s">
        <v>647</v>
      </c>
    </row>
    <row r="153" customFormat="false" ht="15" hidden="false" customHeight="false" outlineLevel="0" collapsed="false">
      <c r="A153" s="16" t="s">
        <v>365</v>
      </c>
      <c r="B153" s="16" t="s">
        <v>219</v>
      </c>
      <c r="C153" s="16" t="n">
        <v>193</v>
      </c>
      <c r="D153" s="16" t="s">
        <v>242</v>
      </c>
      <c r="E153" s="16" t="n">
        <v>193</v>
      </c>
      <c r="F153" s="16" t="n">
        <v>0</v>
      </c>
      <c r="G153" s="16" t="s">
        <v>647</v>
      </c>
    </row>
    <row r="154" customFormat="false" ht="15" hidden="false" customHeight="false" outlineLevel="0" collapsed="false">
      <c r="A154" s="16" t="s">
        <v>365</v>
      </c>
      <c r="B154" s="16" t="s">
        <v>242</v>
      </c>
      <c r="C154" s="16" t="n">
        <v>193</v>
      </c>
      <c r="D154" s="16" t="s">
        <v>279</v>
      </c>
      <c r="E154" s="16" t="n">
        <v>193</v>
      </c>
      <c r="F154" s="16" t="n">
        <v>0</v>
      </c>
      <c r="G154" s="16" t="s">
        <v>647</v>
      </c>
    </row>
    <row r="155" customFormat="false" ht="15" hidden="false" customHeight="false" outlineLevel="0" collapsed="false">
      <c r="A155" s="16" t="s">
        <v>365</v>
      </c>
      <c r="B155" s="16" t="s">
        <v>279</v>
      </c>
      <c r="C155" s="16" t="n">
        <v>193</v>
      </c>
      <c r="D155" s="16" t="s">
        <v>286</v>
      </c>
      <c r="E155" s="16" t="n">
        <v>193</v>
      </c>
      <c r="F155" s="16" t="n">
        <v>0</v>
      </c>
      <c r="G155" s="16" t="s">
        <v>647</v>
      </c>
    </row>
    <row r="156" customFormat="false" ht="15" hidden="false" customHeight="false" outlineLevel="0" collapsed="false">
      <c r="A156" s="16" t="s">
        <v>365</v>
      </c>
      <c r="B156" s="16" t="s">
        <v>286</v>
      </c>
      <c r="C156" s="16" t="n">
        <v>193</v>
      </c>
      <c r="D156" s="16" t="s">
        <v>290</v>
      </c>
      <c r="E156" s="16" t="n">
        <v>193</v>
      </c>
      <c r="F156" s="16" t="n">
        <v>0</v>
      </c>
      <c r="G156" s="16" t="s">
        <v>647</v>
      </c>
    </row>
    <row r="157" customFormat="false" ht="15" hidden="false" customHeight="false" outlineLevel="0" collapsed="false">
      <c r="A157" s="16" t="s">
        <v>365</v>
      </c>
      <c r="B157" s="16" t="s">
        <v>290</v>
      </c>
      <c r="C157" s="16" t="n">
        <v>193</v>
      </c>
      <c r="D157" s="16" t="s">
        <v>302</v>
      </c>
      <c r="E157" s="16" t="n">
        <v>193</v>
      </c>
      <c r="F157" s="16" t="n">
        <v>0</v>
      </c>
      <c r="G157" s="16" t="s">
        <v>647</v>
      </c>
    </row>
    <row r="158" customFormat="false" ht="15" hidden="false" customHeight="false" outlineLevel="0" collapsed="false">
      <c r="A158" s="16" t="s">
        <v>365</v>
      </c>
      <c r="B158" s="16" t="s">
        <v>302</v>
      </c>
      <c r="C158" s="16" t="n">
        <v>193</v>
      </c>
      <c r="D158" s="16" t="s">
        <v>310</v>
      </c>
      <c r="E158" s="16" t="n">
        <v>193</v>
      </c>
      <c r="F158" s="16" t="n">
        <v>0</v>
      </c>
      <c r="G158" s="16" t="s">
        <v>647</v>
      </c>
    </row>
    <row r="159" customFormat="false" ht="15" hidden="false" customHeight="false" outlineLevel="0" collapsed="false">
      <c r="A159" s="16" t="s">
        <v>365</v>
      </c>
      <c r="B159" s="16" t="s">
        <v>310</v>
      </c>
      <c r="C159" s="16" t="n">
        <v>193</v>
      </c>
      <c r="D159" s="16" t="s">
        <v>322</v>
      </c>
      <c r="E159" s="16" t="n">
        <v>193</v>
      </c>
      <c r="F159" s="16" t="n">
        <v>0</v>
      </c>
      <c r="G159" s="16" t="s">
        <v>647</v>
      </c>
    </row>
    <row r="160" customFormat="false" ht="15" hidden="false" customHeight="false" outlineLevel="0" collapsed="false">
      <c r="A160" s="16" t="s">
        <v>365</v>
      </c>
      <c r="B160" s="16" t="s">
        <v>322</v>
      </c>
      <c r="C160" s="16" t="n">
        <v>193</v>
      </c>
      <c r="D160" s="16" t="s">
        <v>325</v>
      </c>
      <c r="E160" s="16" t="n">
        <v>193</v>
      </c>
      <c r="F160" s="16" t="n">
        <v>0</v>
      </c>
      <c r="G160" s="16" t="s">
        <v>647</v>
      </c>
    </row>
    <row r="161" customFormat="false" ht="15" hidden="false" customHeight="false" outlineLevel="0" collapsed="false">
      <c r="A161" s="16" t="s">
        <v>365</v>
      </c>
      <c r="B161" s="16" t="s">
        <v>325</v>
      </c>
      <c r="C161" s="16" t="n">
        <v>193</v>
      </c>
      <c r="D161" s="16" t="s">
        <v>351</v>
      </c>
      <c r="E161" s="16" t="n">
        <v>193</v>
      </c>
      <c r="F161" s="16" t="n">
        <v>0</v>
      </c>
      <c r="G161" s="16" t="s">
        <v>647</v>
      </c>
    </row>
    <row r="162" customFormat="false" ht="15" hidden="false" customHeight="false" outlineLevel="0" collapsed="false">
      <c r="A162" s="16" t="s">
        <v>365</v>
      </c>
      <c r="B162" s="16" t="s">
        <v>27</v>
      </c>
      <c r="C162" s="16" t="n">
        <v>196</v>
      </c>
      <c r="D162" s="16" t="s">
        <v>178</v>
      </c>
      <c r="E162" s="16" t="n">
        <v>196</v>
      </c>
      <c r="F162" s="16" t="n">
        <v>0</v>
      </c>
      <c r="G162" s="16" t="s">
        <v>647</v>
      </c>
    </row>
    <row r="163" customFormat="false" ht="15" hidden="false" customHeight="false" outlineLevel="0" collapsed="false">
      <c r="A163" s="16" t="s">
        <v>365</v>
      </c>
      <c r="B163" s="16" t="s">
        <v>178</v>
      </c>
      <c r="C163" s="16" t="n">
        <v>196</v>
      </c>
      <c r="D163" s="16" t="s">
        <v>225</v>
      </c>
      <c r="E163" s="16" t="n">
        <v>196</v>
      </c>
      <c r="F163" s="16" t="n">
        <v>0</v>
      </c>
      <c r="G163" s="16" t="s">
        <v>647</v>
      </c>
    </row>
    <row r="164" customFormat="false" ht="15" hidden="false" customHeight="false" outlineLevel="0" collapsed="false">
      <c r="A164" s="16" t="s">
        <v>365</v>
      </c>
      <c r="B164" s="16" t="s">
        <v>225</v>
      </c>
      <c r="C164" s="16" t="n">
        <v>196</v>
      </c>
      <c r="D164" s="16" t="s">
        <v>257</v>
      </c>
      <c r="E164" s="16" t="n">
        <v>196</v>
      </c>
      <c r="F164" s="16" t="n">
        <v>0</v>
      </c>
      <c r="G164" s="16" t="s">
        <v>647</v>
      </c>
    </row>
    <row r="165" customFormat="false" ht="15" hidden="false" customHeight="false" outlineLevel="0" collapsed="false">
      <c r="A165" s="16" t="s">
        <v>365</v>
      </c>
      <c r="B165" s="16" t="s">
        <v>257</v>
      </c>
      <c r="C165" s="16" t="n">
        <v>196</v>
      </c>
      <c r="D165" s="16" t="s">
        <v>266</v>
      </c>
      <c r="E165" s="16" t="n">
        <v>196</v>
      </c>
      <c r="F165" s="16" t="n">
        <v>0</v>
      </c>
      <c r="G165" s="16" t="s">
        <v>647</v>
      </c>
    </row>
    <row r="166" customFormat="false" ht="15" hidden="false" customHeight="false" outlineLevel="0" collapsed="false">
      <c r="A166" s="16" t="s">
        <v>365</v>
      </c>
      <c r="B166" s="16" t="s">
        <v>266</v>
      </c>
      <c r="C166" s="16" t="n">
        <v>196</v>
      </c>
      <c r="D166" s="16" t="s">
        <v>273</v>
      </c>
      <c r="E166" s="16" t="n">
        <v>196</v>
      </c>
      <c r="F166" s="16" t="n">
        <v>0</v>
      </c>
      <c r="G166" s="16" t="s">
        <v>647</v>
      </c>
    </row>
    <row r="167" customFormat="false" ht="15" hidden="false" customHeight="false" outlineLevel="0" collapsed="false">
      <c r="A167" s="16" t="s">
        <v>365</v>
      </c>
      <c r="B167" s="16" t="s">
        <v>273</v>
      </c>
      <c r="C167" s="16" t="n">
        <v>196</v>
      </c>
      <c r="D167" s="16" t="s">
        <v>276</v>
      </c>
      <c r="E167" s="16" t="n">
        <v>196</v>
      </c>
      <c r="F167" s="16" t="n">
        <v>0</v>
      </c>
      <c r="G167" s="16" t="s">
        <v>647</v>
      </c>
    </row>
    <row r="168" customFormat="false" ht="15" hidden="false" customHeight="false" outlineLevel="0" collapsed="false">
      <c r="A168" s="16" t="s">
        <v>365</v>
      </c>
      <c r="B168" s="16" t="s">
        <v>276</v>
      </c>
      <c r="C168" s="16" t="n">
        <v>196</v>
      </c>
      <c r="D168" s="16" t="s">
        <v>282</v>
      </c>
      <c r="E168" s="16" t="n">
        <v>196</v>
      </c>
      <c r="F168" s="16" t="n">
        <v>0</v>
      </c>
      <c r="G168" s="16" t="s">
        <v>647</v>
      </c>
    </row>
    <row r="169" customFormat="false" ht="15" hidden="false" customHeight="false" outlineLevel="0" collapsed="false">
      <c r="A169" s="16" t="s">
        <v>365</v>
      </c>
      <c r="B169" s="16" t="s">
        <v>282</v>
      </c>
      <c r="C169" s="16" t="n">
        <v>196</v>
      </c>
      <c r="D169" s="16" t="s">
        <v>295</v>
      </c>
      <c r="E169" s="16" t="n">
        <v>196</v>
      </c>
      <c r="F169" s="16" t="n">
        <v>0</v>
      </c>
      <c r="G169" s="16" t="s">
        <v>647</v>
      </c>
    </row>
    <row r="170" customFormat="false" ht="15" hidden="false" customHeight="false" outlineLevel="0" collapsed="false">
      <c r="A170" s="16" t="s">
        <v>365</v>
      </c>
      <c r="B170" s="16" t="s">
        <v>295</v>
      </c>
      <c r="C170" s="16" t="n">
        <v>196</v>
      </c>
      <c r="D170" s="16" t="s">
        <v>304</v>
      </c>
      <c r="E170" s="16" t="n">
        <v>196</v>
      </c>
      <c r="F170" s="16" t="n">
        <v>0</v>
      </c>
      <c r="G170" s="16" t="s">
        <v>647</v>
      </c>
    </row>
    <row r="171" customFormat="false" ht="15" hidden="false" customHeight="false" outlineLevel="0" collapsed="false">
      <c r="A171" s="16" t="s">
        <v>365</v>
      </c>
      <c r="B171" s="16" t="s">
        <v>43</v>
      </c>
      <c r="C171" s="16" t="n">
        <v>198</v>
      </c>
      <c r="D171" s="16" t="s">
        <v>151</v>
      </c>
      <c r="E171" s="16" t="n">
        <v>198</v>
      </c>
      <c r="F171" s="16" t="n">
        <v>0</v>
      </c>
      <c r="G171" s="16" t="s">
        <v>647</v>
      </c>
    </row>
    <row r="172" customFormat="false" ht="15" hidden="false" customHeight="false" outlineLevel="0" collapsed="false">
      <c r="A172" s="16" t="s">
        <v>365</v>
      </c>
      <c r="B172" s="16" t="s">
        <v>151</v>
      </c>
      <c r="C172" s="16" t="n">
        <v>198</v>
      </c>
      <c r="D172" s="16" t="s">
        <v>260</v>
      </c>
      <c r="E172" s="16" t="n">
        <v>198</v>
      </c>
      <c r="F172" s="16" t="n">
        <v>0</v>
      </c>
      <c r="G172" s="16" t="s">
        <v>647</v>
      </c>
    </row>
    <row r="173" customFormat="false" ht="15" hidden="false" customHeight="false" outlineLevel="0" collapsed="false">
      <c r="A173" s="16" t="s">
        <v>365</v>
      </c>
      <c r="B173" s="16" t="s">
        <v>260</v>
      </c>
      <c r="C173" s="16" t="n">
        <v>198</v>
      </c>
      <c r="D173" s="16" t="s">
        <v>263</v>
      </c>
      <c r="E173" s="16" t="n">
        <v>198</v>
      </c>
      <c r="F173" s="16" t="n">
        <v>0</v>
      </c>
      <c r="G173" s="16" t="s">
        <v>647</v>
      </c>
    </row>
    <row r="174" customFormat="false" ht="15" hidden="false" customHeight="false" outlineLevel="0" collapsed="false">
      <c r="A174" s="16" t="s">
        <v>365</v>
      </c>
      <c r="B174" s="16" t="s">
        <v>263</v>
      </c>
      <c r="C174" s="16" t="n">
        <v>198</v>
      </c>
      <c r="D174" s="16" t="s">
        <v>270</v>
      </c>
      <c r="E174" s="16" t="n">
        <v>198</v>
      </c>
      <c r="F174" s="16" t="n">
        <v>0</v>
      </c>
      <c r="G174" s="16" t="s">
        <v>647</v>
      </c>
    </row>
    <row r="175" customFormat="false" ht="15" hidden="false" customHeight="false" outlineLevel="0" collapsed="false">
      <c r="A175" s="16" t="s">
        <v>365</v>
      </c>
      <c r="B175" s="16" t="s">
        <v>270</v>
      </c>
      <c r="C175" s="16" t="n">
        <v>198</v>
      </c>
      <c r="D175" s="16" t="s">
        <v>313</v>
      </c>
      <c r="E175" s="16" t="n">
        <v>198</v>
      </c>
      <c r="F175" s="16" t="n">
        <v>0</v>
      </c>
      <c r="G175" s="16" t="s">
        <v>647</v>
      </c>
    </row>
    <row r="176" customFormat="false" ht="15" hidden="false" customHeight="false" outlineLevel="0" collapsed="false">
      <c r="A176" s="16" t="s">
        <v>366</v>
      </c>
      <c r="B176" s="16" t="s">
        <v>209</v>
      </c>
      <c r="C176" s="16" t="n">
        <v>83</v>
      </c>
      <c r="D176" s="16" t="s">
        <v>228</v>
      </c>
      <c r="E176" s="16" t="n">
        <v>83</v>
      </c>
      <c r="F176" s="16" t="n">
        <v>0</v>
      </c>
      <c r="G176" s="16" t="s">
        <v>647</v>
      </c>
    </row>
    <row r="177" customFormat="false" ht="15" hidden="false" customHeight="false" outlineLevel="0" collapsed="false">
      <c r="A177" s="16" t="s">
        <v>366</v>
      </c>
      <c r="B177" s="16" t="s">
        <v>228</v>
      </c>
      <c r="C177" s="16" t="n">
        <v>83</v>
      </c>
      <c r="D177" s="16" t="s">
        <v>245</v>
      </c>
      <c r="E177" s="16" t="n">
        <v>83</v>
      </c>
      <c r="F177" s="16" t="n">
        <v>0</v>
      </c>
      <c r="G177" s="16" t="s">
        <v>647</v>
      </c>
    </row>
    <row r="178" customFormat="false" ht="15" hidden="false" customHeight="false" outlineLevel="0" collapsed="false">
      <c r="A178" s="16" t="s">
        <v>366</v>
      </c>
      <c r="B178" s="16" t="s">
        <v>245</v>
      </c>
      <c r="C178" s="16" t="n">
        <v>83</v>
      </c>
      <c r="D178" s="16" t="s">
        <v>233</v>
      </c>
      <c r="E178" s="16" t="n">
        <v>84</v>
      </c>
      <c r="F178" s="16" t="n">
        <v>1</v>
      </c>
      <c r="G178" s="16"/>
    </row>
    <row r="179" customFormat="false" ht="15" hidden="false" customHeight="false" outlineLevel="0" collapsed="false">
      <c r="A179" s="16" t="s">
        <v>366</v>
      </c>
      <c r="B179" s="16" t="s">
        <v>233</v>
      </c>
      <c r="C179" s="16" t="n">
        <v>84</v>
      </c>
      <c r="D179" s="16" t="s">
        <v>238</v>
      </c>
      <c r="E179" s="16" t="n">
        <v>84</v>
      </c>
      <c r="F179" s="16" t="n">
        <v>0</v>
      </c>
      <c r="G179" s="16" t="s">
        <v>647</v>
      </c>
    </row>
    <row r="180" customFormat="false" ht="15" hidden="false" customHeight="false" outlineLevel="0" collapsed="false">
      <c r="A180" s="16" t="s">
        <v>366</v>
      </c>
      <c r="B180" s="16" t="s">
        <v>238</v>
      </c>
      <c r="C180" s="16" t="n">
        <v>84</v>
      </c>
      <c r="D180" s="16" t="s">
        <v>345</v>
      </c>
      <c r="E180" s="16" t="n">
        <v>84</v>
      </c>
      <c r="F180" s="16" t="n">
        <v>0</v>
      </c>
      <c r="G180" s="16" t="s">
        <v>647</v>
      </c>
    </row>
    <row r="181" customFormat="false" ht="15" hidden="false" customHeight="false" outlineLevel="0" collapsed="false">
      <c r="A181" s="16" t="s">
        <v>366</v>
      </c>
      <c r="B181" s="16" t="s">
        <v>345</v>
      </c>
      <c r="C181" s="16" t="n">
        <v>84</v>
      </c>
      <c r="D181" s="16" t="s">
        <v>192</v>
      </c>
      <c r="E181" s="16" t="n">
        <v>85</v>
      </c>
      <c r="F181" s="16" t="n">
        <v>1</v>
      </c>
      <c r="G181" s="16"/>
    </row>
    <row r="182" customFormat="false" ht="15" hidden="false" customHeight="false" outlineLevel="0" collapsed="false">
      <c r="A182" s="16" t="s">
        <v>366</v>
      </c>
      <c r="B182" s="16" t="s">
        <v>192</v>
      </c>
      <c r="C182" s="16" t="n">
        <v>85</v>
      </c>
      <c r="D182" s="16" t="s">
        <v>187</v>
      </c>
      <c r="E182" s="16" t="n">
        <v>86</v>
      </c>
      <c r="F182" s="16" t="n">
        <v>1</v>
      </c>
      <c r="G182" s="16"/>
    </row>
    <row r="183" customFormat="false" ht="15" hidden="false" customHeight="false" outlineLevel="0" collapsed="false">
      <c r="A183" s="16" t="s">
        <v>366</v>
      </c>
      <c r="B183" s="16" t="s">
        <v>187</v>
      </c>
      <c r="C183" s="16" t="n">
        <v>86</v>
      </c>
      <c r="D183" s="16" t="s">
        <v>339</v>
      </c>
      <c r="E183" s="16" t="n">
        <v>86</v>
      </c>
      <c r="F183" s="16" t="n">
        <v>0</v>
      </c>
      <c r="G183" s="16" t="s">
        <v>647</v>
      </c>
    </row>
    <row r="184" customFormat="false" ht="15" hidden="false" customHeight="false" outlineLevel="0" collapsed="false">
      <c r="A184" s="16" t="s">
        <v>366</v>
      </c>
      <c r="B184" s="16" t="s">
        <v>339</v>
      </c>
      <c r="C184" s="16" t="n">
        <v>86</v>
      </c>
      <c r="D184" s="16" t="s">
        <v>342</v>
      </c>
      <c r="E184" s="16" t="n">
        <v>86</v>
      </c>
      <c r="F184" s="16" t="n">
        <v>0</v>
      </c>
      <c r="G184" s="16" t="s">
        <v>647</v>
      </c>
    </row>
    <row r="185" customFormat="false" ht="15" hidden="false" customHeight="false" outlineLevel="0" collapsed="false">
      <c r="A185" s="16" t="s">
        <v>366</v>
      </c>
      <c r="B185" s="16" t="s">
        <v>342</v>
      </c>
      <c r="C185" s="16" t="n">
        <v>86</v>
      </c>
      <c r="D185" s="16" t="s">
        <v>358</v>
      </c>
      <c r="E185" s="16" t="n">
        <v>86</v>
      </c>
      <c r="F185" s="16" t="n">
        <v>0</v>
      </c>
      <c r="G185" s="16" t="s">
        <v>647</v>
      </c>
    </row>
    <row r="186" customFormat="false" ht="15" hidden="false" customHeight="false" outlineLevel="0" collapsed="false">
      <c r="A186" s="16" t="s">
        <v>366</v>
      </c>
      <c r="B186" s="16" t="s">
        <v>104</v>
      </c>
      <c r="C186" s="16" t="n">
        <v>88</v>
      </c>
      <c r="D186" s="16" t="s">
        <v>122</v>
      </c>
      <c r="E186" s="16" t="n">
        <v>89</v>
      </c>
      <c r="F186" s="16" t="n">
        <v>1</v>
      </c>
      <c r="G186" s="16"/>
    </row>
    <row r="187" customFormat="false" ht="15" hidden="false" customHeight="false" outlineLevel="0" collapsed="false">
      <c r="A187" s="16" t="s">
        <v>366</v>
      </c>
      <c r="B187" s="16" t="s">
        <v>122</v>
      </c>
      <c r="C187" s="16" t="n">
        <v>89</v>
      </c>
      <c r="D187" s="16" t="s">
        <v>97</v>
      </c>
      <c r="E187" s="16" t="n">
        <v>90</v>
      </c>
      <c r="F187" s="16" t="n">
        <v>1</v>
      </c>
      <c r="G187" s="16"/>
    </row>
    <row r="188" customFormat="false" ht="15" hidden="false" customHeight="false" outlineLevel="0" collapsed="false">
      <c r="A188" s="16" t="s">
        <v>366</v>
      </c>
      <c r="B188" s="16" t="s">
        <v>97</v>
      </c>
      <c r="C188" s="16" t="n">
        <v>90</v>
      </c>
      <c r="D188" s="16" t="s">
        <v>112</v>
      </c>
      <c r="E188" s="16" t="n">
        <v>91</v>
      </c>
      <c r="F188" s="16" t="n">
        <v>1</v>
      </c>
      <c r="G188" s="16"/>
    </row>
    <row r="189" customFormat="false" ht="15" hidden="false" customHeight="false" outlineLevel="0" collapsed="false">
      <c r="A189" s="16" t="s">
        <v>366</v>
      </c>
      <c r="B189" s="16" t="s">
        <v>112</v>
      </c>
      <c r="C189" s="16" t="n">
        <v>91</v>
      </c>
      <c r="D189" s="16" t="s">
        <v>115</v>
      </c>
      <c r="E189" s="16" t="n">
        <v>91</v>
      </c>
      <c r="F189" s="16" t="n">
        <v>0</v>
      </c>
      <c r="G189" s="16" t="s">
        <v>647</v>
      </c>
    </row>
    <row r="190" customFormat="false" ht="15" hidden="false" customHeight="false" outlineLevel="0" collapsed="false">
      <c r="A190" s="16" t="s">
        <v>366</v>
      </c>
      <c r="B190" s="16" t="s">
        <v>115</v>
      </c>
      <c r="C190" s="16" t="n">
        <v>91</v>
      </c>
      <c r="D190" s="16" t="s">
        <v>129</v>
      </c>
      <c r="E190" s="16" t="n">
        <v>91</v>
      </c>
      <c r="F190" s="16" t="n">
        <v>0</v>
      </c>
      <c r="G190" s="16" t="s">
        <v>647</v>
      </c>
    </row>
    <row r="191" customFormat="false" ht="15" hidden="false" customHeight="false" outlineLevel="0" collapsed="false">
      <c r="A191" s="16" t="s">
        <v>366</v>
      </c>
      <c r="B191" s="16" t="s">
        <v>129</v>
      </c>
      <c r="C191" s="16" t="n">
        <v>91</v>
      </c>
      <c r="D191" s="16" t="s">
        <v>162</v>
      </c>
      <c r="E191" s="16" t="n">
        <v>92</v>
      </c>
      <c r="F191" s="16" t="n">
        <v>1</v>
      </c>
      <c r="G191" s="16"/>
    </row>
    <row r="192" customFormat="false" ht="15" hidden="false" customHeight="false" outlineLevel="0" collapsed="false">
      <c r="A192" s="16" t="s">
        <v>366</v>
      </c>
      <c r="B192" s="16" t="s">
        <v>162</v>
      </c>
      <c r="C192" s="16" t="n">
        <v>92</v>
      </c>
      <c r="D192" s="16" t="s">
        <v>189</v>
      </c>
      <c r="E192" s="16" t="n">
        <v>92</v>
      </c>
      <c r="F192" s="16" t="n">
        <v>0</v>
      </c>
      <c r="G192" s="16" t="s">
        <v>647</v>
      </c>
    </row>
    <row r="193" customFormat="false" ht="15" hidden="false" customHeight="false" outlineLevel="0" collapsed="false">
      <c r="A193" s="16" t="s">
        <v>366</v>
      </c>
      <c r="B193" s="16" t="s">
        <v>189</v>
      </c>
      <c r="C193" s="16" t="n">
        <v>92</v>
      </c>
      <c r="D193" s="16" t="s">
        <v>199</v>
      </c>
      <c r="E193" s="16" t="n">
        <v>92</v>
      </c>
      <c r="F193" s="16" t="n">
        <v>0</v>
      </c>
      <c r="G193" s="16" t="s">
        <v>647</v>
      </c>
    </row>
    <row r="194" customFormat="false" ht="15" hidden="false" customHeight="false" outlineLevel="0" collapsed="false">
      <c r="A194" s="16" t="s">
        <v>366</v>
      </c>
      <c r="B194" s="16" t="s">
        <v>199</v>
      </c>
      <c r="C194" s="16" t="n">
        <v>92</v>
      </c>
      <c r="D194" s="16" t="s">
        <v>335</v>
      </c>
      <c r="E194" s="16" t="n">
        <v>92</v>
      </c>
      <c r="F194" s="16" t="n">
        <v>0</v>
      </c>
      <c r="G194" s="16" t="s">
        <v>647</v>
      </c>
    </row>
    <row r="195" customFormat="false" ht="15" hidden="false" customHeight="false" outlineLevel="0" collapsed="false">
      <c r="A195" s="16" t="s">
        <v>366</v>
      </c>
      <c r="B195" s="16" t="s">
        <v>335</v>
      </c>
      <c r="C195" s="16" t="n">
        <v>92</v>
      </c>
      <c r="D195" s="16" t="s">
        <v>109</v>
      </c>
      <c r="E195" s="16" t="n">
        <v>93</v>
      </c>
      <c r="F195" s="16" t="n">
        <v>1</v>
      </c>
      <c r="G195" s="16"/>
    </row>
    <row r="196" customFormat="false" ht="15" hidden="false" customHeight="false" outlineLevel="0" collapsed="false">
      <c r="A196" s="16" t="s">
        <v>366</v>
      </c>
      <c r="B196" s="16" t="s">
        <v>109</v>
      </c>
      <c r="C196" s="16" t="n">
        <v>93</v>
      </c>
      <c r="D196" s="16" t="s">
        <v>148</v>
      </c>
      <c r="E196" s="16" t="n">
        <v>93</v>
      </c>
      <c r="F196" s="16" t="n">
        <v>0</v>
      </c>
      <c r="G196" s="16" t="s">
        <v>647</v>
      </c>
    </row>
    <row r="197" customFormat="false" ht="15" hidden="false" customHeight="false" outlineLevel="0" collapsed="false">
      <c r="A197" s="16" t="s">
        <v>366</v>
      </c>
      <c r="B197" s="16" t="s">
        <v>148</v>
      </c>
      <c r="C197" s="16" t="n">
        <v>93</v>
      </c>
      <c r="D197" s="16" t="s">
        <v>230</v>
      </c>
      <c r="E197" s="16" t="n">
        <v>94</v>
      </c>
      <c r="F197" s="16" t="n">
        <v>1</v>
      </c>
      <c r="G197" s="16"/>
    </row>
    <row r="198" customFormat="false" ht="15" hidden="false" customHeight="false" outlineLevel="0" collapsed="false">
      <c r="A198" s="16" t="s">
        <v>366</v>
      </c>
      <c r="B198" s="16" t="s">
        <v>230</v>
      </c>
      <c r="C198" s="16" t="n">
        <v>94</v>
      </c>
      <c r="D198" s="16" t="s">
        <v>236</v>
      </c>
      <c r="E198" s="16" t="n">
        <v>94</v>
      </c>
      <c r="F198" s="16" t="n">
        <v>0</v>
      </c>
      <c r="G198" s="16" t="s">
        <v>647</v>
      </c>
    </row>
    <row r="199" customFormat="false" ht="15" hidden="false" customHeight="false" outlineLevel="0" collapsed="false">
      <c r="A199" s="16" t="s">
        <v>366</v>
      </c>
      <c r="B199" s="16" t="s">
        <v>236</v>
      </c>
      <c r="C199" s="16" t="n">
        <v>94</v>
      </c>
      <c r="D199" s="16" t="s">
        <v>348</v>
      </c>
      <c r="E199" s="16" t="n">
        <v>94</v>
      </c>
      <c r="F199" s="16" t="n">
        <v>0</v>
      </c>
      <c r="G199" s="16" t="s">
        <v>647</v>
      </c>
    </row>
    <row r="200" customFormat="false" ht="15" hidden="false" customHeight="false" outlineLevel="0" collapsed="false">
      <c r="A200" s="16" t="s">
        <v>366</v>
      </c>
      <c r="B200" s="16" t="s">
        <v>348</v>
      </c>
      <c r="C200" s="16" t="n">
        <v>94</v>
      </c>
      <c r="D200" s="16" t="s">
        <v>51</v>
      </c>
      <c r="E200" s="16" t="n">
        <v>95</v>
      </c>
      <c r="F200" s="16" t="n">
        <v>1</v>
      </c>
      <c r="G200" s="16"/>
    </row>
    <row r="201" customFormat="false" ht="15" hidden="false" customHeight="false" outlineLevel="0" collapsed="false">
      <c r="A201" s="16" t="s">
        <v>366</v>
      </c>
      <c r="B201" s="16" t="s">
        <v>51</v>
      </c>
      <c r="C201" s="16" t="n">
        <v>95</v>
      </c>
      <c r="D201" s="16" t="s">
        <v>90</v>
      </c>
      <c r="E201" s="16" t="n">
        <v>95</v>
      </c>
      <c r="F201" s="16" t="n">
        <v>0</v>
      </c>
      <c r="G201" s="16" t="s">
        <v>647</v>
      </c>
    </row>
    <row r="202" customFormat="false" ht="15" hidden="false" customHeight="false" outlineLevel="0" collapsed="false">
      <c r="A202" s="16" t="s">
        <v>366</v>
      </c>
      <c r="B202" s="16" t="s">
        <v>90</v>
      </c>
      <c r="C202" s="16" t="n">
        <v>95</v>
      </c>
      <c r="D202" s="16" t="s">
        <v>222</v>
      </c>
      <c r="E202" s="16" t="n">
        <v>95</v>
      </c>
      <c r="F202" s="16" t="n">
        <v>0</v>
      </c>
      <c r="G202" s="16" t="s">
        <v>647</v>
      </c>
    </row>
    <row r="203" customFormat="false" ht="15" hidden="false" customHeight="false" outlineLevel="0" collapsed="false">
      <c r="A203" s="16" t="s">
        <v>366</v>
      </c>
      <c r="B203" s="16" t="s">
        <v>222</v>
      </c>
      <c r="C203" s="16" t="n">
        <v>95</v>
      </c>
      <c r="D203" s="16" t="s">
        <v>100</v>
      </c>
      <c r="E203" s="16" t="n">
        <v>96</v>
      </c>
      <c r="F203" s="16" t="n">
        <v>1</v>
      </c>
      <c r="G203" s="16"/>
    </row>
    <row r="204" customFormat="false" ht="15" hidden="false" customHeight="false" outlineLevel="0" collapsed="false">
      <c r="A204" s="16" t="s">
        <v>366</v>
      </c>
      <c r="B204" s="16" t="s">
        <v>100</v>
      </c>
      <c r="C204" s="16" t="n">
        <v>96</v>
      </c>
      <c r="D204" s="16" t="s">
        <v>118</v>
      </c>
      <c r="E204" s="16" t="n">
        <v>96</v>
      </c>
      <c r="F204" s="16" t="n">
        <v>0</v>
      </c>
      <c r="G204" s="16" t="s">
        <v>647</v>
      </c>
    </row>
    <row r="205" customFormat="false" ht="15" hidden="false" customHeight="false" outlineLevel="0" collapsed="false">
      <c r="A205" s="16" t="s">
        <v>366</v>
      </c>
      <c r="B205" s="16" t="s">
        <v>118</v>
      </c>
      <c r="C205" s="16" t="n">
        <v>96</v>
      </c>
      <c r="D205" s="16" t="s">
        <v>181</v>
      </c>
      <c r="E205" s="16" t="n">
        <v>96</v>
      </c>
      <c r="F205" s="16" t="n">
        <v>0</v>
      </c>
      <c r="G205" s="16" t="s">
        <v>647</v>
      </c>
    </row>
    <row r="206" customFormat="false" ht="15" hidden="false" customHeight="false" outlineLevel="0" collapsed="false">
      <c r="A206" s="16" t="s">
        <v>366</v>
      </c>
      <c r="B206" s="16" t="s">
        <v>181</v>
      </c>
      <c r="C206" s="16" t="n">
        <v>96</v>
      </c>
      <c r="D206" s="16" t="s">
        <v>216</v>
      </c>
      <c r="E206" s="16" t="n">
        <v>96</v>
      </c>
      <c r="F206" s="16" t="n">
        <v>0</v>
      </c>
      <c r="G206" s="16" t="s">
        <v>647</v>
      </c>
    </row>
    <row r="207" customFormat="false" ht="15" hidden="false" customHeight="false" outlineLevel="0" collapsed="false">
      <c r="A207" s="16" t="s">
        <v>366</v>
      </c>
      <c r="B207" s="16" t="s">
        <v>216</v>
      </c>
      <c r="C207" s="16" t="n">
        <v>96</v>
      </c>
      <c r="D207" s="16" t="s">
        <v>251</v>
      </c>
      <c r="E207" s="16" t="n">
        <v>96</v>
      </c>
      <c r="F207" s="16" t="n">
        <v>0</v>
      </c>
      <c r="G207" s="16" t="s">
        <v>647</v>
      </c>
    </row>
    <row r="208" customFormat="false" ht="15" hidden="false" customHeight="false" outlineLevel="0" collapsed="false">
      <c r="A208" s="16" t="s">
        <v>366</v>
      </c>
      <c r="B208" s="16" t="s">
        <v>251</v>
      </c>
      <c r="C208" s="16" t="n">
        <v>96</v>
      </c>
      <c r="D208" s="16" t="s">
        <v>59</v>
      </c>
      <c r="E208" s="16" t="n">
        <v>97</v>
      </c>
      <c r="F208" s="16" t="n">
        <v>1</v>
      </c>
      <c r="G208" s="16"/>
    </row>
    <row r="209" customFormat="false" ht="15" hidden="false" customHeight="false" outlineLevel="0" collapsed="false">
      <c r="A209" s="16" t="s">
        <v>366</v>
      </c>
      <c r="B209" s="16" t="s">
        <v>59</v>
      </c>
      <c r="C209" s="16" t="n">
        <v>97</v>
      </c>
      <c r="D209" s="16" t="s">
        <v>93</v>
      </c>
      <c r="E209" s="16" t="n">
        <v>97</v>
      </c>
      <c r="F209" s="16" t="n">
        <v>0</v>
      </c>
      <c r="G209" s="16" t="s">
        <v>647</v>
      </c>
    </row>
    <row r="210" customFormat="false" ht="15" hidden="false" customHeight="false" outlineLevel="0" collapsed="false">
      <c r="A210" s="16" t="s">
        <v>366</v>
      </c>
      <c r="B210" s="16" t="s">
        <v>93</v>
      </c>
      <c r="C210" s="16" t="n">
        <v>97</v>
      </c>
      <c r="D210" s="16" t="s">
        <v>31</v>
      </c>
      <c r="E210" s="16" t="n">
        <v>98</v>
      </c>
      <c r="F210" s="16" t="n">
        <v>1</v>
      </c>
      <c r="G210" s="16"/>
    </row>
    <row r="211" customFormat="false" ht="15" hidden="false" customHeight="false" outlineLevel="0" collapsed="false">
      <c r="A211" s="16" t="s">
        <v>366</v>
      </c>
      <c r="B211" s="16" t="s">
        <v>31</v>
      </c>
      <c r="C211" s="16" t="n">
        <v>98</v>
      </c>
      <c r="D211" s="16" t="s">
        <v>47</v>
      </c>
      <c r="E211" s="16" t="n">
        <v>98</v>
      </c>
      <c r="F211" s="16" t="n">
        <v>0</v>
      </c>
      <c r="G211" s="16" t="s">
        <v>647</v>
      </c>
    </row>
    <row r="212" customFormat="false" ht="15" hidden="false" customHeight="false" outlineLevel="0" collapsed="false">
      <c r="A212" s="16" t="s">
        <v>366</v>
      </c>
      <c r="B212" s="16" t="s">
        <v>47</v>
      </c>
      <c r="C212" s="16" t="n">
        <v>98</v>
      </c>
      <c r="D212" s="16" t="s">
        <v>71</v>
      </c>
      <c r="E212" s="16" t="n">
        <v>98</v>
      </c>
      <c r="F212" s="16" t="n">
        <v>0</v>
      </c>
      <c r="G212" s="16" t="s">
        <v>647</v>
      </c>
    </row>
    <row r="213" customFormat="false" ht="15" hidden="false" customHeight="false" outlineLevel="0" collapsed="false">
      <c r="A213" s="16" t="s">
        <v>366</v>
      </c>
      <c r="B213" s="16" t="s">
        <v>71</v>
      </c>
      <c r="C213" s="16" t="n">
        <v>98</v>
      </c>
      <c r="D213" s="16" t="s">
        <v>144</v>
      </c>
      <c r="E213" s="16" t="n">
        <v>98</v>
      </c>
      <c r="F213" s="16" t="n">
        <v>0</v>
      </c>
      <c r="G213" s="16" t="s">
        <v>647</v>
      </c>
    </row>
    <row r="214" customFormat="false" ht="15" hidden="false" customHeight="false" outlineLevel="0" collapsed="false">
      <c r="A214" s="16" t="s">
        <v>366</v>
      </c>
      <c r="B214" s="16" t="s">
        <v>144</v>
      </c>
      <c r="C214" s="16" t="n">
        <v>98</v>
      </c>
      <c r="D214" s="16" t="s">
        <v>166</v>
      </c>
      <c r="E214" s="16" t="n">
        <v>98</v>
      </c>
      <c r="F214" s="16" t="n">
        <v>0</v>
      </c>
      <c r="G214" s="16" t="s">
        <v>647</v>
      </c>
    </row>
    <row r="215" customFormat="false" ht="15" hidden="false" customHeight="false" outlineLevel="0" collapsed="false">
      <c r="A215" s="16" t="s">
        <v>366</v>
      </c>
      <c r="B215" s="16" t="s">
        <v>166</v>
      </c>
      <c r="C215" s="16" t="n">
        <v>98</v>
      </c>
      <c r="D215" s="16" t="s">
        <v>168</v>
      </c>
      <c r="E215" s="16" t="n">
        <v>98</v>
      </c>
      <c r="F215" s="16" t="n">
        <v>0</v>
      </c>
      <c r="G215" s="16" t="s">
        <v>647</v>
      </c>
    </row>
    <row r="216" customFormat="false" ht="15" hidden="false" customHeight="false" outlineLevel="0" collapsed="false">
      <c r="A216" s="16" t="s">
        <v>366</v>
      </c>
      <c r="B216" s="16" t="s">
        <v>168</v>
      </c>
      <c r="C216" s="16" t="n">
        <v>98</v>
      </c>
      <c r="D216" s="16" t="s">
        <v>202</v>
      </c>
      <c r="E216" s="16" t="n">
        <v>98</v>
      </c>
      <c r="F216" s="16" t="n">
        <v>0</v>
      </c>
      <c r="G216" s="16" t="s">
        <v>647</v>
      </c>
    </row>
    <row r="217" customFormat="false" ht="15" hidden="false" customHeight="false" outlineLevel="0" collapsed="false">
      <c r="A217" s="16" t="s">
        <v>366</v>
      </c>
      <c r="B217" s="16" t="s">
        <v>202</v>
      </c>
      <c r="C217" s="16" t="n">
        <v>98</v>
      </c>
      <c r="D217" s="16" t="s">
        <v>219</v>
      </c>
      <c r="E217" s="16" t="n">
        <v>98</v>
      </c>
      <c r="F217" s="16" t="n">
        <v>0</v>
      </c>
      <c r="G217" s="16" t="s">
        <v>647</v>
      </c>
    </row>
    <row r="218" customFormat="false" ht="15" hidden="false" customHeight="false" outlineLevel="0" collapsed="false">
      <c r="A218" s="16" t="s">
        <v>366</v>
      </c>
      <c r="B218" s="16" t="s">
        <v>219</v>
      </c>
      <c r="C218" s="16" t="n">
        <v>98</v>
      </c>
      <c r="D218" s="16" t="s">
        <v>242</v>
      </c>
      <c r="E218" s="16" t="n">
        <v>98</v>
      </c>
      <c r="F218" s="16" t="n">
        <v>0</v>
      </c>
      <c r="G218" s="16" t="s">
        <v>647</v>
      </c>
    </row>
    <row r="219" customFormat="false" ht="15" hidden="false" customHeight="false" outlineLevel="0" collapsed="false">
      <c r="A219" s="16" t="s">
        <v>366</v>
      </c>
      <c r="B219" s="16" t="s">
        <v>242</v>
      </c>
      <c r="C219" s="16" t="n">
        <v>98</v>
      </c>
      <c r="D219" s="16" t="s">
        <v>355</v>
      </c>
      <c r="E219" s="16" t="n">
        <v>98</v>
      </c>
      <c r="F219" s="16" t="n">
        <v>0</v>
      </c>
      <c r="G219" s="16" t="s">
        <v>647</v>
      </c>
    </row>
    <row r="220" customFormat="false" ht="15" hidden="false" customHeight="false" outlineLevel="0" collapsed="false">
      <c r="A220" s="16" t="s">
        <v>366</v>
      </c>
      <c r="B220" s="16" t="s">
        <v>355</v>
      </c>
      <c r="C220" s="16" t="n">
        <v>98</v>
      </c>
      <c r="D220" s="16" t="s">
        <v>63</v>
      </c>
      <c r="E220" s="16" t="n">
        <v>99</v>
      </c>
      <c r="F220" s="16" t="n">
        <v>1</v>
      </c>
      <c r="G220" s="16"/>
    </row>
    <row r="221" customFormat="false" ht="15" hidden="false" customHeight="false" outlineLevel="0" collapsed="false">
      <c r="A221" s="16" t="s">
        <v>366</v>
      </c>
      <c r="B221" s="16" t="s">
        <v>63</v>
      </c>
      <c r="C221" s="16" t="n">
        <v>99</v>
      </c>
      <c r="D221" s="16" t="s">
        <v>35</v>
      </c>
      <c r="E221" s="16" t="n">
        <v>100</v>
      </c>
      <c r="F221" s="16" t="n">
        <v>1</v>
      </c>
      <c r="G221" s="16"/>
    </row>
    <row r="222" customFormat="false" ht="15" hidden="false" customHeight="false" outlineLevel="0" collapsed="false">
      <c r="A222" s="16" t="s">
        <v>366</v>
      </c>
      <c r="B222" s="16" t="s">
        <v>35</v>
      </c>
      <c r="C222" s="16" t="n">
        <v>100</v>
      </c>
      <c r="D222" s="16" t="s">
        <v>67</v>
      </c>
      <c r="E222" s="16" t="n">
        <v>100</v>
      </c>
      <c r="F222" s="16" t="n">
        <v>0</v>
      </c>
      <c r="G222" s="16" t="s">
        <v>647</v>
      </c>
    </row>
    <row r="223" customFormat="false" ht="15" hidden="false" customHeight="false" outlineLevel="0" collapsed="false">
      <c r="A223" s="16" t="s">
        <v>366</v>
      </c>
      <c r="B223" s="16" t="s">
        <v>67</v>
      </c>
      <c r="C223" s="16" t="n">
        <v>100</v>
      </c>
      <c r="D223" s="16" t="s">
        <v>79</v>
      </c>
      <c r="E223" s="16" t="n">
        <v>100</v>
      </c>
      <c r="F223" s="16" t="n">
        <v>0</v>
      </c>
      <c r="G223" s="16" t="s">
        <v>647</v>
      </c>
    </row>
    <row r="224" customFormat="false" ht="15" hidden="false" customHeight="false" outlineLevel="0" collapsed="false">
      <c r="A224" s="16" t="s">
        <v>366</v>
      </c>
      <c r="B224" s="16" t="s">
        <v>79</v>
      </c>
      <c r="C224" s="16" t="n">
        <v>100</v>
      </c>
      <c r="D224" s="16" t="s">
        <v>151</v>
      </c>
      <c r="E224" s="16" t="n">
        <v>100</v>
      </c>
      <c r="F224" s="16" t="n">
        <v>0</v>
      </c>
      <c r="G224" s="16" t="s">
        <v>647</v>
      </c>
    </row>
    <row r="225" customFormat="false" ht="15" hidden="false" customHeight="false" outlineLevel="0" collapsed="false">
      <c r="A225" s="16" t="s">
        <v>366</v>
      </c>
      <c r="B225" s="16" t="s">
        <v>151</v>
      </c>
      <c r="C225" s="16" t="n">
        <v>100</v>
      </c>
      <c r="D225" s="16" t="s">
        <v>159</v>
      </c>
      <c r="E225" s="16" t="n">
        <v>100</v>
      </c>
      <c r="F225" s="16" t="n">
        <v>0</v>
      </c>
      <c r="G225" s="16" t="s">
        <v>647</v>
      </c>
    </row>
    <row r="226" customFormat="false" ht="15" hidden="false" customHeight="false" outlineLevel="0" collapsed="false">
      <c r="A226" s="16" t="s">
        <v>366</v>
      </c>
      <c r="B226" s="16" t="s">
        <v>159</v>
      </c>
      <c r="C226" s="16" t="n">
        <v>100</v>
      </c>
      <c r="D226" s="16" t="s">
        <v>174</v>
      </c>
      <c r="E226" s="16" t="n">
        <v>100</v>
      </c>
      <c r="F226" s="16" t="n">
        <v>0</v>
      </c>
      <c r="G226" s="16" t="s">
        <v>647</v>
      </c>
    </row>
    <row r="227" customFormat="false" ht="15" hidden="false" customHeight="false" outlineLevel="0" collapsed="false">
      <c r="A227" s="16" t="s">
        <v>366</v>
      </c>
      <c r="B227" s="16" t="s">
        <v>174</v>
      </c>
      <c r="C227" s="16" t="n">
        <v>100</v>
      </c>
      <c r="D227" s="16" t="s">
        <v>184</v>
      </c>
      <c r="E227" s="16" t="n">
        <v>100</v>
      </c>
      <c r="F227" s="16" t="n">
        <v>0</v>
      </c>
      <c r="G227" s="16" t="s">
        <v>647</v>
      </c>
    </row>
    <row r="228" customFormat="false" ht="15" hidden="false" customHeight="false" outlineLevel="0" collapsed="false">
      <c r="A228" s="16" t="s">
        <v>366</v>
      </c>
      <c r="B228" s="16" t="s">
        <v>184</v>
      </c>
      <c r="C228" s="16" t="n">
        <v>100</v>
      </c>
      <c r="D228" s="16" t="s">
        <v>213</v>
      </c>
      <c r="E228" s="16" t="n">
        <v>100</v>
      </c>
      <c r="F228" s="16" t="n">
        <v>0</v>
      </c>
      <c r="G228" s="16" t="s">
        <v>647</v>
      </c>
    </row>
    <row r="229" customFormat="false" ht="15" hidden="false" customHeight="false" outlineLevel="0" collapsed="false">
      <c r="A229" s="16" t="s">
        <v>366</v>
      </c>
      <c r="B229" s="16" t="s">
        <v>213</v>
      </c>
      <c r="C229" s="16" t="n">
        <v>100</v>
      </c>
      <c r="D229" s="16" t="s">
        <v>351</v>
      </c>
      <c r="E229" s="16" t="n">
        <v>100</v>
      </c>
      <c r="F229" s="16" t="n">
        <v>0</v>
      </c>
      <c r="G229" s="16" t="s">
        <v>647</v>
      </c>
    </row>
    <row r="230" customFormat="false" ht="15" hidden="false" customHeight="false" outlineLevel="0" collapsed="false">
      <c r="A230" s="16" t="s">
        <v>366</v>
      </c>
      <c r="B230" s="16" t="s">
        <v>351</v>
      </c>
      <c r="C230" s="16" t="n">
        <v>100</v>
      </c>
      <c r="D230" s="16" t="s">
        <v>39</v>
      </c>
      <c r="E230" s="16" t="n">
        <v>101</v>
      </c>
      <c r="F230" s="16" t="n">
        <v>1</v>
      </c>
      <c r="G230" s="16"/>
    </row>
    <row r="231" customFormat="false" ht="15" hidden="false" customHeight="false" outlineLevel="0" collapsed="false">
      <c r="A231" s="16" t="s">
        <v>366</v>
      </c>
      <c r="B231" s="16" t="s">
        <v>39</v>
      </c>
      <c r="C231" s="16" t="n">
        <v>101</v>
      </c>
      <c r="D231" s="16" t="s">
        <v>22</v>
      </c>
      <c r="E231" s="16" t="n">
        <v>102</v>
      </c>
      <c r="F231" s="16" t="n">
        <v>1</v>
      </c>
      <c r="G231" s="16"/>
    </row>
    <row r="232" customFormat="false" ht="15" hidden="false" customHeight="false" outlineLevel="0" collapsed="false">
      <c r="A232" s="16" t="s">
        <v>366</v>
      </c>
      <c r="B232" s="16" t="s">
        <v>22</v>
      </c>
      <c r="C232" s="16" t="n">
        <v>102</v>
      </c>
      <c r="D232" s="16" t="s">
        <v>55</v>
      </c>
      <c r="E232" s="16" t="n">
        <v>102</v>
      </c>
      <c r="F232" s="16" t="n">
        <v>0</v>
      </c>
      <c r="G232" s="16" t="s">
        <v>647</v>
      </c>
    </row>
    <row r="233" customFormat="false" ht="15" hidden="false" customHeight="false" outlineLevel="0" collapsed="false">
      <c r="A233" s="16" t="s">
        <v>366</v>
      </c>
      <c r="B233" s="16" t="s">
        <v>55</v>
      </c>
      <c r="C233" s="16" t="n">
        <v>102</v>
      </c>
      <c r="D233" s="16" t="s">
        <v>155</v>
      </c>
      <c r="E233" s="16" t="n">
        <v>102</v>
      </c>
      <c r="F233" s="16" t="n">
        <v>0</v>
      </c>
      <c r="G233" s="16" t="s">
        <v>647</v>
      </c>
    </row>
    <row r="234" customFormat="false" ht="15" hidden="false" customHeight="false" outlineLevel="0" collapsed="false">
      <c r="A234" s="16" t="s">
        <v>366</v>
      </c>
      <c r="B234" s="16" t="s">
        <v>155</v>
      </c>
      <c r="C234" s="16" t="n">
        <v>102</v>
      </c>
      <c r="D234" s="16" t="s">
        <v>171</v>
      </c>
      <c r="E234" s="16" t="n">
        <v>102</v>
      </c>
      <c r="F234" s="16" t="n">
        <v>0</v>
      </c>
      <c r="G234" s="16" t="s">
        <v>647</v>
      </c>
    </row>
    <row r="235" customFormat="false" ht="15" hidden="false" customHeight="false" outlineLevel="0" collapsed="false">
      <c r="A235" s="16" t="s">
        <v>366</v>
      </c>
      <c r="B235" s="16" t="s">
        <v>171</v>
      </c>
      <c r="C235" s="16" t="n">
        <v>102</v>
      </c>
      <c r="D235" s="16" t="s">
        <v>178</v>
      </c>
      <c r="E235" s="16" t="n">
        <v>102</v>
      </c>
      <c r="F235" s="16" t="n">
        <v>0</v>
      </c>
      <c r="G235" s="16" t="s">
        <v>647</v>
      </c>
    </row>
    <row r="236" customFormat="false" ht="15" hidden="false" customHeight="false" outlineLevel="0" collapsed="false">
      <c r="A236" s="16" t="s">
        <v>366</v>
      </c>
      <c r="B236" s="16" t="s">
        <v>178</v>
      </c>
      <c r="C236" s="16" t="n">
        <v>102</v>
      </c>
      <c r="D236" s="16" t="s">
        <v>126</v>
      </c>
      <c r="E236" s="16" t="n">
        <v>103</v>
      </c>
      <c r="F236" s="16" t="n">
        <v>1</v>
      </c>
      <c r="G236" s="16"/>
    </row>
    <row r="237" customFormat="false" ht="15" hidden="false" customHeight="false" outlineLevel="0" collapsed="false">
      <c r="A237" s="16" t="s">
        <v>366</v>
      </c>
      <c r="B237" s="16" t="s">
        <v>126</v>
      </c>
      <c r="C237" s="16" t="n">
        <v>103</v>
      </c>
      <c r="D237" s="16" t="s">
        <v>195</v>
      </c>
      <c r="E237" s="16" t="n">
        <v>103</v>
      </c>
      <c r="F237" s="16" t="n">
        <v>0</v>
      </c>
      <c r="G237" s="16" t="s">
        <v>647</v>
      </c>
    </row>
    <row r="238" customFormat="false" ht="15" hidden="false" customHeight="false" outlineLevel="0" collapsed="false">
      <c r="A238" s="16" t="s">
        <v>366</v>
      </c>
      <c r="B238" s="16" t="s">
        <v>195</v>
      </c>
      <c r="C238" s="16" t="n">
        <v>103</v>
      </c>
      <c r="D238" s="16" t="s">
        <v>225</v>
      </c>
      <c r="E238" s="16" t="n">
        <v>104</v>
      </c>
      <c r="F238" s="16" t="n">
        <v>1</v>
      </c>
      <c r="G238" s="16"/>
    </row>
    <row r="239" customFormat="false" ht="15" hidden="false" customHeight="false" outlineLevel="0" collapsed="false">
      <c r="A239" s="16" t="s">
        <v>366</v>
      </c>
      <c r="B239" s="16" t="s">
        <v>225</v>
      </c>
      <c r="C239" s="16" t="n">
        <v>104</v>
      </c>
      <c r="D239" s="16" t="s">
        <v>328</v>
      </c>
      <c r="E239" s="16" t="n">
        <v>104</v>
      </c>
      <c r="F239" s="16" t="n">
        <v>0</v>
      </c>
      <c r="G239" s="16" t="s">
        <v>647</v>
      </c>
    </row>
    <row r="240" customFormat="false" ht="15" hidden="false" customHeight="false" outlineLevel="0" collapsed="false">
      <c r="A240" s="16" t="s">
        <v>366</v>
      </c>
      <c r="B240" s="16" t="s">
        <v>328</v>
      </c>
      <c r="C240" s="16" t="n">
        <v>104</v>
      </c>
      <c r="D240" s="16" t="s">
        <v>83</v>
      </c>
      <c r="E240" s="16" t="n">
        <v>105</v>
      </c>
      <c r="F240" s="16" t="n">
        <v>1</v>
      </c>
      <c r="G240" s="16"/>
    </row>
    <row r="241" customFormat="false" ht="15" hidden="false" customHeight="false" outlineLevel="0" collapsed="false">
      <c r="A241" s="16" t="s">
        <v>366</v>
      </c>
      <c r="B241" s="16" t="s">
        <v>83</v>
      </c>
      <c r="C241" s="16" t="n">
        <v>105</v>
      </c>
      <c r="D241" s="16" t="s">
        <v>332</v>
      </c>
      <c r="E241" s="16" t="n">
        <v>105</v>
      </c>
      <c r="F241" s="16" t="n">
        <v>0</v>
      </c>
      <c r="G241" s="16" t="s">
        <v>647</v>
      </c>
    </row>
    <row r="242" customFormat="false" ht="15" hidden="false" customHeight="false" outlineLevel="0" collapsed="false">
      <c r="A242" s="16" t="s">
        <v>366</v>
      </c>
      <c r="B242" s="16" t="s">
        <v>332</v>
      </c>
      <c r="C242" s="16" t="n">
        <v>105</v>
      </c>
      <c r="D242" s="16" t="s">
        <v>205</v>
      </c>
      <c r="E242" s="16" t="n">
        <v>106</v>
      </c>
      <c r="F242" s="16" t="n">
        <v>1</v>
      </c>
      <c r="G242" s="16"/>
    </row>
    <row r="243" customFormat="false" ht="15" hidden="false" customHeight="false" outlineLevel="0" collapsed="false">
      <c r="A243" s="16" t="s">
        <v>366</v>
      </c>
      <c r="B243" s="16" t="s">
        <v>205</v>
      </c>
      <c r="C243" s="16" t="n">
        <v>106</v>
      </c>
      <c r="D243" s="16" t="s">
        <v>27</v>
      </c>
      <c r="E243" s="16" t="n">
        <v>107</v>
      </c>
      <c r="F243" s="16" t="n">
        <v>1</v>
      </c>
      <c r="G243" s="16"/>
    </row>
    <row r="244" customFormat="false" ht="15" hidden="false" customHeight="false" outlineLevel="0" collapsed="false">
      <c r="A244" s="16" t="s">
        <v>366</v>
      </c>
      <c r="B244" s="16" t="s">
        <v>27</v>
      </c>
      <c r="C244" s="16" t="n">
        <v>107</v>
      </c>
      <c r="D244" s="16" t="s">
        <v>43</v>
      </c>
      <c r="E244" s="16" t="n">
        <v>107</v>
      </c>
      <c r="F244" s="16" t="n">
        <v>0</v>
      </c>
      <c r="G244" s="16" t="s">
        <v>647</v>
      </c>
    </row>
    <row r="245" customFormat="false" ht="15" hidden="false" customHeight="false" outlineLevel="0" collapsed="false">
      <c r="A245" s="16" t="s">
        <v>366</v>
      </c>
      <c r="B245" s="16" t="s">
        <v>43</v>
      </c>
      <c r="C245" s="16" t="n">
        <v>107</v>
      </c>
      <c r="D245" s="16" t="s">
        <v>75</v>
      </c>
      <c r="E245" s="16" t="n">
        <v>108</v>
      </c>
      <c r="F245" s="16" t="n">
        <v>1</v>
      </c>
      <c r="G245" s="16"/>
    </row>
    <row r="246" customFormat="false" ht="15" hidden="false" customHeight="false" outlineLevel="0" collapsed="false">
      <c r="A246" s="16" t="s">
        <v>366</v>
      </c>
      <c r="B246" s="16" t="s">
        <v>75</v>
      </c>
      <c r="C246" s="16" t="n">
        <v>108</v>
      </c>
      <c r="D246" s="16" t="s">
        <v>137</v>
      </c>
      <c r="E246" s="16" t="n">
        <v>108</v>
      </c>
      <c r="F246" s="16" t="n">
        <v>0</v>
      </c>
      <c r="G246" s="16" t="s">
        <v>647</v>
      </c>
    </row>
    <row r="247" customFormat="false" ht="15" hidden="false" customHeight="false" outlineLevel="0" collapsed="false">
      <c r="A247" s="16" t="s">
        <v>366</v>
      </c>
      <c r="B247" s="16" t="s">
        <v>310</v>
      </c>
      <c r="C247" s="16" t="n">
        <v>110</v>
      </c>
      <c r="D247" s="16" t="s">
        <v>254</v>
      </c>
      <c r="E247" s="16" t="n">
        <v>111</v>
      </c>
      <c r="F247" s="16" t="n">
        <v>1</v>
      </c>
      <c r="G247" s="16"/>
    </row>
    <row r="248" customFormat="false" ht="15" hidden="false" customHeight="false" outlineLevel="0" collapsed="false">
      <c r="A248" s="16" t="s">
        <v>366</v>
      </c>
      <c r="B248" s="16" t="s">
        <v>254</v>
      </c>
      <c r="C248" s="16" t="n">
        <v>111</v>
      </c>
      <c r="D248" s="16" t="s">
        <v>299</v>
      </c>
      <c r="E248" s="16" t="n">
        <v>111</v>
      </c>
      <c r="F248" s="16" t="n">
        <v>0</v>
      </c>
      <c r="G248" s="16" t="s">
        <v>647</v>
      </c>
    </row>
    <row r="249" customFormat="false" ht="15" hidden="false" customHeight="false" outlineLevel="0" collapsed="false">
      <c r="A249" s="16" t="s">
        <v>366</v>
      </c>
      <c r="B249" s="16" t="s">
        <v>299</v>
      </c>
      <c r="C249" s="16" t="n">
        <v>111</v>
      </c>
      <c r="D249" s="16" t="s">
        <v>87</v>
      </c>
      <c r="E249" s="16" t="n">
        <v>112</v>
      </c>
      <c r="F249" s="16" t="n">
        <v>1</v>
      </c>
      <c r="G249" s="16"/>
    </row>
    <row r="250" customFormat="false" ht="15" hidden="false" customHeight="false" outlineLevel="0" collapsed="false">
      <c r="A250" s="16" t="s">
        <v>366</v>
      </c>
      <c r="B250" s="16" t="s">
        <v>87</v>
      </c>
      <c r="C250" s="16" t="n">
        <v>112</v>
      </c>
      <c r="D250" s="16" t="s">
        <v>140</v>
      </c>
      <c r="E250" s="16" t="n">
        <v>112</v>
      </c>
      <c r="F250" s="16" t="n">
        <v>0</v>
      </c>
      <c r="G250" s="16" t="s">
        <v>647</v>
      </c>
    </row>
    <row r="251" customFormat="false" ht="15" hidden="false" customHeight="false" outlineLevel="0" collapsed="false">
      <c r="A251" s="16" t="s">
        <v>366</v>
      </c>
      <c r="B251" s="16" t="s">
        <v>140</v>
      </c>
      <c r="C251" s="16" t="n">
        <v>112</v>
      </c>
      <c r="D251" s="16" t="s">
        <v>257</v>
      </c>
      <c r="E251" s="16" t="n">
        <v>112</v>
      </c>
      <c r="F251" s="16" t="n">
        <v>0</v>
      </c>
      <c r="G251" s="16" t="s">
        <v>647</v>
      </c>
    </row>
    <row r="252" customFormat="false" ht="15" hidden="false" customHeight="false" outlineLevel="0" collapsed="false">
      <c r="A252" s="16" t="s">
        <v>366</v>
      </c>
      <c r="B252" s="16" t="s">
        <v>257</v>
      </c>
      <c r="C252" s="16" t="n">
        <v>112</v>
      </c>
      <c r="D252" s="16" t="s">
        <v>263</v>
      </c>
      <c r="E252" s="16" t="n">
        <v>112</v>
      </c>
      <c r="F252" s="16" t="n">
        <v>0</v>
      </c>
      <c r="G252" s="16" t="s">
        <v>647</v>
      </c>
    </row>
    <row r="253" customFormat="false" ht="15" hidden="false" customHeight="false" outlineLevel="0" collapsed="false">
      <c r="A253" s="16" t="s">
        <v>366</v>
      </c>
      <c r="B253" s="16" t="s">
        <v>263</v>
      </c>
      <c r="C253" s="16" t="n">
        <v>112</v>
      </c>
      <c r="D253" s="16" t="s">
        <v>133</v>
      </c>
      <c r="E253" s="16" t="n">
        <v>113</v>
      </c>
      <c r="F253" s="16" t="n">
        <v>1</v>
      </c>
      <c r="G253" s="16"/>
    </row>
    <row r="254" customFormat="false" ht="15" hidden="false" customHeight="false" outlineLevel="0" collapsed="false">
      <c r="A254" s="16" t="s">
        <v>366</v>
      </c>
      <c r="B254" s="16" t="s">
        <v>133</v>
      </c>
      <c r="C254" s="16" t="n">
        <v>113</v>
      </c>
      <c r="D254" s="16" t="s">
        <v>320</v>
      </c>
      <c r="E254" s="16" t="n">
        <v>113</v>
      </c>
      <c r="F254" s="16" t="n">
        <v>0</v>
      </c>
      <c r="G254" s="16" t="s">
        <v>647</v>
      </c>
    </row>
    <row r="255" customFormat="false" ht="15" hidden="false" customHeight="false" outlineLevel="0" collapsed="false">
      <c r="A255" s="16" t="s">
        <v>366</v>
      </c>
      <c r="B255" s="16" t="s">
        <v>295</v>
      </c>
      <c r="C255" s="16" t="n">
        <v>115</v>
      </c>
      <c r="D255" s="16" t="s">
        <v>322</v>
      </c>
      <c r="E255" s="16" t="n">
        <v>115</v>
      </c>
      <c r="F255" s="16" t="n">
        <v>0</v>
      </c>
      <c r="G255" s="16" t="s">
        <v>647</v>
      </c>
    </row>
    <row r="256" customFormat="false" ht="15" hidden="false" customHeight="false" outlineLevel="0" collapsed="false">
      <c r="A256" s="16" t="s">
        <v>366</v>
      </c>
      <c r="B256" s="16" t="s">
        <v>322</v>
      </c>
      <c r="C256" s="16" t="n">
        <v>115</v>
      </c>
      <c r="D256" s="16" t="s">
        <v>260</v>
      </c>
      <c r="E256" s="16" t="n">
        <v>116</v>
      </c>
      <c r="F256" s="16" t="n">
        <v>1</v>
      </c>
      <c r="G256" s="16"/>
    </row>
    <row r="257" customFormat="false" ht="15" hidden="false" customHeight="false" outlineLevel="0" collapsed="false">
      <c r="A257" s="16" t="s">
        <v>366</v>
      </c>
      <c r="B257" s="16" t="s">
        <v>260</v>
      </c>
      <c r="C257" s="16" t="n">
        <v>116</v>
      </c>
      <c r="D257" s="16" t="s">
        <v>304</v>
      </c>
      <c r="E257" s="16" t="n">
        <v>116</v>
      </c>
      <c r="F257" s="16" t="n">
        <v>0</v>
      </c>
      <c r="G257" s="16" t="s">
        <v>647</v>
      </c>
    </row>
    <row r="258" customFormat="false" ht="15" hidden="false" customHeight="false" outlineLevel="0" collapsed="false">
      <c r="A258" s="16" t="s">
        <v>366</v>
      </c>
      <c r="B258" s="16" t="s">
        <v>290</v>
      </c>
      <c r="C258" s="16" t="n">
        <v>122</v>
      </c>
      <c r="D258" s="16" t="s">
        <v>307</v>
      </c>
      <c r="E258" s="16" t="n">
        <v>122</v>
      </c>
      <c r="F258" s="16" t="n">
        <v>0</v>
      </c>
      <c r="G258" s="16" t="s">
        <v>647</v>
      </c>
    </row>
    <row r="259" customFormat="false" ht="15" hidden="false" customHeight="false" outlineLevel="0" collapsed="false">
      <c r="A259" s="16" t="s">
        <v>366</v>
      </c>
      <c r="B259" s="16" t="s">
        <v>286</v>
      </c>
      <c r="C259" s="16" t="n">
        <v>140</v>
      </c>
      <c r="D259" s="16" t="s">
        <v>313</v>
      </c>
      <c r="E259" s="16" t="n">
        <v>141</v>
      </c>
      <c r="F259" s="16" t="n">
        <v>1</v>
      </c>
      <c r="G259" s="16"/>
    </row>
    <row r="260" customFormat="false" ht="15" hidden="false" customHeight="false" outlineLevel="0" collapsed="false">
      <c r="A260" s="16" t="s">
        <v>366</v>
      </c>
      <c r="B260" s="16" t="s">
        <v>279</v>
      </c>
      <c r="C260" s="16" t="n">
        <v>143</v>
      </c>
      <c r="D260" s="16" t="s">
        <v>317</v>
      </c>
      <c r="E260" s="16" t="n">
        <v>143</v>
      </c>
      <c r="F260" s="16" t="n">
        <v>0</v>
      </c>
      <c r="G260" s="16" t="s">
        <v>647</v>
      </c>
    </row>
    <row r="261" customFormat="false" ht="15" hidden="false" customHeight="false" outlineLevel="0" collapsed="false">
      <c r="A261" s="16" t="s">
        <v>366</v>
      </c>
      <c r="B261" s="16" t="s">
        <v>266</v>
      </c>
      <c r="C261" s="16" t="n">
        <v>145</v>
      </c>
      <c r="D261" s="16" t="s">
        <v>276</v>
      </c>
      <c r="E261" s="16" t="n">
        <v>145</v>
      </c>
      <c r="F261" s="16" t="n">
        <v>0</v>
      </c>
      <c r="G261" s="16" t="s">
        <v>647</v>
      </c>
    </row>
    <row r="262" customFormat="false" ht="15" hidden="false" customHeight="false" outlineLevel="0" collapsed="false">
      <c r="A262" s="16" t="s">
        <v>367</v>
      </c>
      <c r="B262" s="16" t="s">
        <v>202</v>
      </c>
      <c r="C262" s="16" t="n">
        <v>2014</v>
      </c>
      <c r="D262" s="16" t="s">
        <v>225</v>
      </c>
      <c r="E262" s="16" t="n">
        <v>2014</v>
      </c>
      <c r="F262" s="16" t="n">
        <v>0</v>
      </c>
      <c r="G262" s="16" t="s">
        <v>647</v>
      </c>
    </row>
    <row r="263" customFormat="false" ht="15" hidden="false" customHeight="false" outlineLevel="0" collapsed="false">
      <c r="A263" s="16" t="s">
        <v>367</v>
      </c>
      <c r="B263" s="16" t="s">
        <v>75</v>
      </c>
      <c r="C263" s="16" t="n">
        <v>2016</v>
      </c>
      <c r="D263" s="16" t="s">
        <v>79</v>
      </c>
      <c r="E263" s="16" t="n">
        <v>2016</v>
      </c>
      <c r="F263" s="16" t="n">
        <v>0</v>
      </c>
      <c r="G263" s="16" t="s">
        <v>647</v>
      </c>
    </row>
    <row r="264" customFormat="false" ht="15" hidden="false" customHeight="false" outlineLevel="0" collapsed="false">
      <c r="A264" s="16" t="s">
        <v>367</v>
      </c>
      <c r="B264" s="16" t="s">
        <v>79</v>
      </c>
      <c r="C264" s="16" t="n">
        <v>2016</v>
      </c>
      <c r="D264" s="16" t="s">
        <v>87</v>
      </c>
      <c r="E264" s="16" t="n">
        <v>2016</v>
      </c>
      <c r="F264" s="16" t="n">
        <v>0</v>
      </c>
      <c r="G264" s="16" t="s">
        <v>647</v>
      </c>
    </row>
    <row r="265" customFormat="false" ht="15" hidden="false" customHeight="false" outlineLevel="0" collapsed="false">
      <c r="A265" s="16" t="s">
        <v>367</v>
      </c>
      <c r="B265" s="16" t="s">
        <v>87</v>
      </c>
      <c r="C265" s="16" t="n">
        <v>2016</v>
      </c>
      <c r="D265" s="16" t="s">
        <v>313</v>
      </c>
      <c r="E265" s="16" t="n">
        <v>2016</v>
      </c>
      <c r="F265" s="16" t="n">
        <v>0</v>
      </c>
      <c r="G265" s="16" t="s">
        <v>647</v>
      </c>
    </row>
    <row r="266" customFormat="false" ht="15" hidden="false" customHeight="false" outlineLevel="0" collapsed="false">
      <c r="A266" s="16" t="s">
        <v>367</v>
      </c>
      <c r="B266" s="16" t="s">
        <v>313</v>
      </c>
      <c r="C266" s="16" t="n">
        <v>2016</v>
      </c>
      <c r="D266" s="16" t="s">
        <v>348</v>
      </c>
      <c r="E266" s="16" t="n">
        <v>2016</v>
      </c>
      <c r="F266" s="16" t="n">
        <v>0</v>
      </c>
      <c r="G266" s="16" t="s">
        <v>647</v>
      </c>
    </row>
    <row r="267" customFormat="false" ht="15" hidden="false" customHeight="false" outlineLevel="0" collapsed="false">
      <c r="A267" s="16" t="s">
        <v>367</v>
      </c>
      <c r="B267" s="16" t="s">
        <v>22</v>
      </c>
      <c r="C267" s="16" t="n">
        <v>2017</v>
      </c>
      <c r="D267" s="16" t="s">
        <v>90</v>
      </c>
      <c r="E267" s="16" t="n">
        <v>2017</v>
      </c>
      <c r="F267" s="16" t="n">
        <v>0</v>
      </c>
      <c r="G267" s="16" t="s">
        <v>647</v>
      </c>
    </row>
    <row r="268" customFormat="false" ht="15" hidden="false" customHeight="false" outlineLevel="0" collapsed="false">
      <c r="A268" s="16" t="s">
        <v>367</v>
      </c>
      <c r="B268" s="16" t="s">
        <v>90</v>
      </c>
      <c r="C268" s="16" t="n">
        <v>2017</v>
      </c>
      <c r="D268" s="16" t="s">
        <v>133</v>
      </c>
      <c r="E268" s="16" t="n">
        <v>2017</v>
      </c>
      <c r="F268" s="16" t="n">
        <v>0</v>
      </c>
      <c r="G268" s="16" t="s">
        <v>647</v>
      </c>
    </row>
    <row r="269" customFormat="false" ht="15" hidden="false" customHeight="false" outlineLevel="0" collapsed="false">
      <c r="A269" s="16" t="s">
        <v>367</v>
      </c>
      <c r="B269" s="16" t="s">
        <v>133</v>
      </c>
      <c r="C269" s="16" t="n">
        <v>2017</v>
      </c>
      <c r="D269" s="16" t="s">
        <v>290</v>
      </c>
      <c r="E269" s="16" t="n">
        <v>2017</v>
      </c>
      <c r="F269" s="16" t="n">
        <v>0</v>
      </c>
      <c r="G269" s="16" t="s">
        <v>647</v>
      </c>
    </row>
    <row r="270" customFormat="false" ht="15" hidden="false" customHeight="false" outlineLevel="0" collapsed="false">
      <c r="A270" s="16" t="s">
        <v>367</v>
      </c>
      <c r="B270" s="16" t="s">
        <v>290</v>
      </c>
      <c r="C270" s="16" t="n">
        <v>2017</v>
      </c>
      <c r="D270" s="16" t="s">
        <v>295</v>
      </c>
      <c r="E270" s="16" t="n">
        <v>2017</v>
      </c>
      <c r="F270" s="16" t="n">
        <v>0</v>
      </c>
      <c r="G270" s="16" t="s">
        <v>647</v>
      </c>
    </row>
    <row r="271" customFormat="false" ht="15" hidden="false" customHeight="false" outlineLevel="0" collapsed="false">
      <c r="A271" s="16" t="s">
        <v>367</v>
      </c>
      <c r="B271" s="16" t="s">
        <v>27</v>
      </c>
      <c r="C271" s="16" t="n">
        <v>2018</v>
      </c>
      <c r="D271" s="16" t="s">
        <v>31</v>
      </c>
      <c r="E271" s="16" t="n">
        <v>2018</v>
      </c>
      <c r="F271" s="16" t="n">
        <v>0</v>
      </c>
      <c r="G271" s="16" t="s">
        <v>647</v>
      </c>
    </row>
    <row r="272" customFormat="false" ht="15" hidden="false" customHeight="false" outlineLevel="0" collapsed="false">
      <c r="A272" s="16" t="s">
        <v>367</v>
      </c>
      <c r="B272" s="16" t="s">
        <v>31</v>
      </c>
      <c r="C272" s="16" t="n">
        <v>2018</v>
      </c>
      <c r="D272" s="16" t="s">
        <v>83</v>
      </c>
      <c r="E272" s="16" t="n">
        <v>2018</v>
      </c>
      <c r="F272" s="16" t="n">
        <v>0</v>
      </c>
      <c r="G272" s="16" t="s">
        <v>647</v>
      </c>
    </row>
    <row r="273" customFormat="false" ht="15" hidden="false" customHeight="false" outlineLevel="0" collapsed="false">
      <c r="A273" s="16" t="s">
        <v>367</v>
      </c>
      <c r="B273" s="16" t="s">
        <v>83</v>
      </c>
      <c r="C273" s="16" t="n">
        <v>2018</v>
      </c>
      <c r="D273" s="16" t="s">
        <v>144</v>
      </c>
      <c r="E273" s="16" t="n">
        <v>2018</v>
      </c>
      <c r="F273" s="16" t="n">
        <v>0</v>
      </c>
      <c r="G273" s="16" t="s">
        <v>647</v>
      </c>
    </row>
    <row r="274" customFormat="false" ht="15" hidden="false" customHeight="false" outlineLevel="0" collapsed="false">
      <c r="A274" s="16" t="s">
        <v>367</v>
      </c>
      <c r="B274" s="16" t="s">
        <v>144</v>
      </c>
      <c r="C274" s="16" t="n">
        <v>2018</v>
      </c>
      <c r="D274" s="16" t="s">
        <v>171</v>
      </c>
      <c r="E274" s="16" t="n">
        <v>2018</v>
      </c>
      <c r="F274" s="16" t="n">
        <v>0</v>
      </c>
      <c r="G274" s="16" t="s">
        <v>647</v>
      </c>
    </row>
    <row r="275" customFormat="false" ht="15" hidden="false" customHeight="false" outlineLevel="0" collapsed="false">
      <c r="A275" s="16" t="s">
        <v>367</v>
      </c>
      <c r="B275" s="16" t="s">
        <v>171</v>
      </c>
      <c r="C275" s="16" t="n">
        <v>2018</v>
      </c>
      <c r="D275" s="16" t="s">
        <v>282</v>
      </c>
      <c r="E275" s="16" t="n">
        <v>2018</v>
      </c>
      <c r="F275" s="16" t="n">
        <v>0</v>
      </c>
      <c r="G275" s="16" t="s">
        <v>647</v>
      </c>
    </row>
    <row r="276" customFormat="false" ht="15" hidden="false" customHeight="false" outlineLevel="0" collapsed="false">
      <c r="A276" s="16" t="s">
        <v>367</v>
      </c>
      <c r="B276" s="16" t="s">
        <v>282</v>
      </c>
      <c r="C276" s="16" t="n">
        <v>2018</v>
      </c>
      <c r="D276" s="16" t="s">
        <v>328</v>
      </c>
      <c r="E276" s="16" t="n">
        <v>2018</v>
      </c>
      <c r="F276" s="16" t="n">
        <v>0</v>
      </c>
      <c r="G276" s="16" t="s">
        <v>647</v>
      </c>
    </row>
    <row r="277" customFormat="false" ht="15" hidden="false" customHeight="false" outlineLevel="0" collapsed="false">
      <c r="A277" s="16" t="s">
        <v>367</v>
      </c>
      <c r="B277" s="16" t="s">
        <v>328</v>
      </c>
      <c r="C277" s="16" t="n">
        <v>2018</v>
      </c>
      <c r="D277" s="16" t="s">
        <v>332</v>
      </c>
      <c r="E277" s="16" t="n">
        <v>2018</v>
      </c>
      <c r="F277" s="16" t="n">
        <v>0</v>
      </c>
      <c r="G277" s="16" t="s">
        <v>647</v>
      </c>
    </row>
    <row r="278" customFormat="false" ht="15" hidden="false" customHeight="false" outlineLevel="0" collapsed="false">
      <c r="A278" s="16" t="s">
        <v>367</v>
      </c>
      <c r="B278" s="16" t="s">
        <v>332</v>
      </c>
      <c r="C278" s="16" t="n">
        <v>2018</v>
      </c>
      <c r="D278" s="16" t="s">
        <v>355</v>
      </c>
      <c r="E278" s="16" t="n">
        <v>2018</v>
      </c>
      <c r="F278" s="16" t="n">
        <v>0</v>
      </c>
      <c r="G278" s="16" t="s">
        <v>647</v>
      </c>
    </row>
    <row r="279" customFormat="false" ht="15" hidden="false" customHeight="false" outlineLevel="0" collapsed="false">
      <c r="A279" s="16" t="s">
        <v>367</v>
      </c>
      <c r="B279" s="16" t="s">
        <v>126</v>
      </c>
      <c r="C279" s="16" t="n">
        <v>2019</v>
      </c>
      <c r="D279" s="16" t="s">
        <v>148</v>
      </c>
      <c r="E279" s="16" t="n">
        <v>2019</v>
      </c>
      <c r="F279" s="16" t="n">
        <v>0</v>
      </c>
      <c r="G279" s="16" t="s">
        <v>647</v>
      </c>
    </row>
    <row r="280" customFormat="false" ht="15" hidden="false" customHeight="false" outlineLevel="0" collapsed="false">
      <c r="A280" s="16" t="s">
        <v>367</v>
      </c>
      <c r="B280" s="16" t="s">
        <v>148</v>
      </c>
      <c r="C280" s="16" t="n">
        <v>2019</v>
      </c>
      <c r="D280" s="16" t="s">
        <v>184</v>
      </c>
      <c r="E280" s="16" t="n">
        <v>2019</v>
      </c>
      <c r="F280" s="16" t="n">
        <v>0</v>
      </c>
      <c r="G280" s="16" t="s">
        <v>647</v>
      </c>
    </row>
    <row r="281" customFormat="false" ht="15" hidden="false" customHeight="false" outlineLevel="0" collapsed="false">
      <c r="A281" s="16" t="s">
        <v>367</v>
      </c>
      <c r="B281" s="16" t="s">
        <v>184</v>
      </c>
      <c r="C281" s="16" t="n">
        <v>2019</v>
      </c>
      <c r="D281" s="16" t="s">
        <v>205</v>
      </c>
      <c r="E281" s="16" t="n">
        <v>2019</v>
      </c>
      <c r="F281" s="16" t="n">
        <v>0</v>
      </c>
      <c r="G281" s="16" t="s">
        <v>647</v>
      </c>
    </row>
    <row r="282" customFormat="false" ht="15" hidden="false" customHeight="false" outlineLevel="0" collapsed="false">
      <c r="A282" s="16" t="s">
        <v>367</v>
      </c>
      <c r="B282" s="16" t="s">
        <v>205</v>
      </c>
      <c r="C282" s="16" t="n">
        <v>2019</v>
      </c>
      <c r="D282" s="16" t="s">
        <v>222</v>
      </c>
      <c r="E282" s="16" t="n">
        <v>2019</v>
      </c>
      <c r="F282" s="16" t="n">
        <v>0</v>
      </c>
      <c r="G282" s="16" t="s">
        <v>647</v>
      </c>
    </row>
    <row r="283" customFormat="false" ht="15" hidden="false" customHeight="false" outlineLevel="0" collapsed="false">
      <c r="A283" s="16" t="s">
        <v>367</v>
      </c>
      <c r="B283" s="16" t="s">
        <v>222</v>
      </c>
      <c r="C283" s="16" t="n">
        <v>2019</v>
      </c>
      <c r="D283" s="16" t="s">
        <v>257</v>
      </c>
      <c r="E283" s="16" t="n">
        <v>2019</v>
      </c>
      <c r="F283" s="16" t="n">
        <v>0</v>
      </c>
      <c r="G283" s="16" t="s">
        <v>647</v>
      </c>
    </row>
    <row r="284" customFormat="false" ht="15" hidden="false" customHeight="false" outlineLevel="0" collapsed="false">
      <c r="A284" s="16" t="s">
        <v>367</v>
      </c>
      <c r="B284" s="16" t="s">
        <v>257</v>
      </c>
      <c r="C284" s="16" t="n">
        <v>2019</v>
      </c>
      <c r="D284" s="16" t="s">
        <v>302</v>
      </c>
      <c r="E284" s="16" t="n">
        <v>2019</v>
      </c>
      <c r="F284" s="16" t="n">
        <v>0</v>
      </c>
      <c r="G284" s="16" t="s">
        <v>647</v>
      </c>
    </row>
    <row r="285" customFormat="false" ht="15" hidden="false" customHeight="false" outlineLevel="0" collapsed="false">
      <c r="A285" s="16" t="s">
        <v>367</v>
      </c>
      <c r="B285" s="16" t="s">
        <v>302</v>
      </c>
      <c r="C285" s="16" t="n">
        <v>2019</v>
      </c>
      <c r="D285" s="16" t="s">
        <v>304</v>
      </c>
      <c r="E285" s="16" t="n">
        <v>2019</v>
      </c>
      <c r="F285" s="16" t="n">
        <v>0</v>
      </c>
      <c r="G285" s="16" t="s">
        <v>647</v>
      </c>
    </row>
    <row r="286" customFormat="false" ht="15" hidden="false" customHeight="false" outlineLevel="0" collapsed="false">
      <c r="A286" s="16" t="s">
        <v>367</v>
      </c>
      <c r="B286" s="16" t="s">
        <v>304</v>
      </c>
      <c r="C286" s="16" t="n">
        <v>2019</v>
      </c>
      <c r="D286" s="16" t="s">
        <v>325</v>
      </c>
      <c r="E286" s="16" t="n">
        <v>2019</v>
      </c>
      <c r="F286" s="16" t="n">
        <v>0</v>
      </c>
      <c r="G286" s="16" t="s">
        <v>647</v>
      </c>
    </row>
    <row r="287" customFormat="false" ht="15" hidden="false" customHeight="false" outlineLevel="0" collapsed="false">
      <c r="A287" s="16" t="s">
        <v>367</v>
      </c>
      <c r="B287" s="16" t="s">
        <v>35</v>
      </c>
      <c r="C287" s="16" t="n">
        <v>2020</v>
      </c>
      <c r="D287" s="16" t="s">
        <v>39</v>
      </c>
      <c r="E287" s="16" t="n">
        <v>2020</v>
      </c>
      <c r="F287" s="16" t="n">
        <v>0</v>
      </c>
      <c r="G287" s="16" t="s">
        <v>647</v>
      </c>
    </row>
    <row r="288" customFormat="false" ht="15" hidden="false" customHeight="false" outlineLevel="0" collapsed="false">
      <c r="A288" s="16" t="s">
        <v>367</v>
      </c>
      <c r="B288" s="16" t="s">
        <v>39</v>
      </c>
      <c r="C288" s="16" t="n">
        <v>2020</v>
      </c>
      <c r="D288" s="16" t="s">
        <v>43</v>
      </c>
      <c r="E288" s="16" t="n">
        <v>2020</v>
      </c>
      <c r="F288" s="16" t="n">
        <v>0</v>
      </c>
      <c r="G288" s="16" t="s">
        <v>647</v>
      </c>
    </row>
    <row r="289" customFormat="false" ht="15" hidden="false" customHeight="false" outlineLevel="0" collapsed="false">
      <c r="A289" s="16" t="s">
        <v>367</v>
      </c>
      <c r="B289" s="16" t="s">
        <v>43</v>
      </c>
      <c r="C289" s="16" t="n">
        <v>2020</v>
      </c>
      <c r="D289" s="16" t="s">
        <v>63</v>
      </c>
      <c r="E289" s="16" t="n">
        <v>2020</v>
      </c>
      <c r="F289" s="16" t="n">
        <v>0</v>
      </c>
      <c r="G289" s="16" t="s">
        <v>647</v>
      </c>
    </row>
    <row r="290" customFormat="false" ht="15" hidden="false" customHeight="false" outlineLevel="0" collapsed="false">
      <c r="A290" s="16" t="s">
        <v>367</v>
      </c>
      <c r="B290" s="16" t="s">
        <v>63</v>
      </c>
      <c r="C290" s="16" t="n">
        <v>2020</v>
      </c>
      <c r="D290" s="16" t="s">
        <v>104</v>
      </c>
      <c r="E290" s="16" t="n">
        <v>2020</v>
      </c>
      <c r="F290" s="16" t="n">
        <v>0</v>
      </c>
      <c r="G290" s="16" t="s">
        <v>647</v>
      </c>
    </row>
    <row r="291" customFormat="false" ht="15" hidden="false" customHeight="false" outlineLevel="0" collapsed="false">
      <c r="A291" s="16" t="s">
        <v>367</v>
      </c>
      <c r="B291" s="16" t="s">
        <v>104</v>
      </c>
      <c r="C291" s="16" t="n">
        <v>2020</v>
      </c>
      <c r="D291" s="16" t="s">
        <v>112</v>
      </c>
      <c r="E291" s="16" t="n">
        <v>2020</v>
      </c>
      <c r="F291" s="16" t="n">
        <v>0</v>
      </c>
      <c r="G291" s="16" t="s">
        <v>647</v>
      </c>
    </row>
    <row r="292" customFormat="false" ht="15" hidden="false" customHeight="false" outlineLevel="0" collapsed="false">
      <c r="A292" s="16" t="s">
        <v>367</v>
      </c>
      <c r="B292" s="16" t="s">
        <v>112</v>
      </c>
      <c r="C292" s="16" t="n">
        <v>2020</v>
      </c>
      <c r="D292" s="16" t="s">
        <v>155</v>
      </c>
      <c r="E292" s="16" t="n">
        <v>2020</v>
      </c>
      <c r="F292" s="16" t="n">
        <v>0</v>
      </c>
      <c r="G292" s="16" t="s">
        <v>647</v>
      </c>
    </row>
    <row r="293" customFormat="false" ht="15" hidden="false" customHeight="false" outlineLevel="0" collapsed="false">
      <c r="A293" s="16" t="s">
        <v>367</v>
      </c>
      <c r="B293" s="16" t="s">
        <v>155</v>
      </c>
      <c r="C293" s="16" t="n">
        <v>2020</v>
      </c>
      <c r="D293" s="16" t="s">
        <v>195</v>
      </c>
      <c r="E293" s="16" t="n">
        <v>2020</v>
      </c>
      <c r="F293" s="16" t="n">
        <v>0</v>
      </c>
      <c r="G293" s="16" t="s">
        <v>647</v>
      </c>
    </row>
    <row r="294" customFormat="false" ht="15" hidden="false" customHeight="false" outlineLevel="0" collapsed="false">
      <c r="A294" s="16" t="s">
        <v>367</v>
      </c>
      <c r="B294" s="16" t="s">
        <v>195</v>
      </c>
      <c r="C294" s="16" t="n">
        <v>2020</v>
      </c>
      <c r="D294" s="16" t="s">
        <v>219</v>
      </c>
      <c r="E294" s="16" t="n">
        <v>2020</v>
      </c>
      <c r="F294" s="16" t="n">
        <v>0</v>
      </c>
      <c r="G294" s="16" t="s">
        <v>647</v>
      </c>
    </row>
    <row r="295" customFormat="false" ht="15" hidden="false" customHeight="false" outlineLevel="0" collapsed="false">
      <c r="A295" s="16" t="s">
        <v>367</v>
      </c>
      <c r="B295" s="16" t="s">
        <v>219</v>
      </c>
      <c r="C295" s="16" t="n">
        <v>2020</v>
      </c>
      <c r="D295" s="16" t="s">
        <v>276</v>
      </c>
      <c r="E295" s="16" t="n">
        <v>2020</v>
      </c>
      <c r="F295" s="16" t="n">
        <v>0</v>
      </c>
      <c r="G295" s="16" t="s">
        <v>647</v>
      </c>
    </row>
    <row r="296" customFormat="false" ht="15" hidden="false" customHeight="false" outlineLevel="0" collapsed="false">
      <c r="A296" s="16" t="s">
        <v>367</v>
      </c>
      <c r="B296" s="16" t="s">
        <v>109</v>
      </c>
      <c r="C296" s="16" t="n">
        <v>2021</v>
      </c>
      <c r="D296" s="16" t="s">
        <v>115</v>
      </c>
      <c r="E296" s="16" t="n">
        <v>2021</v>
      </c>
      <c r="F296" s="16" t="n">
        <v>0</v>
      </c>
      <c r="G296" s="16" t="s">
        <v>647</v>
      </c>
    </row>
    <row r="297" customFormat="false" ht="15" hidden="false" customHeight="false" outlineLevel="0" collapsed="false">
      <c r="A297" s="16" t="s">
        <v>367</v>
      </c>
      <c r="B297" s="16" t="s">
        <v>115</v>
      </c>
      <c r="C297" s="16" t="n">
        <v>2021</v>
      </c>
      <c r="D297" s="16" t="s">
        <v>151</v>
      </c>
      <c r="E297" s="16" t="n">
        <v>2021</v>
      </c>
      <c r="F297" s="16" t="n">
        <v>0</v>
      </c>
      <c r="G297" s="16" t="s">
        <v>647</v>
      </c>
    </row>
    <row r="298" customFormat="false" ht="15" hidden="false" customHeight="false" outlineLevel="0" collapsed="false">
      <c r="A298" s="16" t="s">
        <v>367</v>
      </c>
      <c r="B298" s="16" t="s">
        <v>151</v>
      </c>
      <c r="C298" s="16" t="n">
        <v>2021</v>
      </c>
      <c r="D298" s="16" t="s">
        <v>213</v>
      </c>
      <c r="E298" s="16" t="n">
        <v>2021</v>
      </c>
      <c r="F298" s="16" t="n">
        <v>0</v>
      </c>
      <c r="G298" s="16" t="s">
        <v>647</v>
      </c>
    </row>
    <row r="299" customFormat="false" ht="15" hidden="false" customHeight="false" outlineLevel="0" collapsed="false">
      <c r="A299" s="16" t="s">
        <v>367</v>
      </c>
      <c r="B299" s="16" t="s">
        <v>213</v>
      </c>
      <c r="C299" s="16" t="n">
        <v>2021</v>
      </c>
      <c r="D299" s="16" t="s">
        <v>228</v>
      </c>
      <c r="E299" s="16" t="n">
        <v>2021</v>
      </c>
      <c r="F299" s="16" t="n">
        <v>0</v>
      </c>
      <c r="G299" s="16" t="s">
        <v>647</v>
      </c>
    </row>
    <row r="300" customFormat="false" ht="15" hidden="false" customHeight="false" outlineLevel="0" collapsed="false">
      <c r="A300" s="16" t="s">
        <v>367</v>
      </c>
      <c r="B300" s="16" t="s">
        <v>228</v>
      </c>
      <c r="C300" s="16" t="n">
        <v>2021</v>
      </c>
      <c r="D300" s="16" t="s">
        <v>248</v>
      </c>
      <c r="E300" s="16" t="n">
        <v>2021</v>
      </c>
      <c r="F300" s="16" t="n">
        <v>0</v>
      </c>
      <c r="G300" s="16" t="s">
        <v>647</v>
      </c>
    </row>
    <row r="301" customFormat="false" ht="15" hidden="false" customHeight="false" outlineLevel="0" collapsed="false">
      <c r="A301" s="16" t="s">
        <v>367</v>
      </c>
      <c r="B301" s="16" t="s">
        <v>248</v>
      </c>
      <c r="C301" s="16" t="n">
        <v>2021</v>
      </c>
      <c r="D301" s="16" t="s">
        <v>273</v>
      </c>
      <c r="E301" s="16" t="n">
        <v>2021</v>
      </c>
      <c r="F301" s="16" t="n">
        <v>0</v>
      </c>
      <c r="G301" s="16" t="s">
        <v>647</v>
      </c>
    </row>
    <row r="302" customFormat="false" ht="15" hidden="false" customHeight="false" outlineLevel="0" collapsed="false">
      <c r="A302" s="16" t="s">
        <v>367</v>
      </c>
      <c r="B302" s="16" t="s">
        <v>273</v>
      </c>
      <c r="C302" s="16" t="n">
        <v>2021</v>
      </c>
      <c r="D302" s="16" t="s">
        <v>279</v>
      </c>
      <c r="E302" s="16" t="n">
        <v>2021</v>
      </c>
      <c r="F302" s="16" t="n">
        <v>0</v>
      </c>
      <c r="G302" s="16" t="s">
        <v>647</v>
      </c>
    </row>
    <row r="303" customFormat="false" ht="15" hidden="false" customHeight="false" outlineLevel="0" collapsed="false">
      <c r="A303" s="16" t="s">
        <v>367</v>
      </c>
      <c r="B303" s="16" t="s">
        <v>279</v>
      </c>
      <c r="C303" s="16" t="n">
        <v>2021</v>
      </c>
      <c r="D303" s="16" t="s">
        <v>286</v>
      </c>
      <c r="E303" s="16" t="n">
        <v>2021</v>
      </c>
      <c r="F303" s="16" t="n">
        <v>0</v>
      </c>
      <c r="G303" s="16" t="s">
        <v>647</v>
      </c>
    </row>
    <row r="304" customFormat="false" ht="15" hidden="false" customHeight="false" outlineLevel="0" collapsed="false">
      <c r="A304" s="16" t="s">
        <v>367</v>
      </c>
      <c r="B304" s="16" t="s">
        <v>286</v>
      </c>
      <c r="C304" s="16" t="n">
        <v>2021</v>
      </c>
      <c r="D304" s="16" t="s">
        <v>299</v>
      </c>
      <c r="E304" s="16" t="n">
        <v>2021</v>
      </c>
      <c r="F304" s="16" t="n">
        <v>0</v>
      </c>
      <c r="G304" s="16" t="s">
        <v>647</v>
      </c>
    </row>
    <row r="305" customFormat="false" ht="15" hidden="false" customHeight="false" outlineLevel="0" collapsed="false">
      <c r="A305" s="16" t="s">
        <v>367</v>
      </c>
      <c r="B305" s="16" t="s">
        <v>299</v>
      </c>
      <c r="C305" s="16" t="n">
        <v>2021</v>
      </c>
      <c r="D305" s="16" t="s">
        <v>335</v>
      </c>
      <c r="E305" s="16" t="n">
        <v>2021</v>
      </c>
      <c r="F305" s="16" t="n">
        <v>0</v>
      </c>
      <c r="G305" s="16" t="s">
        <v>647</v>
      </c>
    </row>
    <row r="306" customFormat="false" ht="15" hidden="false" customHeight="false" outlineLevel="0" collapsed="false">
      <c r="A306" s="16" t="s">
        <v>367</v>
      </c>
      <c r="B306" s="16" t="s">
        <v>67</v>
      </c>
      <c r="C306" s="16" t="n">
        <v>2022</v>
      </c>
      <c r="D306" s="16" t="s">
        <v>140</v>
      </c>
      <c r="E306" s="16" t="n">
        <v>2022</v>
      </c>
      <c r="F306" s="16" t="n">
        <v>0</v>
      </c>
      <c r="G306" s="16" t="s">
        <v>647</v>
      </c>
    </row>
    <row r="307" customFormat="false" ht="15" hidden="false" customHeight="false" outlineLevel="0" collapsed="false">
      <c r="A307" s="16" t="s">
        <v>367</v>
      </c>
      <c r="B307" s="16" t="s">
        <v>140</v>
      </c>
      <c r="C307" s="16" t="n">
        <v>2022</v>
      </c>
      <c r="D307" s="16" t="s">
        <v>181</v>
      </c>
      <c r="E307" s="16" t="n">
        <v>2022</v>
      </c>
      <c r="F307" s="16" t="n">
        <v>0</v>
      </c>
      <c r="G307" s="16" t="s">
        <v>647</v>
      </c>
    </row>
    <row r="308" customFormat="false" ht="15" hidden="false" customHeight="false" outlineLevel="0" collapsed="false">
      <c r="A308" s="16" t="s">
        <v>367</v>
      </c>
      <c r="B308" s="16" t="s">
        <v>181</v>
      </c>
      <c r="C308" s="16" t="n">
        <v>2022</v>
      </c>
      <c r="D308" s="16" t="s">
        <v>187</v>
      </c>
      <c r="E308" s="16" t="n">
        <v>2022</v>
      </c>
      <c r="F308" s="16" t="n">
        <v>0</v>
      </c>
      <c r="G308" s="16" t="s">
        <v>647</v>
      </c>
    </row>
    <row r="309" customFormat="false" ht="15" hidden="false" customHeight="false" outlineLevel="0" collapsed="false">
      <c r="A309" s="16" t="s">
        <v>367</v>
      </c>
      <c r="B309" s="16" t="s">
        <v>187</v>
      </c>
      <c r="C309" s="16" t="n">
        <v>2022</v>
      </c>
      <c r="D309" s="16" t="s">
        <v>189</v>
      </c>
      <c r="E309" s="16" t="n">
        <v>2022</v>
      </c>
      <c r="F309" s="16" t="n">
        <v>0</v>
      </c>
      <c r="G309" s="16" t="s">
        <v>647</v>
      </c>
    </row>
    <row r="310" customFormat="false" ht="15" hidden="false" customHeight="false" outlineLevel="0" collapsed="false">
      <c r="A310" s="16" t="s">
        <v>367</v>
      </c>
      <c r="B310" s="16" t="s">
        <v>189</v>
      </c>
      <c r="C310" s="16" t="n">
        <v>2022</v>
      </c>
      <c r="D310" s="16" t="s">
        <v>209</v>
      </c>
      <c r="E310" s="16" t="n">
        <v>2022</v>
      </c>
      <c r="F310" s="16" t="n">
        <v>0</v>
      </c>
      <c r="G310" s="16" t="s">
        <v>647</v>
      </c>
    </row>
    <row r="311" customFormat="false" ht="15" hidden="false" customHeight="false" outlineLevel="0" collapsed="false">
      <c r="A311" s="16" t="s">
        <v>367</v>
      </c>
      <c r="B311" s="16" t="s">
        <v>209</v>
      </c>
      <c r="C311" s="16" t="n">
        <v>2022</v>
      </c>
      <c r="D311" s="16" t="s">
        <v>216</v>
      </c>
      <c r="E311" s="16" t="n">
        <v>2022</v>
      </c>
      <c r="F311" s="16" t="n">
        <v>0</v>
      </c>
      <c r="G311" s="16" t="s">
        <v>647</v>
      </c>
    </row>
    <row r="312" customFormat="false" ht="15" hidden="false" customHeight="false" outlineLevel="0" collapsed="false">
      <c r="A312" s="16" t="s">
        <v>367</v>
      </c>
      <c r="B312" s="16" t="s">
        <v>216</v>
      </c>
      <c r="C312" s="16" t="n">
        <v>2022</v>
      </c>
      <c r="D312" s="16" t="s">
        <v>307</v>
      </c>
      <c r="E312" s="16" t="n">
        <v>2022</v>
      </c>
      <c r="F312" s="16" t="n">
        <v>0</v>
      </c>
      <c r="G312" s="16" t="s">
        <v>647</v>
      </c>
    </row>
    <row r="313" customFormat="false" ht="15" hidden="false" customHeight="false" outlineLevel="0" collapsed="false">
      <c r="A313" s="16" t="s">
        <v>367</v>
      </c>
      <c r="B313" s="16" t="s">
        <v>307</v>
      </c>
      <c r="C313" s="16" t="n">
        <v>2022</v>
      </c>
      <c r="D313" s="16" t="s">
        <v>339</v>
      </c>
      <c r="E313" s="16" t="n">
        <v>2022</v>
      </c>
      <c r="F313" s="16" t="n">
        <v>0</v>
      </c>
      <c r="G313" s="16" t="s">
        <v>647</v>
      </c>
    </row>
    <row r="314" customFormat="false" ht="15" hidden="false" customHeight="false" outlineLevel="0" collapsed="false">
      <c r="A314" s="16" t="s">
        <v>367</v>
      </c>
      <c r="B314" s="16" t="s">
        <v>339</v>
      </c>
      <c r="C314" s="16" t="n">
        <v>2022</v>
      </c>
      <c r="D314" s="16" t="s">
        <v>342</v>
      </c>
      <c r="E314" s="16" t="n">
        <v>2022</v>
      </c>
      <c r="F314" s="16" t="n">
        <v>0</v>
      </c>
      <c r="G314" s="16" t="s">
        <v>647</v>
      </c>
    </row>
    <row r="315" customFormat="false" ht="15" hidden="false" customHeight="false" outlineLevel="0" collapsed="false">
      <c r="A315" s="16" t="s">
        <v>367</v>
      </c>
      <c r="B315" s="16" t="s">
        <v>342</v>
      </c>
      <c r="C315" s="16" t="n">
        <v>2022</v>
      </c>
      <c r="D315" s="16" t="s">
        <v>351</v>
      </c>
      <c r="E315" s="16" t="n">
        <v>2022</v>
      </c>
      <c r="F315" s="16" t="n">
        <v>0</v>
      </c>
      <c r="G315" s="16" t="s">
        <v>647</v>
      </c>
    </row>
    <row r="316" customFormat="false" ht="15" hidden="false" customHeight="false" outlineLevel="0" collapsed="false">
      <c r="A316" s="16" t="s">
        <v>367</v>
      </c>
      <c r="B316" s="16" t="s">
        <v>47</v>
      </c>
      <c r="C316" s="16" t="n">
        <v>2023</v>
      </c>
      <c r="D316" s="16" t="s">
        <v>93</v>
      </c>
      <c r="E316" s="16" t="n">
        <v>2023</v>
      </c>
      <c r="F316" s="16" t="n">
        <v>0</v>
      </c>
      <c r="G316" s="16" t="s">
        <v>647</v>
      </c>
    </row>
    <row r="317" customFormat="false" ht="15" hidden="false" customHeight="false" outlineLevel="0" collapsed="false">
      <c r="A317" s="16" t="s">
        <v>367</v>
      </c>
      <c r="B317" s="16" t="s">
        <v>93</v>
      </c>
      <c r="C317" s="16" t="n">
        <v>2023</v>
      </c>
      <c r="D317" s="16" t="s">
        <v>97</v>
      </c>
      <c r="E317" s="16" t="n">
        <v>2023</v>
      </c>
      <c r="F317" s="16" t="n">
        <v>0</v>
      </c>
      <c r="G317" s="16" t="s">
        <v>647</v>
      </c>
    </row>
    <row r="318" customFormat="false" ht="15" hidden="false" customHeight="false" outlineLevel="0" collapsed="false">
      <c r="A318" s="16" t="s">
        <v>367</v>
      </c>
      <c r="B318" s="16" t="s">
        <v>97</v>
      </c>
      <c r="C318" s="16" t="n">
        <v>2023</v>
      </c>
      <c r="D318" s="16" t="s">
        <v>118</v>
      </c>
      <c r="E318" s="16" t="n">
        <v>2023</v>
      </c>
      <c r="F318" s="16" t="n">
        <v>0</v>
      </c>
      <c r="G318" s="16" t="s">
        <v>647</v>
      </c>
    </row>
    <row r="319" customFormat="false" ht="15" hidden="false" customHeight="false" outlineLevel="0" collapsed="false">
      <c r="A319" s="16" t="s">
        <v>367</v>
      </c>
      <c r="B319" s="16" t="s">
        <v>118</v>
      </c>
      <c r="C319" s="16" t="n">
        <v>2023</v>
      </c>
      <c r="D319" s="16" t="s">
        <v>122</v>
      </c>
      <c r="E319" s="16" t="n">
        <v>2023</v>
      </c>
      <c r="F319" s="16" t="n">
        <v>0</v>
      </c>
      <c r="G319" s="16" t="s">
        <v>647</v>
      </c>
    </row>
    <row r="320" customFormat="false" ht="15" hidden="false" customHeight="false" outlineLevel="0" collapsed="false">
      <c r="A320" s="16" t="s">
        <v>367</v>
      </c>
      <c r="B320" s="16" t="s">
        <v>122</v>
      </c>
      <c r="C320" s="16" t="n">
        <v>2023</v>
      </c>
      <c r="D320" s="16" t="s">
        <v>162</v>
      </c>
      <c r="E320" s="16" t="n">
        <v>2023</v>
      </c>
      <c r="F320" s="16" t="n">
        <v>0</v>
      </c>
      <c r="G320" s="16" t="s">
        <v>647</v>
      </c>
    </row>
    <row r="321" customFormat="false" ht="15" hidden="false" customHeight="false" outlineLevel="0" collapsed="false">
      <c r="A321" s="16" t="s">
        <v>367</v>
      </c>
      <c r="B321" s="16" t="s">
        <v>162</v>
      </c>
      <c r="C321" s="16" t="n">
        <v>2023</v>
      </c>
      <c r="D321" s="16" t="s">
        <v>192</v>
      </c>
      <c r="E321" s="16" t="n">
        <v>2023</v>
      </c>
      <c r="F321" s="16" t="n">
        <v>0</v>
      </c>
      <c r="G321" s="16" t="s">
        <v>647</v>
      </c>
    </row>
    <row r="322" customFormat="false" ht="15" hidden="false" customHeight="false" outlineLevel="0" collapsed="false">
      <c r="A322" s="16" t="s">
        <v>367</v>
      </c>
      <c r="B322" s="16" t="s">
        <v>192</v>
      </c>
      <c r="C322" s="16" t="n">
        <v>2023</v>
      </c>
      <c r="D322" s="16" t="s">
        <v>245</v>
      </c>
      <c r="E322" s="16" t="n">
        <v>2023</v>
      </c>
      <c r="F322" s="16" t="n">
        <v>0</v>
      </c>
      <c r="G322" s="16" t="s">
        <v>647</v>
      </c>
    </row>
    <row r="323" customFormat="false" ht="15" hidden="false" customHeight="false" outlineLevel="0" collapsed="false">
      <c r="A323" s="16" t="s">
        <v>367</v>
      </c>
      <c r="B323" s="16" t="s">
        <v>245</v>
      </c>
      <c r="C323" s="16" t="n">
        <v>2023</v>
      </c>
      <c r="D323" s="16" t="s">
        <v>254</v>
      </c>
      <c r="E323" s="16" t="n">
        <v>2023</v>
      </c>
      <c r="F323" s="16" t="n">
        <v>0</v>
      </c>
      <c r="G323" s="16" t="s">
        <v>647</v>
      </c>
    </row>
    <row r="324" customFormat="false" ht="15" hidden="false" customHeight="false" outlineLevel="0" collapsed="false">
      <c r="A324" s="16" t="s">
        <v>367</v>
      </c>
      <c r="B324" s="16" t="s">
        <v>254</v>
      </c>
      <c r="C324" s="16" t="n">
        <v>2023</v>
      </c>
      <c r="D324" s="16" t="s">
        <v>310</v>
      </c>
      <c r="E324" s="16" t="n">
        <v>2023</v>
      </c>
      <c r="F324" s="16" t="n">
        <v>0</v>
      </c>
      <c r="G324" s="16" t="s">
        <v>647</v>
      </c>
    </row>
    <row r="325" customFormat="false" ht="15" hidden="false" customHeight="false" outlineLevel="0" collapsed="false">
      <c r="A325" s="16" t="s">
        <v>367</v>
      </c>
      <c r="B325" s="16" t="s">
        <v>310</v>
      </c>
      <c r="C325" s="16" t="n">
        <v>2023</v>
      </c>
      <c r="D325" s="16" t="s">
        <v>317</v>
      </c>
      <c r="E325" s="16" t="n">
        <v>2023</v>
      </c>
      <c r="F325" s="16" t="n">
        <v>0</v>
      </c>
      <c r="G325" s="16" t="s">
        <v>647</v>
      </c>
    </row>
    <row r="326" customFormat="false" ht="15" hidden="false" customHeight="false" outlineLevel="0" collapsed="false">
      <c r="A326" s="16" t="s">
        <v>367</v>
      </c>
      <c r="B326" s="16" t="s">
        <v>317</v>
      </c>
      <c r="C326" s="16" t="n">
        <v>2023</v>
      </c>
      <c r="D326" s="16" t="s">
        <v>345</v>
      </c>
      <c r="E326" s="16" t="n">
        <v>2023</v>
      </c>
      <c r="F326" s="16" t="n">
        <v>0</v>
      </c>
      <c r="G326" s="16" t="s">
        <v>647</v>
      </c>
    </row>
    <row r="327" customFormat="false" ht="15" hidden="false" customHeight="false" outlineLevel="0" collapsed="false">
      <c r="A327" s="16" t="s">
        <v>367</v>
      </c>
      <c r="B327" s="16" t="s">
        <v>345</v>
      </c>
      <c r="C327" s="16" t="n">
        <v>2023</v>
      </c>
      <c r="D327" s="16" t="s">
        <v>358</v>
      </c>
      <c r="E327" s="16" t="n">
        <v>2023</v>
      </c>
      <c r="F327" s="16" t="n">
        <v>0</v>
      </c>
      <c r="G327" s="16" t="s">
        <v>647</v>
      </c>
    </row>
    <row r="328" customFormat="false" ht="15" hidden="false" customHeight="false" outlineLevel="0" collapsed="false">
      <c r="A328" s="16" t="s">
        <v>367</v>
      </c>
      <c r="B328" s="16" t="s">
        <v>51</v>
      </c>
      <c r="C328" s="16" t="n">
        <v>2024</v>
      </c>
      <c r="D328" s="16" t="s">
        <v>55</v>
      </c>
      <c r="E328" s="16" t="n">
        <v>2024</v>
      </c>
      <c r="F328" s="16" t="n">
        <v>0</v>
      </c>
      <c r="G328" s="16" t="s">
        <v>647</v>
      </c>
    </row>
    <row r="329" customFormat="false" ht="15" hidden="false" customHeight="false" outlineLevel="0" collapsed="false">
      <c r="A329" s="16" t="s">
        <v>367</v>
      </c>
      <c r="B329" s="16" t="s">
        <v>55</v>
      </c>
      <c r="C329" s="16" t="n">
        <v>2024</v>
      </c>
      <c r="D329" s="16" t="s">
        <v>59</v>
      </c>
      <c r="E329" s="16" t="n">
        <v>2024</v>
      </c>
      <c r="F329" s="16" t="n">
        <v>0</v>
      </c>
      <c r="G329" s="16" t="s">
        <v>647</v>
      </c>
    </row>
    <row r="330" customFormat="false" ht="15" hidden="false" customHeight="false" outlineLevel="0" collapsed="false">
      <c r="A330" s="16" t="s">
        <v>367</v>
      </c>
      <c r="B330" s="16" t="s">
        <v>59</v>
      </c>
      <c r="C330" s="16" t="n">
        <v>2024</v>
      </c>
      <c r="D330" s="16" t="s">
        <v>71</v>
      </c>
      <c r="E330" s="16" t="n">
        <v>2024</v>
      </c>
      <c r="F330" s="16" t="n">
        <v>0</v>
      </c>
      <c r="G330" s="16" t="s">
        <v>647</v>
      </c>
    </row>
    <row r="331" customFormat="false" ht="15" hidden="false" customHeight="false" outlineLevel="0" collapsed="false">
      <c r="A331" s="16" t="s">
        <v>367</v>
      </c>
      <c r="B331" s="16" t="s">
        <v>71</v>
      </c>
      <c r="C331" s="16" t="n">
        <v>2024</v>
      </c>
      <c r="D331" s="16" t="s">
        <v>129</v>
      </c>
      <c r="E331" s="16" t="n">
        <v>2024</v>
      </c>
      <c r="F331" s="16" t="n">
        <v>0</v>
      </c>
      <c r="G331" s="16" t="s">
        <v>647</v>
      </c>
    </row>
    <row r="332" customFormat="false" ht="15" hidden="false" customHeight="false" outlineLevel="0" collapsed="false">
      <c r="A332" s="16" t="s">
        <v>367</v>
      </c>
      <c r="B332" s="16" t="s">
        <v>129</v>
      </c>
      <c r="C332" s="16" t="n">
        <v>2024</v>
      </c>
      <c r="D332" s="16" t="s">
        <v>137</v>
      </c>
      <c r="E332" s="16" t="n">
        <v>2024</v>
      </c>
      <c r="F332" s="16" t="n">
        <v>0</v>
      </c>
      <c r="G332" s="16" t="s">
        <v>647</v>
      </c>
    </row>
    <row r="333" customFormat="false" ht="15" hidden="false" customHeight="false" outlineLevel="0" collapsed="false">
      <c r="A333" s="16" t="s">
        <v>367</v>
      </c>
      <c r="B333" s="16" t="s">
        <v>137</v>
      </c>
      <c r="C333" s="16" t="n">
        <v>2024</v>
      </c>
      <c r="D333" s="16" t="s">
        <v>166</v>
      </c>
      <c r="E333" s="16" t="n">
        <v>2024</v>
      </c>
      <c r="F333" s="16" t="n">
        <v>0</v>
      </c>
      <c r="G333" s="16" t="s">
        <v>647</v>
      </c>
    </row>
    <row r="334" customFormat="false" ht="15" hidden="false" customHeight="false" outlineLevel="0" collapsed="false">
      <c r="A334" s="16" t="s">
        <v>367</v>
      </c>
      <c r="B334" s="16" t="s">
        <v>166</v>
      </c>
      <c r="C334" s="16" t="n">
        <v>2024</v>
      </c>
      <c r="D334" s="16" t="s">
        <v>168</v>
      </c>
      <c r="E334" s="16" t="n">
        <v>2024</v>
      </c>
      <c r="F334" s="16" t="n">
        <v>0</v>
      </c>
      <c r="G334" s="16" t="s">
        <v>647</v>
      </c>
    </row>
    <row r="335" customFormat="false" ht="15" hidden="false" customHeight="false" outlineLevel="0" collapsed="false">
      <c r="A335" s="16" t="s">
        <v>367</v>
      </c>
      <c r="B335" s="16" t="s">
        <v>168</v>
      </c>
      <c r="C335" s="16" t="n">
        <v>2024</v>
      </c>
      <c r="D335" s="16" t="s">
        <v>230</v>
      </c>
      <c r="E335" s="16" t="n">
        <v>2024</v>
      </c>
      <c r="F335" s="16" t="n">
        <v>0</v>
      </c>
      <c r="G335" s="16" t="s">
        <v>647</v>
      </c>
    </row>
    <row r="336" customFormat="false" ht="15" hidden="false" customHeight="false" outlineLevel="0" collapsed="false">
      <c r="A336" s="16" t="s">
        <v>367</v>
      </c>
      <c r="B336" s="16" t="s">
        <v>230</v>
      </c>
      <c r="C336" s="16" t="n">
        <v>2024</v>
      </c>
      <c r="D336" s="16" t="s">
        <v>233</v>
      </c>
      <c r="E336" s="16" t="n">
        <v>2024</v>
      </c>
      <c r="F336" s="16" t="n">
        <v>0</v>
      </c>
      <c r="G336" s="16" t="s">
        <v>647</v>
      </c>
    </row>
    <row r="337" customFormat="false" ht="15" hidden="false" customHeight="false" outlineLevel="0" collapsed="false">
      <c r="A337" s="16" t="s">
        <v>367</v>
      </c>
      <c r="B337" s="16" t="s">
        <v>233</v>
      </c>
      <c r="C337" s="16" t="n">
        <v>2024</v>
      </c>
      <c r="D337" s="16" t="s">
        <v>236</v>
      </c>
      <c r="E337" s="16" t="n">
        <v>2024</v>
      </c>
      <c r="F337" s="16" t="n">
        <v>0</v>
      </c>
      <c r="G337" s="16" t="s">
        <v>647</v>
      </c>
    </row>
    <row r="338" customFormat="false" ht="15" hidden="false" customHeight="false" outlineLevel="0" collapsed="false">
      <c r="A338" s="16" t="s">
        <v>367</v>
      </c>
      <c r="B338" s="16" t="s">
        <v>236</v>
      </c>
      <c r="C338" s="16" t="n">
        <v>2024</v>
      </c>
      <c r="D338" s="16" t="s">
        <v>251</v>
      </c>
      <c r="E338" s="16" t="n">
        <v>2024</v>
      </c>
      <c r="F338" s="16" t="n">
        <v>0</v>
      </c>
      <c r="G338" s="16" t="s">
        <v>647</v>
      </c>
    </row>
    <row r="339" customFormat="false" ht="15" hidden="false" customHeight="false" outlineLevel="0" collapsed="false">
      <c r="A339" s="16" t="s">
        <v>367</v>
      </c>
      <c r="B339" s="16" t="s">
        <v>251</v>
      </c>
      <c r="C339" s="16" t="n">
        <v>2024</v>
      </c>
      <c r="D339" s="16" t="s">
        <v>322</v>
      </c>
      <c r="E339" s="16" t="n">
        <v>2024</v>
      </c>
      <c r="F339" s="16" t="n">
        <v>0</v>
      </c>
      <c r="G339" s="16" t="s">
        <v>647</v>
      </c>
    </row>
    <row r="340" customFormat="false" ht="15" hidden="false" customHeight="false" outlineLevel="0" collapsed="false">
      <c r="A340" s="16" t="s">
        <v>367</v>
      </c>
      <c r="B340" s="16" t="s">
        <v>100</v>
      </c>
      <c r="C340" s="16" t="n">
        <v>2025</v>
      </c>
      <c r="D340" s="16" t="s">
        <v>174</v>
      </c>
      <c r="E340" s="16" t="n">
        <v>2025</v>
      </c>
      <c r="F340" s="16" t="n">
        <v>0</v>
      </c>
      <c r="G340" s="16" t="s">
        <v>647</v>
      </c>
    </row>
    <row r="341" customFormat="false" ht="15" hidden="false" customHeight="false" outlineLevel="0" collapsed="false">
      <c r="A341" s="16" t="s">
        <v>367</v>
      </c>
      <c r="B341" s="16" t="s">
        <v>174</v>
      </c>
      <c r="C341" s="16" t="n">
        <v>2025</v>
      </c>
      <c r="D341" s="16" t="s">
        <v>199</v>
      </c>
      <c r="E341" s="16" t="n">
        <v>2025</v>
      </c>
      <c r="F341" s="16" t="n">
        <v>0</v>
      </c>
      <c r="G341" s="16" t="s">
        <v>647</v>
      </c>
    </row>
    <row r="342" customFormat="false" ht="15" hidden="false" customHeight="false" outlineLevel="0" collapsed="false">
      <c r="A342" s="16" t="s">
        <v>367</v>
      </c>
      <c r="B342" s="16" t="s">
        <v>199</v>
      </c>
      <c r="C342" s="16" t="n">
        <v>2025</v>
      </c>
      <c r="D342" s="16" t="s">
        <v>238</v>
      </c>
      <c r="E342" s="16" t="n">
        <v>2025</v>
      </c>
      <c r="F342" s="16" t="n">
        <v>0</v>
      </c>
      <c r="G342" s="16" t="s">
        <v>647</v>
      </c>
    </row>
    <row r="343" customFormat="false" ht="15" hidden="false" customHeight="false" outlineLevel="0" collapsed="false">
      <c r="A343" s="16" t="s">
        <v>367</v>
      </c>
      <c r="B343" s="16" t="s">
        <v>238</v>
      </c>
      <c r="C343" s="16" t="n">
        <v>2025</v>
      </c>
      <c r="D343" s="16" t="s">
        <v>242</v>
      </c>
      <c r="E343" s="16" t="n">
        <v>2025</v>
      </c>
      <c r="F343" s="16" t="n">
        <v>0</v>
      </c>
      <c r="G343" s="16" t="s">
        <v>647</v>
      </c>
    </row>
    <row r="344" customFormat="false" ht="15" hidden="false" customHeight="false" outlineLevel="0" collapsed="false">
      <c r="A344" s="16" t="s">
        <v>367</v>
      </c>
      <c r="B344" s="16" t="s">
        <v>242</v>
      </c>
      <c r="C344" s="16" t="n">
        <v>2025</v>
      </c>
      <c r="D344" s="16" t="s">
        <v>260</v>
      </c>
      <c r="E344" s="16" t="n">
        <v>2025</v>
      </c>
      <c r="F344" s="16" t="n">
        <v>0</v>
      </c>
      <c r="G344" s="16" t="s">
        <v>647</v>
      </c>
    </row>
    <row r="345" customFormat="false" ht="15" hidden="false" customHeight="false" outlineLevel="0" collapsed="false">
      <c r="A345" s="16" t="s">
        <v>367</v>
      </c>
      <c r="B345" s="16" t="s">
        <v>260</v>
      </c>
      <c r="C345" s="16" t="n">
        <v>2025</v>
      </c>
      <c r="D345" s="16" t="s">
        <v>263</v>
      </c>
      <c r="E345" s="16" t="n">
        <v>2025</v>
      </c>
      <c r="F345" s="16" t="n">
        <v>0</v>
      </c>
      <c r="G345" s="16" t="s">
        <v>647</v>
      </c>
    </row>
    <row r="346" customFormat="false" ht="15" hidden="false" customHeight="false" outlineLevel="0" collapsed="false">
      <c r="A346" s="16" t="s">
        <v>367</v>
      </c>
      <c r="B346" s="16" t="s">
        <v>263</v>
      </c>
      <c r="C346" s="16" t="n">
        <v>2025</v>
      </c>
      <c r="D346" s="16" t="s">
        <v>320</v>
      </c>
      <c r="E346" s="16" t="n">
        <v>2025</v>
      </c>
      <c r="F346" s="16" t="n">
        <v>0</v>
      </c>
      <c r="G346" s="16" t="s">
        <v>647</v>
      </c>
    </row>
    <row r="347" customFormat="false" ht="15" hidden="false" customHeight="false" outlineLevel="0" collapsed="false">
      <c r="A347" s="16" t="s">
        <v>368</v>
      </c>
      <c r="B347" s="16" t="s">
        <v>35</v>
      </c>
      <c r="C347" s="16" t="n">
        <v>1</v>
      </c>
      <c r="D347" s="16" t="s">
        <v>59</v>
      </c>
      <c r="E347" s="16" t="n">
        <v>1</v>
      </c>
      <c r="F347" s="16" t="n">
        <v>0</v>
      </c>
      <c r="G347" s="16" t="s">
        <v>647</v>
      </c>
    </row>
    <row r="348" customFormat="false" ht="15" hidden="false" customHeight="false" outlineLevel="0" collapsed="false">
      <c r="A348" s="16" t="s">
        <v>368</v>
      </c>
      <c r="B348" s="16" t="s">
        <v>59</v>
      </c>
      <c r="C348" s="16" t="n">
        <v>1</v>
      </c>
      <c r="D348" s="16" t="s">
        <v>79</v>
      </c>
      <c r="E348" s="16" t="n">
        <v>1</v>
      </c>
      <c r="F348" s="16" t="n">
        <v>0</v>
      </c>
      <c r="G348" s="16" t="s">
        <v>647</v>
      </c>
    </row>
    <row r="349" customFormat="false" ht="15" hidden="false" customHeight="false" outlineLevel="0" collapsed="false">
      <c r="A349" s="16" t="s">
        <v>368</v>
      </c>
      <c r="B349" s="16" t="s">
        <v>79</v>
      </c>
      <c r="C349" s="16" t="n">
        <v>1</v>
      </c>
      <c r="D349" s="16" t="s">
        <v>144</v>
      </c>
      <c r="E349" s="16" t="n">
        <v>1</v>
      </c>
      <c r="F349" s="16" t="n">
        <v>0</v>
      </c>
      <c r="G349" s="16" t="s">
        <v>647</v>
      </c>
    </row>
    <row r="350" customFormat="false" ht="15" hidden="false" customHeight="false" outlineLevel="0" collapsed="false">
      <c r="A350" s="16" t="s">
        <v>368</v>
      </c>
      <c r="B350" s="16" t="s">
        <v>144</v>
      </c>
      <c r="C350" s="16" t="n">
        <v>1</v>
      </c>
      <c r="D350" s="16" t="s">
        <v>148</v>
      </c>
      <c r="E350" s="16" t="n">
        <v>1</v>
      </c>
      <c r="F350" s="16" t="n">
        <v>0</v>
      </c>
      <c r="G350" s="16" t="s">
        <v>647</v>
      </c>
    </row>
    <row r="351" customFormat="false" ht="15" hidden="false" customHeight="false" outlineLevel="0" collapsed="false">
      <c r="A351" s="16" t="s">
        <v>368</v>
      </c>
      <c r="B351" s="16" t="s">
        <v>148</v>
      </c>
      <c r="C351" s="16" t="n">
        <v>1</v>
      </c>
      <c r="D351" s="16" t="s">
        <v>151</v>
      </c>
      <c r="E351" s="16" t="n">
        <v>1</v>
      </c>
      <c r="F351" s="16" t="n">
        <v>0</v>
      </c>
      <c r="G351" s="16" t="s">
        <v>647</v>
      </c>
    </row>
    <row r="352" customFormat="false" ht="15" hidden="false" customHeight="false" outlineLevel="0" collapsed="false">
      <c r="A352" s="16" t="s">
        <v>368</v>
      </c>
      <c r="B352" s="16" t="s">
        <v>151</v>
      </c>
      <c r="C352" s="16" t="n">
        <v>1</v>
      </c>
      <c r="D352" s="16" t="s">
        <v>159</v>
      </c>
      <c r="E352" s="16" t="n">
        <v>1</v>
      </c>
      <c r="F352" s="16" t="n">
        <v>0</v>
      </c>
      <c r="G352" s="16" t="s">
        <v>647</v>
      </c>
    </row>
    <row r="353" customFormat="false" ht="15" hidden="false" customHeight="false" outlineLevel="0" collapsed="false">
      <c r="A353" s="16" t="s">
        <v>368</v>
      </c>
      <c r="B353" s="16" t="s">
        <v>159</v>
      </c>
      <c r="C353" s="16" t="n">
        <v>1</v>
      </c>
      <c r="D353" s="16" t="s">
        <v>162</v>
      </c>
      <c r="E353" s="16" t="n">
        <v>1</v>
      </c>
      <c r="F353" s="16" t="n">
        <v>0</v>
      </c>
      <c r="G353" s="16" t="s">
        <v>647</v>
      </c>
    </row>
    <row r="354" customFormat="false" ht="15" hidden="false" customHeight="false" outlineLevel="0" collapsed="false">
      <c r="A354" s="16" t="s">
        <v>368</v>
      </c>
      <c r="B354" s="16" t="s">
        <v>162</v>
      </c>
      <c r="C354" s="16" t="n">
        <v>1</v>
      </c>
      <c r="D354" s="16" t="s">
        <v>174</v>
      </c>
      <c r="E354" s="16" t="n">
        <v>1</v>
      </c>
      <c r="F354" s="16" t="n">
        <v>0</v>
      </c>
      <c r="G354" s="16" t="s">
        <v>647</v>
      </c>
    </row>
    <row r="355" customFormat="false" ht="15" hidden="false" customHeight="false" outlineLevel="0" collapsed="false">
      <c r="A355" s="16" t="s">
        <v>368</v>
      </c>
      <c r="B355" s="16" t="s">
        <v>174</v>
      </c>
      <c r="C355" s="16" t="n">
        <v>1</v>
      </c>
      <c r="D355" s="16" t="s">
        <v>178</v>
      </c>
      <c r="E355" s="16" t="n">
        <v>1</v>
      </c>
      <c r="F355" s="16" t="n">
        <v>0</v>
      </c>
      <c r="G355" s="16" t="s">
        <v>647</v>
      </c>
    </row>
    <row r="356" customFormat="false" ht="15" hidden="false" customHeight="false" outlineLevel="0" collapsed="false">
      <c r="A356" s="16" t="s">
        <v>368</v>
      </c>
      <c r="B356" s="16" t="s">
        <v>178</v>
      </c>
      <c r="C356" s="16" t="n">
        <v>1</v>
      </c>
      <c r="D356" s="16" t="s">
        <v>290</v>
      </c>
      <c r="E356" s="16" t="n">
        <v>1</v>
      </c>
      <c r="F356" s="16" t="n">
        <v>0</v>
      </c>
      <c r="G356" s="16" t="s">
        <v>647</v>
      </c>
    </row>
    <row r="357" customFormat="false" ht="15" hidden="false" customHeight="false" outlineLevel="0" collapsed="false">
      <c r="A357" s="16" t="s">
        <v>368</v>
      </c>
      <c r="B357" s="16" t="s">
        <v>290</v>
      </c>
      <c r="C357" s="16" t="n">
        <v>1</v>
      </c>
      <c r="D357" s="16" t="s">
        <v>47</v>
      </c>
      <c r="E357" s="16" t="n">
        <v>2</v>
      </c>
      <c r="F357" s="16" t="n">
        <v>1</v>
      </c>
      <c r="G357" s="16"/>
    </row>
    <row r="358" customFormat="false" ht="15" hidden="false" customHeight="false" outlineLevel="0" collapsed="false">
      <c r="A358" s="16" t="s">
        <v>368</v>
      </c>
      <c r="B358" s="16" t="s">
        <v>47</v>
      </c>
      <c r="C358" s="16" t="n">
        <v>2</v>
      </c>
      <c r="D358" s="16" t="s">
        <v>51</v>
      </c>
      <c r="E358" s="16" t="n">
        <v>2</v>
      </c>
      <c r="F358" s="16" t="n">
        <v>0</v>
      </c>
      <c r="G358" s="16" t="s">
        <v>647</v>
      </c>
    </row>
    <row r="359" customFormat="false" ht="15" hidden="false" customHeight="false" outlineLevel="0" collapsed="false">
      <c r="A359" s="16" t="s">
        <v>368</v>
      </c>
      <c r="B359" s="16" t="s">
        <v>51</v>
      </c>
      <c r="C359" s="16" t="n">
        <v>2</v>
      </c>
      <c r="D359" s="16" t="s">
        <v>83</v>
      </c>
      <c r="E359" s="16" t="n">
        <v>2</v>
      </c>
      <c r="F359" s="16" t="n">
        <v>0</v>
      </c>
      <c r="G359" s="16" t="s">
        <v>647</v>
      </c>
    </row>
    <row r="360" customFormat="false" ht="15" hidden="false" customHeight="false" outlineLevel="0" collapsed="false">
      <c r="A360" s="16" t="s">
        <v>368</v>
      </c>
      <c r="B360" s="16" t="s">
        <v>83</v>
      </c>
      <c r="C360" s="16" t="n">
        <v>2</v>
      </c>
      <c r="D360" s="16" t="s">
        <v>238</v>
      </c>
      <c r="E360" s="16" t="n">
        <v>2</v>
      </c>
      <c r="F360" s="16" t="n">
        <v>0</v>
      </c>
      <c r="G360" s="16" t="s">
        <v>647</v>
      </c>
    </row>
    <row r="361" customFormat="false" ht="15" hidden="false" customHeight="false" outlineLevel="0" collapsed="false">
      <c r="A361" s="16" t="s">
        <v>368</v>
      </c>
      <c r="B361" s="16" t="s">
        <v>238</v>
      </c>
      <c r="C361" s="16" t="n">
        <v>2</v>
      </c>
      <c r="D361" s="16" t="s">
        <v>302</v>
      </c>
      <c r="E361" s="16" t="n">
        <v>2</v>
      </c>
      <c r="F361" s="16" t="n">
        <v>0</v>
      </c>
      <c r="G361" s="16" t="s">
        <v>647</v>
      </c>
    </row>
    <row r="362" customFormat="false" ht="15" hidden="false" customHeight="false" outlineLevel="0" collapsed="false">
      <c r="A362" s="16" t="s">
        <v>368</v>
      </c>
      <c r="B362" s="16" t="s">
        <v>302</v>
      </c>
      <c r="C362" s="16" t="n">
        <v>2</v>
      </c>
      <c r="D362" s="16" t="s">
        <v>307</v>
      </c>
      <c r="E362" s="16" t="n">
        <v>2</v>
      </c>
      <c r="F362" s="16" t="n">
        <v>0</v>
      </c>
      <c r="G362" s="16" t="s">
        <v>647</v>
      </c>
    </row>
    <row r="363" customFormat="false" ht="15" hidden="false" customHeight="false" outlineLevel="0" collapsed="false">
      <c r="A363" s="16" t="s">
        <v>368</v>
      </c>
      <c r="B363" s="16" t="s">
        <v>307</v>
      </c>
      <c r="C363" s="16" t="n">
        <v>2</v>
      </c>
      <c r="D363" s="16" t="s">
        <v>55</v>
      </c>
      <c r="E363" s="16" t="n">
        <v>3</v>
      </c>
      <c r="F363" s="16" t="n">
        <v>1</v>
      </c>
      <c r="G363" s="16"/>
    </row>
    <row r="364" customFormat="false" ht="15" hidden="false" customHeight="false" outlineLevel="0" collapsed="false">
      <c r="A364" s="16" t="s">
        <v>368</v>
      </c>
      <c r="B364" s="16" t="s">
        <v>55</v>
      </c>
      <c r="C364" s="16" t="n">
        <v>3</v>
      </c>
      <c r="D364" s="16" t="s">
        <v>171</v>
      </c>
      <c r="E364" s="16" t="n">
        <v>3</v>
      </c>
      <c r="F364" s="16" t="n">
        <v>0</v>
      </c>
      <c r="G364" s="16" t="s">
        <v>647</v>
      </c>
    </row>
    <row r="365" customFormat="false" ht="15" hidden="false" customHeight="false" outlineLevel="0" collapsed="false">
      <c r="A365" s="16" t="s">
        <v>368</v>
      </c>
      <c r="B365" s="16" t="s">
        <v>171</v>
      </c>
      <c r="C365" s="16" t="n">
        <v>3</v>
      </c>
      <c r="D365" s="16" t="s">
        <v>310</v>
      </c>
      <c r="E365" s="16" t="n">
        <v>3</v>
      </c>
      <c r="F365" s="16" t="n">
        <v>0</v>
      </c>
      <c r="G365" s="16" t="s">
        <v>647</v>
      </c>
    </row>
    <row r="366" customFormat="false" ht="15" hidden="false" customHeight="false" outlineLevel="0" collapsed="false">
      <c r="A366" s="16" t="s">
        <v>368</v>
      </c>
      <c r="B366" s="16" t="s">
        <v>310</v>
      </c>
      <c r="C366" s="16" t="n">
        <v>3</v>
      </c>
      <c r="D366" s="16" t="s">
        <v>320</v>
      </c>
      <c r="E366" s="16" t="n">
        <v>3</v>
      </c>
      <c r="F366" s="16" t="n">
        <v>0</v>
      </c>
      <c r="G366" s="16" t="s">
        <v>647</v>
      </c>
    </row>
    <row r="367" customFormat="false" ht="15" hidden="false" customHeight="false" outlineLevel="0" collapsed="false">
      <c r="A367" s="16" t="s">
        <v>368</v>
      </c>
      <c r="B367" s="16" t="s">
        <v>320</v>
      </c>
      <c r="C367" s="16" t="n">
        <v>3</v>
      </c>
      <c r="D367" s="16" t="s">
        <v>342</v>
      </c>
      <c r="E367" s="16" t="n">
        <v>3</v>
      </c>
      <c r="F367" s="16" t="n">
        <v>0</v>
      </c>
      <c r="G367" s="16" t="s">
        <v>647</v>
      </c>
    </row>
    <row r="368" customFormat="false" ht="15" hidden="false" customHeight="false" outlineLevel="0" collapsed="false">
      <c r="A368" s="16" t="s">
        <v>368</v>
      </c>
      <c r="B368" s="16" t="s">
        <v>342</v>
      </c>
      <c r="C368" s="16" t="n">
        <v>3</v>
      </c>
      <c r="D368" s="16" t="s">
        <v>236</v>
      </c>
      <c r="E368" s="16" t="n">
        <v>4</v>
      </c>
      <c r="F368" s="16" t="n">
        <v>1</v>
      </c>
      <c r="G368" s="16"/>
    </row>
    <row r="369" customFormat="false" ht="15" hidden="false" customHeight="false" outlineLevel="0" collapsed="false">
      <c r="A369" s="16" t="s">
        <v>368</v>
      </c>
      <c r="B369" s="16" t="s">
        <v>236</v>
      </c>
      <c r="C369" s="16" t="n">
        <v>4</v>
      </c>
      <c r="D369" s="16" t="s">
        <v>266</v>
      </c>
      <c r="E369" s="16" t="n">
        <v>4</v>
      </c>
      <c r="F369" s="16" t="n">
        <v>0</v>
      </c>
      <c r="G369" s="16" t="s">
        <v>647</v>
      </c>
    </row>
    <row r="370" customFormat="false" ht="15" hidden="false" customHeight="false" outlineLevel="0" collapsed="false">
      <c r="A370" s="16" t="s">
        <v>368</v>
      </c>
      <c r="B370" s="16" t="s">
        <v>266</v>
      </c>
      <c r="C370" s="16" t="n">
        <v>4</v>
      </c>
      <c r="D370" s="16" t="s">
        <v>270</v>
      </c>
      <c r="E370" s="16" t="n">
        <v>4</v>
      </c>
      <c r="F370" s="16" t="n">
        <v>0</v>
      </c>
      <c r="G370" s="16" t="s">
        <v>647</v>
      </c>
    </row>
    <row r="371" customFormat="false" ht="15" hidden="false" customHeight="false" outlineLevel="0" collapsed="false">
      <c r="A371" s="16" t="s">
        <v>368</v>
      </c>
      <c r="B371" s="16" t="s">
        <v>270</v>
      </c>
      <c r="C371" s="16" t="n">
        <v>4</v>
      </c>
      <c r="D371" s="16" t="s">
        <v>339</v>
      </c>
      <c r="E371" s="16" t="n">
        <v>4</v>
      </c>
      <c r="F371" s="16" t="n">
        <v>0</v>
      </c>
      <c r="G371" s="16" t="s">
        <v>647</v>
      </c>
    </row>
    <row r="372" customFormat="false" ht="15" hidden="false" customHeight="false" outlineLevel="0" collapsed="false">
      <c r="A372" s="16" t="s">
        <v>368</v>
      </c>
      <c r="B372" s="16" t="s">
        <v>339</v>
      </c>
      <c r="C372" s="16" t="n">
        <v>4</v>
      </c>
      <c r="D372" s="16" t="s">
        <v>109</v>
      </c>
      <c r="E372" s="16" t="n">
        <v>5</v>
      </c>
      <c r="F372" s="16" t="n">
        <v>1</v>
      </c>
      <c r="G372" s="16"/>
    </row>
    <row r="373" customFormat="false" ht="15" hidden="false" customHeight="false" outlineLevel="0" collapsed="false">
      <c r="A373" s="16" t="s">
        <v>368</v>
      </c>
      <c r="B373" s="16" t="s">
        <v>109</v>
      </c>
      <c r="C373" s="16" t="n">
        <v>5</v>
      </c>
      <c r="D373" s="16" t="s">
        <v>155</v>
      </c>
      <c r="E373" s="16" t="n">
        <v>5</v>
      </c>
      <c r="F373" s="16" t="n">
        <v>0</v>
      </c>
      <c r="G373" s="16" t="s">
        <v>647</v>
      </c>
    </row>
    <row r="374" customFormat="false" ht="15" hidden="false" customHeight="false" outlineLevel="0" collapsed="false">
      <c r="A374" s="16" t="s">
        <v>368</v>
      </c>
      <c r="B374" s="16" t="s">
        <v>155</v>
      </c>
      <c r="C374" s="16" t="n">
        <v>5</v>
      </c>
      <c r="D374" s="16" t="s">
        <v>345</v>
      </c>
      <c r="E374" s="16" t="n">
        <v>5</v>
      </c>
      <c r="F374" s="16" t="n">
        <v>0</v>
      </c>
      <c r="G374" s="16" t="s">
        <v>647</v>
      </c>
    </row>
    <row r="375" customFormat="false" ht="15" hidden="false" customHeight="false" outlineLevel="0" collapsed="false">
      <c r="A375" s="16" t="s">
        <v>368</v>
      </c>
      <c r="B375" s="16" t="s">
        <v>345</v>
      </c>
      <c r="C375" s="16" t="n">
        <v>5</v>
      </c>
      <c r="D375" s="16" t="s">
        <v>348</v>
      </c>
      <c r="E375" s="16" t="n">
        <v>5</v>
      </c>
      <c r="F375" s="16" t="n">
        <v>0</v>
      </c>
      <c r="G375" s="16" t="s">
        <v>647</v>
      </c>
    </row>
    <row r="376" customFormat="false" ht="15" hidden="false" customHeight="false" outlineLevel="0" collapsed="false">
      <c r="A376" s="16" t="s">
        <v>368</v>
      </c>
      <c r="B376" s="16" t="s">
        <v>348</v>
      </c>
      <c r="C376" s="16" t="n">
        <v>5</v>
      </c>
      <c r="D376" s="16" t="s">
        <v>43</v>
      </c>
      <c r="E376" s="16" t="n">
        <v>6</v>
      </c>
      <c r="F376" s="16" t="n">
        <v>1</v>
      </c>
      <c r="G376" s="16"/>
    </row>
    <row r="377" customFormat="false" ht="15" hidden="false" customHeight="false" outlineLevel="0" collapsed="false">
      <c r="A377" s="16" t="s">
        <v>368</v>
      </c>
      <c r="B377" s="16" t="s">
        <v>43</v>
      </c>
      <c r="C377" s="16" t="n">
        <v>6</v>
      </c>
      <c r="D377" s="16" t="s">
        <v>100</v>
      </c>
      <c r="E377" s="16" t="n">
        <v>6</v>
      </c>
      <c r="F377" s="16" t="n">
        <v>0</v>
      </c>
      <c r="G377" s="16" t="s">
        <v>647</v>
      </c>
    </row>
    <row r="378" customFormat="false" ht="15" hidden="false" customHeight="false" outlineLevel="0" collapsed="false">
      <c r="A378" s="16" t="s">
        <v>368</v>
      </c>
      <c r="B378" s="16" t="s">
        <v>100</v>
      </c>
      <c r="C378" s="16" t="n">
        <v>6</v>
      </c>
      <c r="D378" s="16" t="s">
        <v>129</v>
      </c>
      <c r="E378" s="16" t="n">
        <v>6</v>
      </c>
      <c r="F378" s="16" t="n">
        <v>0</v>
      </c>
      <c r="G378" s="16" t="s">
        <v>647</v>
      </c>
    </row>
    <row r="379" customFormat="false" ht="15" hidden="false" customHeight="false" outlineLevel="0" collapsed="false">
      <c r="A379" s="16" t="s">
        <v>368</v>
      </c>
      <c r="B379" s="16" t="s">
        <v>129</v>
      </c>
      <c r="C379" s="16" t="n">
        <v>6</v>
      </c>
      <c r="D379" s="16" t="s">
        <v>228</v>
      </c>
      <c r="E379" s="16" t="n">
        <v>6</v>
      </c>
      <c r="F379" s="16" t="n">
        <v>0</v>
      </c>
      <c r="G379" s="16" t="s">
        <v>647</v>
      </c>
    </row>
    <row r="380" customFormat="false" ht="15" hidden="false" customHeight="false" outlineLevel="0" collapsed="false">
      <c r="A380" s="16" t="s">
        <v>368</v>
      </c>
      <c r="B380" s="16" t="s">
        <v>228</v>
      </c>
      <c r="C380" s="16" t="n">
        <v>6</v>
      </c>
      <c r="D380" s="16" t="s">
        <v>282</v>
      </c>
      <c r="E380" s="16" t="n">
        <v>6</v>
      </c>
      <c r="F380" s="16" t="n">
        <v>0</v>
      </c>
      <c r="G380" s="16" t="s">
        <v>647</v>
      </c>
    </row>
    <row r="381" customFormat="false" ht="15" hidden="false" customHeight="false" outlineLevel="0" collapsed="false">
      <c r="A381" s="16" t="s">
        <v>368</v>
      </c>
      <c r="B381" s="16" t="s">
        <v>282</v>
      </c>
      <c r="C381" s="16" t="n">
        <v>6</v>
      </c>
      <c r="D381" s="16" t="s">
        <v>27</v>
      </c>
      <c r="E381" s="16" t="n">
        <v>7</v>
      </c>
      <c r="F381" s="16" t="n">
        <v>1</v>
      </c>
      <c r="G381" s="16"/>
    </row>
    <row r="382" customFormat="false" ht="15" hidden="false" customHeight="false" outlineLevel="0" collapsed="false">
      <c r="A382" s="16" t="s">
        <v>368</v>
      </c>
      <c r="B382" s="16" t="s">
        <v>27</v>
      </c>
      <c r="C382" s="16" t="n">
        <v>7</v>
      </c>
      <c r="D382" s="16" t="s">
        <v>225</v>
      </c>
      <c r="E382" s="16" t="n">
        <v>7</v>
      </c>
      <c r="F382" s="16" t="n">
        <v>0</v>
      </c>
      <c r="G382" s="16" t="s">
        <v>647</v>
      </c>
    </row>
    <row r="383" customFormat="false" ht="15" hidden="false" customHeight="false" outlineLevel="0" collapsed="false">
      <c r="A383" s="16" t="s">
        <v>368</v>
      </c>
      <c r="B383" s="16" t="s">
        <v>225</v>
      </c>
      <c r="C383" s="16" t="n">
        <v>7</v>
      </c>
      <c r="D383" s="16" t="s">
        <v>273</v>
      </c>
      <c r="E383" s="16" t="n">
        <v>7</v>
      </c>
      <c r="F383" s="16" t="n">
        <v>0</v>
      </c>
      <c r="G383" s="16" t="s">
        <v>647</v>
      </c>
    </row>
    <row r="384" customFormat="false" ht="15" hidden="false" customHeight="false" outlineLevel="0" collapsed="false">
      <c r="A384" s="16" t="s">
        <v>368</v>
      </c>
      <c r="B384" s="16" t="s">
        <v>273</v>
      </c>
      <c r="C384" s="16" t="n">
        <v>7</v>
      </c>
      <c r="D384" s="16" t="s">
        <v>90</v>
      </c>
      <c r="E384" s="16" t="n">
        <v>8</v>
      </c>
      <c r="F384" s="16" t="n">
        <v>1</v>
      </c>
      <c r="G384" s="16"/>
    </row>
    <row r="385" customFormat="false" ht="15" hidden="false" customHeight="false" outlineLevel="0" collapsed="false">
      <c r="A385" s="16" t="s">
        <v>368</v>
      </c>
      <c r="B385" s="16" t="s">
        <v>90</v>
      </c>
      <c r="C385" s="16" t="n">
        <v>8</v>
      </c>
      <c r="D385" s="16" t="s">
        <v>93</v>
      </c>
      <c r="E385" s="16" t="n">
        <v>8</v>
      </c>
      <c r="F385" s="16" t="n">
        <v>0</v>
      </c>
      <c r="G385" s="16" t="s">
        <v>647</v>
      </c>
    </row>
    <row r="386" customFormat="false" ht="15" hidden="false" customHeight="false" outlineLevel="0" collapsed="false">
      <c r="A386" s="16" t="s">
        <v>368</v>
      </c>
      <c r="B386" s="16" t="s">
        <v>93</v>
      </c>
      <c r="C386" s="16" t="n">
        <v>8</v>
      </c>
      <c r="D386" s="16" t="s">
        <v>166</v>
      </c>
      <c r="E386" s="16" t="n">
        <v>8</v>
      </c>
      <c r="F386" s="16" t="n">
        <v>0</v>
      </c>
      <c r="G386" s="16" t="s">
        <v>647</v>
      </c>
    </row>
    <row r="387" customFormat="false" ht="15" hidden="false" customHeight="false" outlineLevel="0" collapsed="false">
      <c r="A387" s="16" t="s">
        <v>368</v>
      </c>
      <c r="B387" s="16" t="s">
        <v>166</v>
      </c>
      <c r="C387" s="16" t="n">
        <v>8</v>
      </c>
      <c r="D387" s="16" t="s">
        <v>216</v>
      </c>
      <c r="E387" s="16" t="n">
        <v>8</v>
      </c>
      <c r="F387" s="16" t="n">
        <v>0</v>
      </c>
      <c r="G387" s="16" t="s">
        <v>647</v>
      </c>
    </row>
    <row r="388" customFormat="false" ht="15" hidden="false" customHeight="false" outlineLevel="0" collapsed="false">
      <c r="A388" s="16" t="s">
        <v>368</v>
      </c>
      <c r="B388" s="16" t="s">
        <v>216</v>
      </c>
      <c r="C388" s="16" t="n">
        <v>8</v>
      </c>
      <c r="D388" s="16" t="s">
        <v>242</v>
      </c>
      <c r="E388" s="16" t="n">
        <v>8</v>
      </c>
      <c r="F388" s="16" t="n">
        <v>0</v>
      </c>
      <c r="G388" s="16" t="s">
        <v>647</v>
      </c>
    </row>
    <row r="389" customFormat="false" ht="15" hidden="false" customHeight="false" outlineLevel="0" collapsed="false">
      <c r="A389" s="16" t="s">
        <v>368</v>
      </c>
      <c r="B389" s="16" t="s">
        <v>242</v>
      </c>
      <c r="C389" s="16" t="n">
        <v>8</v>
      </c>
      <c r="D389" s="16" t="s">
        <v>257</v>
      </c>
      <c r="E389" s="16" t="n">
        <v>8</v>
      </c>
      <c r="F389" s="16" t="n">
        <v>0</v>
      </c>
      <c r="G389" s="16" t="s">
        <v>647</v>
      </c>
    </row>
    <row r="390" customFormat="false" ht="15" hidden="false" customHeight="false" outlineLevel="0" collapsed="false">
      <c r="A390" s="16" t="s">
        <v>368</v>
      </c>
      <c r="B390" s="16" t="s">
        <v>257</v>
      </c>
      <c r="C390" s="16" t="n">
        <v>8</v>
      </c>
      <c r="D390" s="16" t="s">
        <v>332</v>
      </c>
      <c r="E390" s="16" t="n">
        <v>8</v>
      </c>
      <c r="F390" s="16" t="n">
        <v>0</v>
      </c>
      <c r="G390" s="16" t="s">
        <v>647</v>
      </c>
    </row>
    <row r="391" customFormat="false" ht="15" hidden="false" customHeight="false" outlineLevel="0" collapsed="false">
      <c r="A391" s="16" t="s">
        <v>368</v>
      </c>
      <c r="B391" s="16" t="s">
        <v>332</v>
      </c>
      <c r="C391" s="16" t="n">
        <v>8</v>
      </c>
      <c r="D391" s="16" t="s">
        <v>251</v>
      </c>
      <c r="E391" s="16" t="n">
        <v>9</v>
      </c>
      <c r="F391" s="16" t="n">
        <v>1</v>
      </c>
      <c r="G391" s="16"/>
    </row>
    <row r="392" customFormat="false" ht="15" hidden="false" customHeight="false" outlineLevel="0" collapsed="false">
      <c r="A392" s="16" t="s">
        <v>368</v>
      </c>
      <c r="B392" s="16" t="s">
        <v>251</v>
      </c>
      <c r="C392" s="16" t="n">
        <v>9</v>
      </c>
      <c r="D392" s="16" t="s">
        <v>317</v>
      </c>
      <c r="E392" s="16" t="n">
        <v>9</v>
      </c>
      <c r="F392" s="16" t="n">
        <v>0</v>
      </c>
      <c r="G392" s="16" t="s">
        <v>647</v>
      </c>
    </row>
    <row r="393" customFormat="false" ht="15" hidden="false" customHeight="false" outlineLevel="0" collapsed="false">
      <c r="A393" s="16" t="s">
        <v>368</v>
      </c>
      <c r="B393" s="16" t="s">
        <v>317</v>
      </c>
      <c r="C393" s="16" t="n">
        <v>9</v>
      </c>
      <c r="D393" s="16" t="s">
        <v>335</v>
      </c>
      <c r="E393" s="16" t="n">
        <v>9</v>
      </c>
      <c r="F393" s="16" t="n">
        <v>0</v>
      </c>
      <c r="G393" s="16" t="s">
        <v>647</v>
      </c>
    </row>
    <row r="394" customFormat="false" ht="15" hidden="false" customHeight="false" outlineLevel="0" collapsed="false">
      <c r="A394" s="16" t="s">
        <v>368</v>
      </c>
      <c r="B394" s="16" t="s">
        <v>335</v>
      </c>
      <c r="C394" s="16" t="n">
        <v>9</v>
      </c>
      <c r="D394" s="16" t="s">
        <v>22</v>
      </c>
      <c r="E394" s="16" t="n">
        <v>10</v>
      </c>
      <c r="F394" s="16" t="n">
        <v>1</v>
      </c>
      <c r="G394" s="16"/>
    </row>
    <row r="395" customFormat="false" ht="15" hidden="false" customHeight="false" outlineLevel="0" collapsed="false">
      <c r="A395" s="16" t="s">
        <v>368</v>
      </c>
      <c r="B395" s="16" t="s">
        <v>22</v>
      </c>
      <c r="C395" s="16" t="n">
        <v>10</v>
      </c>
      <c r="D395" s="16" t="s">
        <v>168</v>
      </c>
      <c r="E395" s="16" t="n">
        <v>10</v>
      </c>
      <c r="F395" s="16" t="n">
        <v>0</v>
      </c>
      <c r="G395" s="16" t="s">
        <v>647</v>
      </c>
    </row>
    <row r="396" customFormat="false" ht="15" hidden="false" customHeight="false" outlineLevel="0" collapsed="false">
      <c r="A396" s="16" t="s">
        <v>368</v>
      </c>
      <c r="B396" s="16" t="s">
        <v>168</v>
      </c>
      <c r="C396" s="16" t="n">
        <v>10</v>
      </c>
      <c r="D396" s="16" t="s">
        <v>209</v>
      </c>
      <c r="E396" s="16" t="n">
        <v>10</v>
      </c>
      <c r="F396" s="16" t="n">
        <v>0</v>
      </c>
      <c r="G396" s="16" t="s">
        <v>647</v>
      </c>
    </row>
    <row r="397" customFormat="false" ht="15" hidden="false" customHeight="false" outlineLevel="0" collapsed="false">
      <c r="A397" s="16" t="s">
        <v>368</v>
      </c>
      <c r="B397" s="16" t="s">
        <v>209</v>
      </c>
      <c r="C397" s="16" t="n">
        <v>10</v>
      </c>
      <c r="D397" s="16" t="s">
        <v>248</v>
      </c>
      <c r="E397" s="16" t="n">
        <v>10</v>
      </c>
      <c r="F397" s="16" t="n">
        <v>0</v>
      </c>
      <c r="G397" s="16" t="s">
        <v>647</v>
      </c>
    </row>
    <row r="398" customFormat="false" ht="15" hidden="false" customHeight="false" outlineLevel="0" collapsed="false">
      <c r="A398" s="16" t="s">
        <v>368</v>
      </c>
      <c r="B398" s="16" t="s">
        <v>248</v>
      </c>
      <c r="C398" s="16" t="n">
        <v>10</v>
      </c>
      <c r="D398" s="16" t="s">
        <v>263</v>
      </c>
      <c r="E398" s="16" t="n">
        <v>10</v>
      </c>
      <c r="F398" s="16" t="n">
        <v>0</v>
      </c>
      <c r="G398" s="16" t="s">
        <v>647</v>
      </c>
    </row>
    <row r="399" customFormat="false" ht="15" hidden="false" customHeight="false" outlineLevel="0" collapsed="false">
      <c r="A399" s="16" t="s">
        <v>368</v>
      </c>
      <c r="B399" s="16" t="s">
        <v>263</v>
      </c>
      <c r="C399" s="16" t="n">
        <v>10</v>
      </c>
      <c r="D399" s="16" t="s">
        <v>71</v>
      </c>
      <c r="E399" s="16" t="n">
        <v>12</v>
      </c>
      <c r="F399" s="16" t="n">
        <v>2</v>
      </c>
      <c r="G399" s="16"/>
    </row>
    <row r="400" customFormat="false" ht="15" hidden="false" customHeight="false" outlineLevel="0" collapsed="false">
      <c r="A400" s="16" t="s">
        <v>368</v>
      </c>
      <c r="B400" s="16" t="s">
        <v>71</v>
      </c>
      <c r="C400" s="16" t="n">
        <v>12</v>
      </c>
      <c r="D400" s="16" t="s">
        <v>97</v>
      </c>
      <c r="E400" s="16" t="n">
        <v>12</v>
      </c>
      <c r="F400" s="16" t="n">
        <v>0</v>
      </c>
      <c r="G400" s="16" t="s">
        <v>647</v>
      </c>
    </row>
    <row r="401" customFormat="false" ht="15" hidden="false" customHeight="false" outlineLevel="0" collapsed="false">
      <c r="A401" s="16" t="s">
        <v>368</v>
      </c>
      <c r="B401" s="16" t="s">
        <v>97</v>
      </c>
      <c r="C401" s="16" t="n">
        <v>12</v>
      </c>
      <c r="D401" s="16" t="s">
        <v>299</v>
      </c>
      <c r="E401" s="16" t="n">
        <v>12</v>
      </c>
      <c r="F401" s="16" t="n">
        <v>0</v>
      </c>
      <c r="G401" s="16" t="s">
        <v>647</v>
      </c>
    </row>
    <row r="402" customFormat="false" ht="15" hidden="false" customHeight="false" outlineLevel="0" collapsed="false">
      <c r="A402" s="16" t="s">
        <v>368</v>
      </c>
      <c r="B402" s="16" t="s">
        <v>299</v>
      </c>
      <c r="C402" s="16" t="n">
        <v>12</v>
      </c>
      <c r="D402" s="16" t="s">
        <v>137</v>
      </c>
      <c r="E402" s="16" t="n">
        <v>13</v>
      </c>
      <c r="F402" s="16" t="n">
        <v>1</v>
      </c>
      <c r="G402" s="16"/>
    </row>
    <row r="403" customFormat="false" ht="15" hidden="false" customHeight="false" outlineLevel="0" collapsed="false">
      <c r="A403" s="16" t="s">
        <v>368</v>
      </c>
      <c r="B403" s="16" t="s">
        <v>137</v>
      </c>
      <c r="C403" s="16" t="n">
        <v>13</v>
      </c>
      <c r="D403" s="16" t="s">
        <v>276</v>
      </c>
      <c r="E403" s="16" t="n">
        <v>13</v>
      </c>
      <c r="F403" s="16" t="n">
        <v>0</v>
      </c>
      <c r="G403" s="16" t="s">
        <v>647</v>
      </c>
    </row>
    <row r="404" customFormat="false" ht="15" hidden="false" customHeight="false" outlineLevel="0" collapsed="false">
      <c r="A404" s="16" t="s">
        <v>368</v>
      </c>
      <c r="B404" s="16" t="s">
        <v>276</v>
      </c>
      <c r="C404" s="16" t="n">
        <v>13</v>
      </c>
      <c r="D404" s="16" t="s">
        <v>279</v>
      </c>
      <c r="E404" s="16" t="n">
        <v>13</v>
      </c>
      <c r="F404" s="16" t="n">
        <v>0</v>
      </c>
      <c r="G404" s="16" t="s">
        <v>647</v>
      </c>
    </row>
    <row r="405" customFormat="false" ht="15" hidden="false" customHeight="false" outlineLevel="0" collapsed="false">
      <c r="A405" s="16" t="s">
        <v>368</v>
      </c>
      <c r="B405" s="16" t="s">
        <v>279</v>
      </c>
      <c r="C405" s="16" t="n">
        <v>13</v>
      </c>
      <c r="D405" s="16" t="s">
        <v>260</v>
      </c>
      <c r="E405" s="16" t="n">
        <v>14</v>
      </c>
      <c r="F405" s="16" t="n">
        <v>1</v>
      </c>
      <c r="G405" s="16"/>
    </row>
    <row r="406" customFormat="false" ht="15" hidden="false" customHeight="false" outlineLevel="0" collapsed="false">
      <c r="A406" s="16" t="s">
        <v>368</v>
      </c>
      <c r="B406" s="16" t="s">
        <v>260</v>
      </c>
      <c r="C406" s="16" t="n">
        <v>14</v>
      </c>
      <c r="D406" s="16" t="s">
        <v>351</v>
      </c>
      <c r="E406" s="16" t="n">
        <v>14</v>
      </c>
      <c r="F406" s="16" t="n">
        <v>0</v>
      </c>
      <c r="G406" s="16" t="s">
        <v>647</v>
      </c>
    </row>
    <row r="407" customFormat="false" ht="15" hidden="false" customHeight="false" outlineLevel="0" collapsed="false">
      <c r="A407" s="16" t="s">
        <v>368</v>
      </c>
      <c r="B407" s="16" t="s">
        <v>112</v>
      </c>
      <c r="C407" s="16" t="n">
        <v>17</v>
      </c>
      <c r="D407" s="16" t="s">
        <v>325</v>
      </c>
      <c r="E407" s="16" t="n">
        <v>17</v>
      </c>
      <c r="F407" s="16" t="n">
        <v>0</v>
      </c>
      <c r="G407" s="16" t="s">
        <v>647</v>
      </c>
    </row>
    <row r="408" customFormat="false" ht="15" hidden="false" customHeight="false" outlineLevel="0" collapsed="false">
      <c r="A408" s="16" t="s">
        <v>368</v>
      </c>
      <c r="B408" s="16" t="s">
        <v>325</v>
      </c>
      <c r="C408" s="16" t="n">
        <v>17</v>
      </c>
      <c r="D408" s="16" t="s">
        <v>355</v>
      </c>
      <c r="E408" s="16" t="n">
        <v>17</v>
      </c>
      <c r="F408" s="16" t="n">
        <v>0</v>
      </c>
      <c r="G408" s="16" t="s">
        <v>647</v>
      </c>
    </row>
    <row r="409" customFormat="false" ht="15" hidden="false" customHeight="false" outlineLevel="0" collapsed="false">
      <c r="A409" s="16" t="s">
        <v>368</v>
      </c>
      <c r="B409" s="16" t="s">
        <v>355</v>
      </c>
      <c r="C409" s="16" t="n">
        <v>17</v>
      </c>
      <c r="D409" s="16" t="s">
        <v>322</v>
      </c>
      <c r="E409" s="16" t="n">
        <v>19</v>
      </c>
      <c r="F409" s="16" t="n">
        <v>2</v>
      </c>
      <c r="G409" s="16"/>
    </row>
    <row r="410" customFormat="false" ht="15" hidden="false" customHeight="false" outlineLevel="0" collapsed="false">
      <c r="A410" s="16" t="s">
        <v>368</v>
      </c>
      <c r="B410" s="16" t="s">
        <v>322</v>
      </c>
      <c r="C410" s="16" t="n">
        <v>19</v>
      </c>
      <c r="D410" s="16" t="s">
        <v>122</v>
      </c>
      <c r="E410" s="16" t="n">
        <v>20</v>
      </c>
      <c r="F410" s="16" t="n">
        <v>1</v>
      </c>
      <c r="G410" s="16"/>
    </row>
    <row r="411" customFormat="false" ht="15" hidden="false" customHeight="false" outlineLevel="0" collapsed="false">
      <c r="A411" s="16" t="s">
        <v>368</v>
      </c>
      <c r="B411" s="16" t="s">
        <v>122</v>
      </c>
      <c r="C411" s="16" t="n">
        <v>20</v>
      </c>
      <c r="D411" s="16" t="s">
        <v>104</v>
      </c>
      <c r="E411" s="16" t="n">
        <v>22</v>
      </c>
      <c r="F411" s="16" t="n">
        <v>2</v>
      </c>
      <c r="G411" s="16"/>
    </row>
    <row r="412" customFormat="false" ht="15" hidden="false" customHeight="false" outlineLevel="0" collapsed="false">
      <c r="A412" s="16" t="s">
        <v>368</v>
      </c>
      <c r="B412" s="16" t="s">
        <v>104</v>
      </c>
      <c r="C412" s="16" t="n">
        <v>22</v>
      </c>
      <c r="D412" s="16" t="s">
        <v>245</v>
      </c>
      <c r="E412" s="16" t="n">
        <v>22</v>
      </c>
      <c r="F412" s="16" t="n">
        <v>0</v>
      </c>
      <c r="G412" s="16" t="s">
        <v>647</v>
      </c>
    </row>
    <row r="413" customFormat="false" ht="15" hidden="false" customHeight="false" outlineLevel="0" collapsed="false">
      <c r="A413" s="16" t="s">
        <v>368</v>
      </c>
      <c r="B413" s="16" t="s">
        <v>245</v>
      </c>
      <c r="C413" s="16" t="n">
        <v>22</v>
      </c>
      <c r="D413" s="16" t="s">
        <v>230</v>
      </c>
      <c r="E413" s="16" t="n">
        <v>23</v>
      </c>
      <c r="F413" s="16" t="n">
        <v>1</v>
      </c>
      <c r="G413" s="16"/>
    </row>
    <row r="414" customFormat="false" ht="15" hidden="false" customHeight="false" outlineLevel="0" collapsed="false">
      <c r="A414" s="16" t="s">
        <v>368</v>
      </c>
      <c r="B414" s="16" t="s">
        <v>230</v>
      </c>
      <c r="C414" s="16" t="n">
        <v>23</v>
      </c>
      <c r="D414" s="16" t="s">
        <v>184</v>
      </c>
      <c r="E414" s="16" t="n">
        <v>24</v>
      </c>
      <c r="F414" s="16" t="n">
        <v>1</v>
      </c>
      <c r="G414" s="16"/>
    </row>
    <row r="415" customFormat="false" ht="15" hidden="false" customHeight="false" outlineLevel="0" collapsed="false">
      <c r="A415" s="16" t="s">
        <v>368</v>
      </c>
      <c r="B415" s="16" t="s">
        <v>184</v>
      </c>
      <c r="C415" s="16" t="n">
        <v>24</v>
      </c>
      <c r="D415" s="16" t="s">
        <v>63</v>
      </c>
      <c r="E415" s="16" t="n">
        <v>26</v>
      </c>
      <c r="F415" s="16" t="n">
        <v>2</v>
      </c>
      <c r="G415" s="16"/>
    </row>
    <row r="416" customFormat="false" ht="15" hidden="false" customHeight="false" outlineLevel="0" collapsed="false">
      <c r="A416" s="16" t="s">
        <v>368</v>
      </c>
      <c r="B416" s="16" t="s">
        <v>295</v>
      </c>
      <c r="C416" s="16" t="n">
        <v>30</v>
      </c>
      <c r="D416" s="16" t="s">
        <v>31</v>
      </c>
      <c r="E416" s="16" t="n">
        <v>32</v>
      </c>
      <c r="F416" s="16" t="n">
        <v>2</v>
      </c>
      <c r="G416" s="16"/>
    </row>
    <row r="417" customFormat="false" ht="15" hidden="false" customHeight="false" outlineLevel="0" collapsed="false">
      <c r="A417" s="16" t="s">
        <v>368</v>
      </c>
      <c r="B417" s="16" t="s">
        <v>31</v>
      </c>
      <c r="C417" s="16" t="n">
        <v>32</v>
      </c>
      <c r="D417" s="16" t="s">
        <v>219</v>
      </c>
      <c r="E417" s="16" t="n">
        <v>33</v>
      </c>
      <c r="F417" s="16" t="n">
        <v>1</v>
      </c>
      <c r="G417" s="16"/>
    </row>
    <row r="418" customFormat="false" ht="15" hidden="false" customHeight="false" outlineLevel="0" collapsed="false">
      <c r="A418" s="16" t="s">
        <v>368</v>
      </c>
      <c r="B418" s="16" t="s">
        <v>219</v>
      </c>
      <c r="C418" s="16" t="n">
        <v>33</v>
      </c>
      <c r="D418" s="16" t="s">
        <v>233</v>
      </c>
      <c r="E418" s="16" t="n">
        <v>34</v>
      </c>
      <c r="F418" s="16" t="n">
        <v>1</v>
      </c>
      <c r="G418" s="16"/>
    </row>
    <row r="419" customFormat="false" ht="15" hidden="false" customHeight="false" outlineLevel="0" collapsed="false">
      <c r="A419" s="16" t="s">
        <v>368</v>
      </c>
      <c r="B419" s="16" t="s">
        <v>233</v>
      </c>
      <c r="C419" s="16" t="n">
        <v>34</v>
      </c>
      <c r="D419" s="16" t="s">
        <v>254</v>
      </c>
      <c r="E419" s="16" t="n">
        <v>34</v>
      </c>
      <c r="F419" s="16" t="n">
        <v>0</v>
      </c>
      <c r="G419" s="16" t="s">
        <v>647</v>
      </c>
    </row>
    <row r="420" customFormat="false" ht="15" hidden="false" customHeight="false" outlineLevel="0" collapsed="false">
      <c r="A420" s="16" t="s">
        <v>368</v>
      </c>
      <c r="B420" s="16" t="s">
        <v>313</v>
      </c>
      <c r="C420" s="16" t="n">
        <v>37</v>
      </c>
      <c r="D420" s="16" t="s">
        <v>199</v>
      </c>
      <c r="E420" s="16" t="n">
        <v>38</v>
      </c>
      <c r="F420" s="16" t="n">
        <v>1</v>
      </c>
      <c r="G420" s="16"/>
    </row>
    <row r="421" customFormat="false" ht="15" hidden="false" customHeight="false" outlineLevel="0" collapsed="false">
      <c r="A421" s="16" t="s">
        <v>368</v>
      </c>
      <c r="B421" s="16" t="s">
        <v>181</v>
      </c>
      <c r="C421" s="16" t="n">
        <v>41</v>
      </c>
      <c r="D421" s="16" t="s">
        <v>195</v>
      </c>
      <c r="E421" s="16" t="n">
        <v>41</v>
      </c>
      <c r="F421" s="16" t="n">
        <v>0</v>
      </c>
      <c r="G421" s="16" t="s">
        <v>647</v>
      </c>
    </row>
    <row r="422" customFormat="false" ht="15" hidden="false" customHeight="false" outlineLevel="0" collapsed="false">
      <c r="A422" s="16" t="s">
        <v>368</v>
      </c>
      <c r="B422" s="16" t="s">
        <v>87</v>
      </c>
      <c r="C422" s="16" t="n">
        <v>45</v>
      </c>
      <c r="D422" s="16" t="s">
        <v>358</v>
      </c>
      <c r="E422" s="16" t="n">
        <v>45</v>
      </c>
      <c r="F422" s="16" t="n">
        <v>0</v>
      </c>
      <c r="G422" s="16" t="s">
        <v>647</v>
      </c>
    </row>
    <row r="423" customFormat="false" ht="15" hidden="false" customHeight="false" outlineLevel="0" collapsed="false">
      <c r="A423" s="16" t="s">
        <v>368</v>
      </c>
      <c r="B423" s="16" t="s">
        <v>126</v>
      </c>
      <c r="C423" s="16" t="n">
        <v>51</v>
      </c>
      <c r="D423" s="16" t="s">
        <v>39</v>
      </c>
      <c r="E423" s="16" t="n">
        <v>53</v>
      </c>
      <c r="F423" s="16" t="n">
        <v>2</v>
      </c>
      <c r="G423" s="16"/>
    </row>
    <row r="424" customFormat="false" ht="15" hidden="false" customHeight="false" outlineLevel="0" collapsed="false">
      <c r="A424" s="16" t="s">
        <v>368</v>
      </c>
      <c r="B424" s="16" t="s">
        <v>39</v>
      </c>
      <c r="C424" s="16" t="n">
        <v>53</v>
      </c>
      <c r="D424" s="16" t="s">
        <v>202</v>
      </c>
      <c r="E424" s="16" t="n">
        <v>53</v>
      </c>
      <c r="F424" s="16" t="n">
        <v>0</v>
      </c>
      <c r="G424" s="16" t="s">
        <v>647</v>
      </c>
    </row>
    <row r="425" customFormat="false" ht="15" hidden="false" customHeight="false" outlineLevel="0" collapsed="false">
      <c r="A425" s="16" t="s">
        <v>368</v>
      </c>
      <c r="B425" s="16" t="s">
        <v>202</v>
      </c>
      <c r="C425" s="16" t="n">
        <v>53</v>
      </c>
      <c r="D425" s="16" t="s">
        <v>140</v>
      </c>
      <c r="E425" s="16" t="n">
        <v>55</v>
      </c>
      <c r="F425" s="16" t="n">
        <v>2</v>
      </c>
      <c r="G425" s="16"/>
    </row>
    <row r="426" customFormat="false" ht="15" hidden="false" customHeight="false" outlineLevel="0" collapsed="false">
      <c r="A426" s="16" t="s">
        <v>368</v>
      </c>
      <c r="B426" s="16" t="s">
        <v>187</v>
      </c>
      <c r="C426" s="16" t="n">
        <v>63</v>
      </c>
      <c r="D426" s="16" t="s">
        <v>286</v>
      </c>
      <c r="E426" s="16" t="n">
        <v>63</v>
      </c>
      <c r="F426" s="16" t="n">
        <v>0</v>
      </c>
      <c r="G426" s="16" t="s">
        <v>647</v>
      </c>
    </row>
    <row r="427" customFormat="false" ht="15" hidden="false" customHeight="false" outlineLevel="0" collapsed="false">
      <c r="A427" s="16" t="s">
        <v>368</v>
      </c>
      <c r="B427" s="16" t="s">
        <v>286</v>
      </c>
      <c r="C427" s="16" t="n">
        <v>63</v>
      </c>
      <c r="D427" s="16" t="s">
        <v>205</v>
      </c>
      <c r="E427" s="16" t="n">
        <v>64</v>
      </c>
      <c r="F427" s="16" t="n">
        <v>1</v>
      </c>
      <c r="G427" s="16"/>
    </row>
    <row r="428" customFormat="false" ht="15" hidden="false" customHeight="false" outlineLevel="0" collapsed="false">
      <c r="A428" s="16" t="s">
        <v>369</v>
      </c>
      <c r="B428" s="16" t="s">
        <v>273</v>
      </c>
      <c r="C428" s="16" t="n">
        <v>20.9</v>
      </c>
      <c r="D428" s="16" t="s">
        <v>225</v>
      </c>
      <c r="E428" s="16" t="n">
        <v>21.03</v>
      </c>
      <c r="F428" s="16" t="n">
        <v>0.13</v>
      </c>
      <c r="G428" s="16"/>
    </row>
    <row r="429" customFormat="false" ht="15" hidden="false" customHeight="false" outlineLevel="0" collapsed="false">
      <c r="A429" s="16" t="s">
        <v>369</v>
      </c>
      <c r="B429" s="16" t="s">
        <v>225</v>
      </c>
      <c r="C429" s="16" t="n">
        <v>21.03</v>
      </c>
      <c r="D429" s="16" t="s">
        <v>129</v>
      </c>
      <c r="E429" s="16" t="n">
        <v>21.1</v>
      </c>
      <c r="F429" s="16" t="n">
        <v>0.07</v>
      </c>
      <c r="G429" s="16"/>
    </row>
    <row r="430" customFormat="false" ht="15" hidden="false" customHeight="false" outlineLevel="0" collapsed="false">
      <c r="A430" s="16" t="s">
        <v>369</v>
      </c>
      <c r="B430" s="16" t="s">
        <v>129</v>
      </c>
      <c r="C430" s="16" t="n">
        <v>21.1</v>
      </c>
      <c r="D430" s="16" t="s">
        <v>216</v>
      </c>
      <c r="E430" s="16" t="n">
        <v>21.11</v>
      </c>
      <c r="F430" s="16" t="n">
        <v>0.01</v>
      </c>
      <c r="G430" s="16"/>
    </row>
    <row r="431" customFormat="false" ht="15" hidden="false" customHeight="false" outlineLevel="0" collapsed="false">
      <c r="A431" s="16" t="s">
        <v>369</v>
      </c>
      <c r="B431" s="16" t="s">
        <v>216</v>
      </c>
      <c r="C431" s="16" t="n">
        <v>21.11</v>
      </c>
      <c r="D431" s="16" t="s">
        <v>342</v>
      </c>
      <c r="E431" s="16" t="n">
        <v>21.2</v>
      </c>
      <c r="F431" s="16" t="n">
        <v>0.09</v>
      </c>
      <c r="G431" s="16"/>
    </row>
    <row r="432" customFormat="false" ht="15" hidden="false" customHeight="false" outlineLevel="0" collapsed="false">
      <c r="A432" s="16" t="s">
        <v>369</v>
      </c>
      <c r="B432" s="16" t="s">
        <v>342</v>
      </c>
      <c r="C432" s="16" t="n">
        <v>21.2</v>
      </c>
      <c r="D432" s="16" t="s">
        <v>104</v>
      </c>
      <c r="E432" s="16" t="n">
        <v>21.21</v>
      </c>
      <c r="F432" s="16" t="n">
        <v>0.01</v>
      </c>
      <c r="G432" s="16"/>
    </row>
    <row r="433" customFormat="false" ht="15" hidden="false" customHeight="false" outlineLevel="0" collapsed="false">
      <c r="A433" s="16" t="s">
        <v>369</v>
      </c>
      <c r="B433" s="16" t="s">
        <v>104</v>
      </c>
      <c r="C433" s="16" t="n">
        <v>21.21</v>
      </c>
      <c r="D433" s="16" t="s">
        <v>90</v>
      </c>
      <c r="E433" s="16" t="n">
        <v>21.23</v>
      </c>
      <c r="F433" s="16" t="n">
        <v>0.02</v>
      </c>
      <c r="G433" s="16"/>
    </row>
    <row r="434" customFormat="false" ht="15" hidden="false" customHeight="false" outlineLevel="0" collapsed="false">
      <c r="A434" s="16" t="s">
        <v>369</v>
      </c>
      <c r="B434" s="16" t="s">
        <v>90</v>
      </c>
      <c r="C434" s="16" t="n">
        <v>21.23</v>
      </c>
      <c r="D434" s="16" t="s">
        <v>171</v>
      </c>
      <c r="E434" s="16" t="n">
        <v>21.24</v>
      </c>
      <c r="F434" s="16" t="n">
        <v>0.01</v>
      </c>
      <c r="G434" s="16"/>
    </row>
    <row r="435" customFormat="false" ht="15" hidden="false" customHeight="false" outlineLevel="0" collapsed="false">
      <c r="A435" s="16" t="s">
        <v>369</v>
      </c>
      <c r="B435" s="16" t="s">
        <v>171</v>
      </c>
      <c r="C435" s="16" t="n">
        <v>21.24</v>
      </c>
      <c r="D435" s="16" t="s">
        <v>335</v>
      </c>
      <c r="E435" s="16" t="n">
        <v>21.38</v>
      </c>
      <c r="F435" s="16" t="n">
        <v>0.14</v>
      </c>
      <c r="G435" s="16"/>
    </row>
    <row r="436" customFormat="false" ht="15" hidden="false" customHeight="false" outlineLevel="0" collapsed="false">
      <c r="A436" s="16" t="s">
        <v>369</v>
      </c>
      <c r="B436" s="16" t="s">
        <v>335</v>
      </c>
      <c r="C436" s="16" t="n">
        <v>21.38</v>
      </c>
      <c r="D436" s="16" t="s">
        <v>112</v>
      </c>
      <c r="E436" s="16" t="n">
        <v>21.4</v>
      </c>
      <c r="F436" s="16" t="n">
        <v>0.02</v>
      </c>
      <c r="G436" s="16"/>
    </row>
    <row r="437" customFormat="false" ht="15" hidden="false" customHeight="false" outlineLevel="0" collapsed="false">
      <c r="A437" s="16" t="s">
        <v>369</v>
      </c>
      <c r="B437" s="16" t="s">
        <v>112</v>
      </c>
      <c r="C437" s="16" t="n">
        <v>21.4</v>
      </c>
      <c r="D437" s="16" t="s">
        <v>263</v>
      </c>
      <c r="E437" s="16" t="n">
        <v>21.4</v>
      </c>
      <c r="F437" s="16" t="n">
        <v>0</v>
      </c>
      <c r="G437" s="16" t="s">
        <v>647</v>
      </c>
    </row>
    <row r="438" customFormat="false" ht="15" hidden="false" customHeight="false" outlineLevel="0" collapsed="false">
      <c r="A438" s="16" t="s">
        <v>369</v>
      </c>
      <c r="B438" s="16" t="s">
        <v>263</v>
      </c>
      <c r="C438" s="16" t="n">
        <v>21.4</v>
      </c>
      <c r="D438" s="16" t="s">
        <v>332</v>
      </c>
      <c r="E438" s="16" t="n">
        <v>21.4</v>
      </c>
      <c r="F438" s="16" t="n">
        <v>0</v>
      </c>
      <c r="G438" s="16" t="s">
        <v>647</v>
      </c>
    </row>
    <row r="439" customFormat="false" ht="15" hidden="false" customHeight="false" outlineLevel="0" collapsed="false">
      <c r="A439" s="16" t="s">
        <v>369</v>
      </c>
      <c r="B439" s="16" t="s">
        <v>332</v>
      </c>
      <c r="C439" s="16" t="n">
        <v>21.4</v>
      </c>
      <c r="D439" s="16" t="s">
        <v>97</v>
      </c>
      <c r="E439" s="16" t="n">
        <v>21.45</v>
      </c>
      <c r="F439" s="16" t="n">
        <v>0.05</v>
      </c>
      <c r="G439" s="16"/>
    </row>
    <row r="440" customFormat="false" ht="15" hidden="false" customHeight="false" outlineLevel="0" collapsed="false">
      <c r="A440" s="16" t="s">
        <v>369</v>
      </c>
      <c r="B440" s="16" t="s">
        <v>97</v>
      </c>
      <c r="C440" s="16" t="n">
        <v>21.45</v>
      </c>
      <c r="D440" s="16" t="s">
        <v>351</v>
      </c>
      <c r="E440" s="16" t="n">
        <v>21.46</v>
      </c>
      <c r="F440" s="16" t="n">
        <v>0.01</v>
      </c>
      <c r="G440" s="16"/>
    </row>
    <row r="441" customFormat="false" ht="15" hidden="false" customHeight="false" outlineLevel="0" collapsed="false">
      <c r="A441" s="16" t="s">
        <v>369</v>
      </c>
      <c r="B441" s="16" t="s">
        <v>351</v>
      </c>
      <c r="C441" s="16" t="n">
        <v>21.46</v>
      </c>
      <c r="D441" s="16" t="s">
        <v>109</v>
      </c>
      <c r="E441" s="16" t="n">
        <v>21.5</v>
      </c>
      <c r="F441" s="16" t="n">
        <v>0.04</v>
      </c>
      <c r="G441" s="16"/>
    </row>
    <row r="442" customFormat="false" ht="15" hidden="false" customHeight="false" outlineLevel="0" collapsed="false">
      <c r="A442" s="16" t="s">
        <v>369</v>
      </c>
      <c r="B442" s="16" t="s">
        <v>109</v>
      </c>
      <c r="C442" s="16" t="n">
        <v>21.5</v>
      </c>
      <c r="D442" s="16" t="s">
        <v>122</v>
      </c>
      <c r="E442" s="16" t="n">
        <v>21.54</v>
      </c>
      <c r="F442" s="16" t="n">
        <v>0.04</v>
      </c>
      <c r="G442" s="16"/>
    </row>
    <row r="443" customFormat="false" ht="15" hidden="false" customHeight="false" outlineLevel="0" collapsed="false">
      <c r="A443" s="16" t="s">
        <v>369</v>
      </c>
      <c r="B443" s="16" t="s">
        <v>122</v>
      </c>
      <c r="C443" s="16" t="n">
        <v>21.54</v>
      </c>
      <c r="D443" s="16" t="s">
        <v>184</v>
      </c>
      <c r="E443" s="16" t="n">
        <v>21.55</v>
      </c>
      <c r="F443" s="16" t="n">
        <v>0.01</v>
      </c>
      <c r="G443" s="16"/>
    </row>
    <row r="444" customFormat="false" ht="15" hidden="false" customHeight="false" outlineLevel="0" collapsed="false">
      <c r="A444" s="16" t="s">
        <v>369</v>
      </c>
      <c r="B444" s="16" t="s">
        <v>184</v>
      </c>
      <c r="C444" s="16" t="n">
        <v>21.55</v>
      </c>
      <c r="D444" s="16" t="s">
        <v>83</v>
      </c>
      <c r="E444" s="16" t="n">
        <v>21.56</v>
      </c>
      <c r="F444" s="16" t="n">
        <v>0.01</v>
      </c>
      <c r="G444" s="16"/>
    </row>
    <row r="445" customFormat="false" ht="15" hidden="false" customHeight="false" outlineLevel="0" collapsed="false">
      <c r="A445" s="16" t="s">
        <v>369</v>
      </c>
      <c r="B445" s="16" t="s">
        <v>83</v>
      </c>
      <c r="C445" s="16" t="n">
        <v>21.56</v>
      </c>
      <c r="D445" s="16" t="s">
        <v>159</v>
      </c>
      <c r="E445" s="16" t="n">
        <v>21.57</v>
      </c>
      <c r="F445" s="16" t="n">
        <v>0.01</v>
      </c>
      <c r="G445" s="16"/>
    </row>
    <row r="446" customFormat="false" ht="15" hidden="false" customHeight="false" outlineLevel="0" collapsed="false">
      <c r="A446" s="16" t="s">
        <v>369</v>
      </c>
      <c r="B446" s="16" t="s">
        <v>159</v>
      </c>
      <c r="C446" s="16" t="n">
        <v>21.57</v>
      </c>
      <c r="D446" s="16" t="s">
        <v>93</v>
      </c>
      <c r="E446" s="16" t="n">
        <v>21.59</v>
      </c>
      <c r="F446" s="16" t="n">
        <v>0.02</v>
      </c>
      <c r="G446" s="16"/>
    </row>
    <row r="447" customFormat="false" ht="15" hidden="false" customHeight="false" outlineLevel="0" collapsed="false">
      <c r="A447" s="16" t="s">
        <v>369</v>
      </c>
      <c r="B447" s="16" t="s">
        <v>93</v>
      </c>
      <c r="C447" s="16" t="n">
        <v>21.59</v>
      </c>
      <c r="D447" s="16" t="s">
        <v>276</v>
      </c>
      <c r="E447" s="16" t="n">
        <v>21.6</v>
      </c>
      <c r="F447" s="16" t="n">
        <v>0.01</v>
      </c>
      <c r="G447" s="16"/>
    </row>
    <row r="448" customFormat="false" ht="15" hidden="false" customHeight="false" outlineLevel="0" collapsed="false">
      <c r="A448" s="16" t="s">
        <v>369</v>
      </c>
      <c r="B448" s="16" t="s">
        <v>276</v>
      </c>
      <c r="C448" s="16" t="n">
        <v>21.6</v>
      </c>
      <c r="D448" s="16" t="s">
        <v>195</v>
      </c>
      <c r="E448" s="16" t="n">
        <v>21.61</v>
      </c>
      <c r="F448" s="16" t="n">
        <v>0.01</v>
      </c>
      <c r="G448" s="16"/>
    </row>
    <row r="449" customFormat="false" ht="15" hidden="false" customHeight="false" outlineLevel="0" collapsed="false">
      <c r="A449" s="16" t="s">
        <v>369</v>
      </c>
      <c r="B449" s="16" t="s">
        <v>195</v>
      </c>
      <c r="C449" s="16" t="n">
        <v>21.61</v>
      </c>
      <c r="D449" s="16" t="s">
        <v>168</v>
      </c>
      <c r="E449" s="16" t="n">
        <v>21.62</v>
      </c>
      <c r="F449" s="16" t="n">
        <v>0.01</v>
      </c>
      <c r="G449" s="16"/>
    </row>
    <row r="450" customFormat="false" ht="15" hidden="false" customHeight="false" outlineLevel="0" collapsed="false">
      <c r="A450" s="16" t="s">
        <v>369</v>
      </c>
      <c r="B450" s="16" t="s">
        <v>168</v>
      </c>
      <c r="C450" s="16" t="n">
        <v>21.62</v>
      </c>
      <c r="D450" s="16" t="s">
        <v>219</v>
      </c>
      <c r="E450" s="16" t="n">
        <v>21.62</v>
      </c>
      <c r="F450" s="16" t="n">
        <v>0</v>
      </c>
      <c r="G450" s="16" t="s">
        <v>647</v>
      </c>
    </row>
    <row r="451" customFormat="false" ht="15" hidden="false" customHeight="false" outlineLevel="0" collapsed="false">
      <c r="A451" s="16" t="s">
        <v>369</v>
      </c>
      <c r="B451" s="16" t="s">
        <v>219</v>
      </c>
      <c r="C451" s="16" t="n">
        <v>21.62</v>
      </c>
      <c r="D451" s="16" t="s">
        <v>31</v>
      </c>
      <c r="E451" s="16" t="n">
        <v>21.65</v>
      </c>
      <c r="F451" s="16" t="n">
        <v>0.03</v>
      </c>
      <c r="G451" s="16"/>
    </row>
    <row r="452" customFormat="false" ht="15" hidden="false" customHeight="false" outlineLevel="0" collapsed="false">
      <c r="A452" s="16" t="s">
        <v>369</v>
      </c>
      <c r="B452" s="16" t="s">
        <v>31</v>
      </c>
      <c r="C452" s="16" t="n">
        <v>21.65</v>
      </c>
      <c r="D452" s="16" t="s">
        <v>290</v>
      </c>
      <c r="E452" s="16" t="n">
        <v>21.68</v>
      </c>
      <c r="F452" s="16" t="n">
        <v>0.03</v>
      </c>
      <c r="G452" s="16"/>
    </row>
    <row r="453" customFormat="false" ht="15" hidden="false" customHeight="false" outlineLevel="0" collapsed="false">
      <c r="A453" s="16" t="s">
        <v>369</v>
      </c>
      <c r="B453" s="16" t="s">
        <v>290</v>
      </c>
      <c r="C453" s="16" t="n">
        <v>21.68</v>
      </c>
      <c r="D453" s="16" t="s">
        <v>202</v>
      </c>
      <c r="E453" s="16" t="n">
        <v>21.69</v>
      </c>
      <c r="F453" s="16" t="n">
        <v>0.01</v>
      </c>
      <c r="G453" s="16"/>
    </row>
    <row r="454" customFormat="false" ht="15" hidden="false" customHeight="false" outlineLevel="0" collapsed="false">
      <c r="A454" s="16" t="s">
        <v>369</v>
      </c>
      <c r="B454" s="16" t="s">
        <v>202</v>
      </c>
      <c r="C454" s="16" t="n">
        <v>21.69</v>
      </c>
      <c r="D454" s="16" t="s">
        <v>358</v>
      </c>
      <c r="E454" s="16" t="n">
        <v>21.69</v>
      </c>
      <c r="F454" s="16" t="n">
        <v>0</v>
      </c>
      <c r="G454" s="16" t="s">
        <v>647</v>
      </c>
    </row>
    <row r="455" customFormat="false" ht="15" hidden="false" customHeight="false" outlineLevel="0" collapsed="false">
      <c r="A455" s="16" t="s">
        <v>369</v>
      </c>
      <c r="B455" s="16" t="s">
        <v>358</v>
      </c>
      <c r="C455" s="16" t="n">
        <v>21.69</v>
      </c>
      <c r="D455" s="16" t="s">
        <v>205</v>
      </c>
      <c r="E455" s="16" t="n">
        <v>21.71</v>
      </c>
      <c r="F455" s="16" t="n">
        <v>0.02</v>
      </c>
      <c r="G455" s="16"/>
    </row>
    <row r="456" customFormat="false" ht="15" hidden="false" customHeight="false" outlineLevel="0" collapsed="false">
      <c r="A456" s="16" t="s">
        <v>369</v>
      </c>
      <c r="B456" s="16" t="s">
        <v>205</v>
      </c>
      <c r="C456" s="16" t="n">
        <v>21.71</v>
      </c>
      <c r="D456" s="16" t="s">
        <v>137</v>
      </c>
      <c r="E456" s="16" t="n">
        <v>21.72</v>
      </c>
      <c r="F456" s="16" t="n">
        <v>0.01</v>
      </c>
      <c r="G456" s="16"/>
    </row>
    <row r="457" customFormat="false" ht="15" hidden="false" customHeight="false" outlineLevel="0" collapsed="false">
      <c r="A457" s="16" t="s">
        <v>369</v>
      </c>
      <c r="B457" s="16" t="s">
        <v>137</v>
      </c>
      <c r="C457" s="16" t="n">
        <v>21.72</v>
      </c>
      <c r="D457" s="16" t="s">
        <v>100</v>
      </c>
      <c r="E457" s="16" t="n">
        <v>21.75</v>
      </c>
      <c r="F457" s="16" t="n">
        <v>0.03</v>
      </c>
      <c r="G457" s="16"/>
    </row>
    <row r="458" customFormat="false" ht="15" hidden="false" customHeight="false" outlineLevel="0" collapsed="false">
      <c r="A458" s="16" t="s">
        <v>369</v>
      </c>
      <c r="B458" s="16" t="s">
        <v>100</v>
      </c>
      <c r="C458" s="16" t="n">
        <v>21.75</v>
      </c>
      <c r="D458" s="16" t="s">
        <v>328</v>
      </c>
      <c r="E458" s="16" t="n">
        <v>21.78</v>
      </c>
      <c r="F458" s="16" t="n">
        <v>0.03</v>
      </c>
      <c r="G458" s="16"/>
    </row>
    <row r="459" customFormat="false" ht="15" hidden="false" customHeight="false" outlineLevel="0" collapsed="false">
      <c r="A459" s="16" t="s">
        <v>369</v>
      </c>
      <c r="B459" s="16" t="s">
        <v>328</v>
      </c>
      <c r="C459" s="16" t="n">
        <v>21.78</v>
      </c>
      <c r="D459" s="16" t="s">
        <v>325</v>
      </c>
      <c r="E459" s="16" t="n">
        <v>21.8</v>
      </c>
      <c r="F459" s="16" t="n">
        <v>0.02</v>
      </c>
      <c r="G459" s="16"/>
    </row>
    <row r="460" customFormat="false" ht="15" hidden="false" customHeight="false" outlineLevel="0" collapsed="false">
      <c r="A460" s="16" t="s">
        <v>369</v>
      </c>
      <c r="B460" s="16" t="s">
        <v>325</v>
      </c>
      <c r="C460" s="16" t="n">
        <v>21.8</v>
      </c>
      <c r="D460" s="16" t="s">
        <v>63</v>
      </c>
      <c r="E460" s="16" t="n">
        <v>21.83</v>
      </c>
      <c r="F460" s="16" t="n">
        <v>0.03</v>
      </c>
      <c r="G460" s="16"/>
    </row>
    <row r="461" customFormat="false" ht="15" hidden="false" customHeight="false" outlineLevel="0" collapsed="false">
      <c r="A461" s="16" t="s">
        <v>369</v>
      </c>
      <c r="B461" s="16" t="s">
        <v>63</v>
      </c>
      <c r="C461" s="16" t="n">
        <v>21.83</v>
      </c>
      <c r="D461" s="16" t="s">
        <v>115</v>
      </c>
      <c r="E461" s="16" t="n">
        <v>21.86</v>
      </c>
      <c r="F461" s="16" t="n">
        <v>0.03</v>
      </c>
      <c r="G461" s="16"/>
    </row>
    <row r="462" customFormat="false" ht="15" hidden="false" customHeight="false" outlineLevel="0" collapsed="false">
      <c r="A462" s="16" t="s">
        <v>369</v>
      </c>
      <c r="B462" s="16" t="s">
        <v>115</v>
      </c>
      <c r="C462" s="16" t="n">
        <v>21.86</v>
      </c>
      <c r="D462" s="16" t="s">
        <v>181</v>
      </c>
      <c r="E462" s="16" t="n">
        <v>21.86</v>
      </c>
      <c r="F462" s="16" t="n">
        <v>0</v>
      </c>
      <c r="G462" s="16" t="s">
        <v>647</v>
      </c>
    </row>
    <row r="463" customFormat="false" ht="15" hidden="false" customHeight="false" outlineLevel="0" collapsed="false">
      <c r="A463" s="16" t="s">
        <v>369</v>
      </c>
      <c r="B463" s="16" t="s">
        <v>181</v>
      </c>
      <c r="C463" s="16" t="n">
        <v>21.86</v>
      </c>
      <c r="D463" s="16" t="s">
        <v>302</v>
      </c>
      <c r="E463" s="16" t="n">
        <v>21.86</v>
      </c>
      <c r="F463" s="16" t="n">
        <v>0</v>
      </c>
      <c r="G463" s="16" t="s">
        <v>647</v>
      </c>
    </row>
    <row r="464" customFormat="false" ht="15" hidden="false" customHeight="false" outlineLevel="0" collapsed="false">
      <c r="A464" s="16" t="s">
        <v>369</v>
      </c>
      <c r="B464" s="16" t="s">
        <v>302</v>
      </c>
      <c r="C464" s="16" t="n">
        <v>21.86</v>
      </c>
      <c r="D464" s="16" t="s">
        <v>348</v>
      </c>
      <c r="E464" s="16" t="n">
        <v>21.86</v>
      </c>
      <c r="F464" s="16" t="n">
        <v>0</v>
      </c>
      <c r="G464" s="16" t="s">
        <v>647</v>
      </c>
    </row>
    <row r="465" customFormat="false" ht="15" hidden="false" customHeight="false" outlineLevel="0" collapsed="false">
      <c r="A465" s="16" t="s">
        <v>369</v>
      </c>
      <c r="B465" s="16" t="s">
        <v>348</v>
      </c>
      <c r="C465" s="16" t="n">
        <v>21.86</v>
      </c>
      <c r="D465" s="16" t="s">
        <v>79</v>
      </c>
      <c r="E465" s="16" t="n">
        <v>21.88</v>
      </c>
      <c r="F465" s="16" t="n">
        <v>0.02</v>
      </c>
      <c r="G465" s="16"/>
    </row>
    <row r="466" customFormat="false" ht="15" hidden="false" customHeight="false" outlineLevel="0" collapsed="false">
      <c r="A466" s="16" t="s">
        <v>369</v>
      </c>
      <c r="B466" s="16" t="s">
        <v>79</v>
      </c>
      <c r="C466" s="16" t="n">
        <v>21.88</v>
      </c>
      <c r="D466" s="16" t="s">
        <v>47</v>
      </c>
      <c r="E466" s="16" t="n">
        <v>21.91</v>
      </c>
      <c r="F466" s="16" t="n">
        <v>0.03</v>
      </c>
      <c r="G466" s="16"/>
    </row>
    <row r="467" customFormat="false" ht="15" hidden="false" customHeight="false" outlineLevel="0" collapsed="false">
      <c r="A467" s="16" t="s">
        <v>369</v>
      </c>
      <c r="B467" s="16" t="s">
        <v>47</v>
      </c>
      <c r="C467" s="16" t="n">
        <v>21.91</v>
      </c>
      <c r="D467" s="16" t="s">
        <v>151</v>
      </c>
      <c r="E467" s="16" t="n">
        <v>21.91</v>
      </c>
      <c r="F467" s="16" t="n">
        <v>0</v>
      </c>
      <c r="G467" s="16" t="s">
        <v>647</v>
      </c>
    </row>
    <row r="468" customFormat="false" ht="15" hidden="false" customHeight="false" outlineLevel="0" collapsed="false">
      <c r="A468" s="16" t="s">
        <v>369</v>
      </c>
      <c r="B468" s="16" t="s">
        <v>151</v>
      </c>
      <c r="C468" s="16" t="n">
        <v>21.91</v>
      </c>
      <c r="D468" s="16" t="s">
        <v>192</v>
      </c>
      <c r="E468" s="16" t="n">
        <v>21.91</v>
      </c>
      <c r="F468" s="16" t="n">
        <v>0</v>
      </c>
      <c r="G468" s="16" t="s">
        <v>647</v>
      </c>
    </row>
    <row r="469" customFormat="false" ht="15" hidden="false" customHeight="false" outlineLevel="0" collapsed="false">
      <c r="A469" s="16" t="s">
        <v>369</v>
      </c>
      <c r="B469" s="16" t="s">
        <v>192</v>
      </c>
      <c r="C469" s="16" t="n">
        <v>21.91</v>
      </c>
      <c r="D469" s="16" t="s">
        <v>230</v>
      </c>
      <c r="E469" s="16" t="n">
        <v>21.91</v>
      </c>
      <c r="F469" s="16" t="n">
        <v>0</v>
      </c>
      <c r="G469" s="16" t="s">
        <v>647</v>
      </c>
    </row>
    <row r="470" customFormat="false" ht="15" hidden="false" customHeight="false" outlineLevel="0" collapsed="false">
      <c r="A470" s="16" t="s">
        <v>369</v>
      </c>
      <c r="B470" s="16" t="s">
        <v>230</v>
      </c>
      <c r="C470" s="16" t="n">
        <v>21.91</v>
      </c>
      <c r="D470" s="16" t="s">
        <v>22</v>
      </c>
      <c r="E470" s="16" t="n">
        <v>21.96</v>
      </c>
      <c r="F470" s="16" t="n">
        <v>0.05</v>
      </c>
      <c r="G470" s="16"/>
    </row>
    <row r="471" customFormat="false" ht="15" hidden="false" customHeight="false" outlineLevel="0" collapsed="false">
      <c r="A471" s="16" t="s">
        <v>369</v>
      </c>
      <c r="B471" s="16" t="s">
        <v>22</v>
      </c>
      <c r="C471" s="16" t="n">
        <v>21.96</v>
      </c>
      <c r="D471" s="16" t="s">
        <v>310</v>
      </c>
      <c r="E471" s="16" t="n">
        <v>22</v>
      </c>
      <c r="F471" s="16" t="n">
        <v>0.04</v>
      </c>
      <c r="G471" s="16"/>
    </row>
    <row r="472" customFormat="false" ht="15" hidden="false" customHeight="false" outlineLevel="0" collapsed="false">
      <c r="A472" s="16" t="s">
        <v>369</v>
      </c>
      <c r="B472" s="16" t="s">
        <v>310</v>
      </c>
      <c r="C472" s="16" t="n">
        <v>22</v>
      </c>
      <c r="D472" s="16" t="s">
        <v>339</v>
      </c>
      <c r="E472" s="16" t="n">
        <v>22</v>
      </c>
      <c r="F472" s="16" t="n">
        <v>0</v>
      </c>
      <c r="G472" s="16" t="s">
        <v>647</v>
      </c>
    </row>
    <row r="473" customFormat="false" ht="15" hidden="false" customHeight="false" outlineLevel="0" collapsed="false">
      <c r="A473" s="16" t="s">
        <v>369</v>
      </c>
      <c r="B473" s="16" t="s">
        <v>339</v>
      </c>
      <c r="C473" s="16" t="n">
        <v>22</v>
      </c>
      <c r="D473" s="16" t="s">
        <v>55</v>
      </c>
      <c r="E473" s="16" t="n">
        <v>22.01</v>
      </c>
      <c r="F473" s="16" t="n">
        <v>0.01</v>
      </c>
      <c r="G473" s="16"/>
    </row>
    <row r="474" customFormat="false" ht="15" hidden="false" customHeight="false" outlineLevel="0" collapsed="false">
      <c r="A474" s="16" t="s">
        <v>369</v>
      </c>
      <c r="B474" s="16" t="s">
        <v>55</v>
      </c>
      <c r="C474" s="16" t="n">
        <v>22.01</v>
      </c>
      <c r="D474" s="16" t="s">
        <v>189</v>
      </c>
      <c r="E474" s="16" t="n">
        <v>22.02</v>
      </c>
      <c r="F474" s="16" t="n">
        <v>0.01</v>
      </c>
      <c r="G474" s="16"/>
    </row>
    <row r="475" customFormat="false" ht="15" hidden="false" customHeight="false" outlineLevel="0" collapsed="false">
      <c r="A475" s="16" t="s">
        <v>369</v>
      </c>
      <c r="B475" s="16" t="s">
        <v>189</v>
      </c>
      <c r="C475" s="16" t="n">
        <v>22.02</v>
      </c>
      <c r="D475" s="16" t="s">
        <v>304</v>
      </c>
      <c r="E475" s="16" t="n">
        <v>22.03</v>
      </c>
      <c r="F475" s="16" t="n">
        <v>0.01</v>
      </c>
      <c r="G475" s="16"/>
    </row>
    <row r="476" customFormat="false" ht="15" hidden="false" customHeight="false" outlineLevel="0" collapsed="false">
      <c r="A476" s="16" t="s">
        <v>369</v>
      </c>
      <c r="B476" s="16" t="s">
        <v>304</v>
      </c>
      <c r="C476" s="16" t="n">
        <v>22.03</v>
      </c>
      <c r="D476" s="16" t="s">
        <v>307</v>
      </c>
      <c r="E476" s="16" t="n">
        <v>22.06</v>
      </c>
      <c r="F476" s="16" t="n">
        <v>0.03</v>
      </c>
      <c r="G476" s="16"/>
    </row>
    <row r="477" customFormat="false" ht="15" hidden="false" customHeight="false" outlineLevel="0" collapsed="false">
      <c r="A477" s="16" t="s">
        <v>369</v>
      </c>
      <c r="B477" s="16" t="s">
        <v>307</v>
      </c>
      <c r="C477" s="16" t="n">
        <v>22.06</v>
      </c>
      <c r="D477" s="16" t="s">
        <v>39</v>
      </c>
      <c r="E477" s="16" t="n">
        <v>22.07</v>
      </c>
      <c r="F477" s="16" t="n">
        <v>0.01</v>
      </c>
      <c r="G477" s="16"/>
    </row>
    <row r="478" customFormat="false" ht="15" hidden="false" customHeight="false" outlineLevel="0" collapsed="false">
      <c r="A478" s="16" t="s">
        <v>369</v>
      </c>
      <c r="B478" s="16" t="s">
        <v>39</v>
      </c>
      <c r="C478" s="16" t="n">
        <v>22.07</v>
      </c>
      <c r="D478" s="16" t="s">
        <v>148</v>
      </c>
      <c r="E478" s="16" t="n">
        <v>22.07</v>
      </c>
      <c r="F478" s="16" t="n">
        <v>0</v>
      </c>
      <c r="G478" s="16" t="s">
        <v>647</v>
      </c>
    </row>
    <row r="479" customFormat="false" ht="15" hidden="false" customHeight="false" outlineLevel="0" collapsed="false">
      <c r="A479" s="16" t="s">
        <v>369</v>
      </c>
      <c r="B479" s="16" t="s">
        <v>148</v>
      </c>
      <c r="C479" s="16" t="n">
        <v>22.07</v>
      </c>
      <c r="D479" s="16" t="s">
        <v>236</v>
      </c>
      <c r="E479" s="16" t="n">
        <v>22.07</v>
      </c>
      <c r="F479" s="16" t="n">
        <v>0</v>
      </c>
      <c r="G479" s="16" t="s">
        <v>647</v>
      </c>
    </row>
    <row r="480" customFormat="false" ht="15" hidden="false" customHeight="false" outlineLevel="0" collapsed="false">
      <c r="A480" s="16" t="s">
        <v>369</v>
      </c>
      <c r="B480" s="16" t="s">
        <v>236</v>
      </c>
      <c r="C480" s="16" t="n">
        <v>22.07</v>
      </c>
      <c r="D480" s="16" t="s">
        <v>355</v>
      </c>
      <c r="E480" s="16" t="n">
        <v>22.08</v>
      </c>
      <c r="F480" s="16" t="n">
        <v>0.01</v>
      </c>
      <c r="G480" s="16"/>
    </row>
    <row r="481" customFormat="false" ht="15" hidden="false" customHeight="false" outlineLevel="0" collapsed="false">
      <c r="A481" s="16" t="s">
        <v>369</v>
      </c>
      <c r="B481" s="16" t="s">
        <v>355</v>
      </c>
      <c r="C481" s="16" t="n">
        <v>22.08</v>
      </c>
      <c r="D481" s="16" t="s">
        <v>162</v>
      </c>
      <c r="E481" s="16" t="n">
        <v>22.1</v>
      </c>
      <c r="F481" s="16" t="n">
        <v>0.02</v>
      </c>
      <c r="G481" s="16"/>
    </row>
    <row r="482" customFormat="false" ht="15" hidden="false" customHeight="false" outlineLevel="0" collapsed="false">
      <c r="A482" s="16" t="s">
        <v>369</v>
      </c>
      <c r="B482" s="16" t="s">
        <v>162</v>
      </c>
      <c r="C482" s="16" t="n">
        <v>22.1</v>
      </c>
      <c r="D482" s="16" t="s">
        <v>320</v>
      </c>
      <c r="E482" s="16" t="n">
        <v>22.1</v>
      </c>
      <c r="F482" s="16" t="n">
        <v>0</v>
      </c>
      <c r="G482" s="16" t="s">
        <v>647</v>
      </c>
    </row>
    <row r="483" customFormat="false" ht="15" hidden="false" customHeight="false" outlineLevel="0" collapsed="false">
      <c r="A483" s="16" t="s">
        <v>369</v>
      </c>
      <c r="B483" s="16" t="s">
        <v>320</v>
      </c>
      <c r="C483" s="16" t="n">
        <v>22.1</v>
      </c>
      <c r="D483" s="16" t="s">
        <v>209</v>
      </c>
      <c r="E483" s="16" t="n">
        <v>22.11</v>
      </c>
      <c r="F483" s="16" t="n">
        <v>0.01</v>
      </c>
      <c r="G483" s="16"/>
    </row>
    <row r="484" customFormat="false" ht="15" hidden="false" customHeight="false" outlineLevel="0" collapsed="false">
      <c r="A484" s="16" t="s">
        <v>369</v>
      </c>
      <c r="B484" s="16" t="s">
        <v>209</v>
      </c>
      <c r="C484" s="16" t="n">
        <v>22.11</v>
      </c>
      <c r="D484" s="16" t="s">
        <v>266</v>
      </c>
      <c r="E484" s="16" t="n">
        <v>22.12</v>
      </c>
      <c r="F484" s="16" t="n">
        <v>0.01</v>
      </c>
      <c r="G484" s="16"/>
    </row>
    <row r="485" customFormat="false" ht="15" hidden="false" customHeight="false" outlineLevel="0" collapsed="false">
      <c r="A485" s="16" t="s">
        <v>369</v>
      </c>
      <c r="B485" s="16" t="s">
        <v>266</v>
      </c>
      <c r="C485" s="16" t="n">
        <v>22.12</v>
      </c>
      <c r="D485" s="16" t="s">
        <v>257</v>
      </c>
      <c r="E485" s="16" t="n">
        <v>22.16</v>
      </c>
      <c r="F485" s="16" t="n">
        <v>0.04</v>
      </c>
      <c r="G485" s="16"/>
    </row>
    <row r="486" customFormat="false" ht="15" hidden="false" customHeight="false" outlineLevel="0" collapsed="false">
      <c r="A486" s="16" t="s">
        <v>369</v>
      </c>
      <c r="B486" s="16" t="s">
        <v>257</v>
      </c>
      <c r="C486" s="16" t="n">
        <v>22.16</v>
      </c>
      <c r="D486" s="16" t="s">
        <v>126</v>
      </c>
      <c r="E486" s="16" t="n">
        <v>22.17</v>
      </c>
      <c r="F486" s="16" t="n">
        <v>0.01</v>
      </c>
      <c r="G486" s="16"/>
    </row>
    <row r="487" customFormat="false" ht="15" hidden="false" customHeight="false" outlineLevel="0" collapsed="false">
      <c r="A487" s="16" t="s">
        <v>369</v>
      </c>
      <c r="B487" s="16" t="s">
        <v>126</v>
      </c>
      <c r="C487" s="16" t="n">
        <v>22.17</v>
      </c>
      <c r="D487" s="16" t="s">
        <v>313</v>
      </c>
      <c r="E487" s="16" t="n">
        <v>22.17</v>
      </c>
      <c r="F487" s="16" t="n">
        <v>0</v>
      </c>
      <c r="G487" s="16" t="s">
        <v>647</v>
      </c>
    </row>
    <row r="488" customFormat="false" ht="15" hidden="false" customHeight="false" outlineLevel="0" collapsed="false">
      <c r="A488" s="16" t="s">
        <v>369</v>
      </c>
      <c r="B488" s="16" t="s">
        <v>313</v>
      </c>
      <c r="C488" s="16" t="n">
        <v>22.17</v>
      </c>
      <c r="D488" s="16" t="s">
        <v>286</v>
      </c>
      <c r="E488" s="16" t="n">
        <v>22.18</v>
      </c>
      <c r="F488" s="16" t="n">
        <v>0.01</v>
      </c>
      <c r="G488" s="16"/>
    </row>
    <row r="489" customFormat="false" ht="15" hidden="false" customHeight="false" outlineLevel="0" collapsed="false">
      <c r="A489" s="16" t="s">
        <v>369</v>
      </c>
      <c r="B489" s="16" t="s">
        <v>286</v>
      </c>
      <c r="C489" s="16" t="n">
        <v>22.18</v>
      </c>
      <c r="D489" s="16" t="s">
        <v>251</v>
      </c>
      <c r="E489" s="16" t="n">
        <v>22.24</v>
      </c>
      <c r="F489" s="16" t="n">
        <v>0.06</v>
      </c>
      <c r="G489" s="16"/>
    </row>
    <row r="490" customFormat="false" ht="15" hidden="false" customHeight="false" outlineLevel="0" collapsed="false">
      <c r="A490" s="16" t="s">
        <v>369</v>
      </c>
      <c r="B490" s="16" t="s">
        <v>251</v>
      </c>
      <c r="C490" s="16" t="n">
        <v>22.24</v>
      </c>
      <c r="D490" s="16" t="s">
        <v>118</v>
      </c>
      <c r="E490" s="16" t="n">
        <v>22.26</v>
      </c>
      <c r="F490" s="16" t="n">
        <v>0.02</v>
      </c>
      <c r="G490" s="16"/>
    </row>
    <row r="491" customFormat="false" ht="15" hidden="false" customHeight="false" outlineLevel="0" collapsed="false">
      <c r="A491" s="16" t="s">
        <v>369</v>
      </c>
      <c r="B491" s="16" t="s">
        <v>118</v>
      </c>
      <c r="C491" s="16" t="n">
        <v>22.26</v>
      </c>
      <c r="D491" s="16" t="s">
        <v>299</v>
      </c>
      <c r="E491" s="16" t="n">
        <v>22.27</v>
      </c>
      <c r="F491" s="16" t="n">
        <v>0.01</v>
      </c>
      <c r="G491" s="16"/>
    </row>
    <row r="492" customFormat="false" ht="15" hidden="false" customHeight="false" outlineLevel="0" collapsed="false">
      <c r="A492" s="16" t="s">
        <v>369</v>
      </c>
      <c r="B492" s="16" t="s">
        <v>299</v>
      </c>
      <c r="C492" s="16" t="n">
        <v>22.27</v>
      </c>
      <c r="D492" s="16" t="s">
        <v>27</v>
      </c>
      <c r="E492" s="16" t="n">
        <v>22.28</v>
      </c>
      <c r="F492" s="16" t="n">
        <v>0.01</v>
      </c>
      <c r="G492" s="16"/>
    </row>
    <row r="493" customFormat="false" ht="15" hidden="false" customHeight="false" outlineLevel="0" collapsed="false">
      <c r="A493" s="16" t="s">
        <v>369</v>
      </c>
      <c r="B493" s="16" t="s">
        <v>27</v>
      </c>
      <c r="C493" s="16" t="n">
        <v>22.28</v>
      </c>
      <c r="D493" s="16" t="s">
        <v>238</v>
      </c>
      <c r="E493" s="16" t="n">
        <v>22.29</v>
      </c>
      <c r="F493" s="16" t="n">
        <v>0.01</v>
      </c>
      <c r="G493" s="16"/>
    </row>
    <row r="494" customFormat="false" ht="15" hidden="false" customHeight="false" outlineLevel="0" collapsed="false">
      <c r="A494" s="16" t="s">
        <v>369</v>
      </c>
      <c r="B494" s="16" t="s">
        <v>238</v>
      </c>
      <c r="C494" s="16" t="n">
        <v>22.29</v>
      </c>
      <c r="D494" s="16" t="s">
        <v>242</v>
      </c>
      <c r="E494" s="16" t="n">
        <v>22.41</v>
      </c>
      <c r="F494" s="16" t="n">
        <v>0.12</v>
      </c>
      <c r="G494" s="16"/>
    </row>
    <row r="495" customFormat="false" ht="15" hidden="false" customHeight="false" outlineLevel="0" collapsed="false">
      <c r="A495" s="16" t="s">
        <v>369</v>
      </c>
      <c r="B495" s="16" t="s">
        <v>242</v>
      </c>
      <c r="C495" s="16" t="n">
        <v>22.41</v>
      </c>
      <c r="D495" s="16" t="s">
        <v>317</v>
      </c>
      <c r="E495" s="16" t="n">
        <v>22.41</v>
      </c>
      <c r="F495" s="16" t="n">
        <v>0</v>
      </c>
      <c r="G495" s="16" t="s">
        <v>647</v>
      </c>
    </row>
    <row r="496" customFormat="false" ht="15" hidden="false" customHeight="false" outlineLevel="0" collapsed="false">
      <c r="A496" s="16" t="s">
        <v>369</v>
      </c>
      <c r="B496" s="16" t="s">
        <v>317</v>
      </c>
      <c r="C496" s="16" t="n">
        <v>22.41</v>
      </c>
      <c r="D496" s="16" t="s">
        <v>279</v>
      </c>
      <c r="E496" s="16" t="n">
        <v>22.44</v>
      </c>
      <c r="F496" s="16" t="n">
        <v>0.03</v>
      </c>
      <c r="G496" s="16"/>
    </row>
    <row r="497" customFormat="false" ht="15" hidden="false" customHeight="false" outlineLevel="0" collapsed="false">
      <c r="A497" s="16" t="s">
        <v>369</v>
      </c>
      <c r="B497" s="16" t="s">
        <v>279</v>
      </c>
      <c r="C497" s="16" t="n">
        <v>22.44</v>
      </c>
      <c r="D497" s="16" t="s">
        <v>282</v>
      </c>
      <c r="E497" s="16" t="n">
        <v>22.45</v>
      </c>
      <c r="F497" s="16" t="n">
        <v>0.01</v>
      </c>
      <c r="G497" s="16"/>
    </row>
    <row r="498" customFormat="false" ht="15" hidden="false" customHeight="false" outlineLevel="0" collapsed="false">
      <c r="A498" s="16" t="s">
        <v>369</v>
      </c>
      <c r="B498" s="16" t="s">
        <v>282</v>
      </c>
      <c r="C498" s="16" t="n">
        <v>22.45</v>
      </c>
      <c r="D498" s="16" t="s">
        <v>213</v>
      </c>
      <c r="E498" s="16" t="n">
        <v>22.46</v>
      </c>
      <c r="F498" s="16" t="n">
        <v>0.01</v>
      </c>
      <c r="G498" s="16"/>
    </row>
    <row r="499" customFormat="false" ht="15" hidden="false" customHeight="false" outlineLevel="0" collapsed="false">
      <c r="A499" s="16" t="s">
        <v>369</v>
      </c>
      <c r="B499" s="16" t="s">
        <v>213</v>
      </c>
      <c r="C499" s="16" t="n">
        <v>22.46</v>
      </c>
      <c r="D499" s="16" t="s">
        <v>43</v>
      </c>
      <c r="E499" s="16" t="n">
        <v>22.48</v>
      </c>
      <c r="F499" s="16" t="n">
        <v>0.02</v>
      </c>
      <c r="G499" s="16"/>
    </row>
    <row r="500" customFormat="false" ht="15" hidden="false" customHeight="false" outlineLevel="0" collapsed="false">
      <c r="A500" s="16" t="s">
        <v>369</v>
      </c>
      <c r="B500" s="16" t="s">
        <v>43</v>
      </c>
      <c r="C500" s="16" t="n">
        <v>22.48</v>
      </c>
      <c r="D500" s="16" t="s">
        <v>155</v>
      </c>
      <c r="E500" s="16" t="n">
        <v>22.5</v>
      </c>
      <c r="F500" s="16" t="n">
        <v>0.02</v>
      </c>
      <c r="G500" s="16"/>
    </row>
    <row r="501" customFormat="false" ht="15" hidden="false" customHeight="false" outlineLevel="0" collapsed="false">
      <c r="A501" s="16" t="s">
        <v>369</v>
      </c>
      <c r="B501" s="16" t="s">
        <v>155</v>
      </c>
      <c r="C501" s="16" t="n">
        <v>22.5</v>
      </c>
      <c r="D501" s="16" t="s">
        <v>254</v>
      </c>
      <c r="E501" s="16" t="n">
        <v>22.63</v>
      </c>
      <c r="F501" s="16" t="n">
        <v>0.13</v>
      </c>
      <c r="G501" s="16"/>
    </row>
    <row r="502" customFormat="false" ht="15" hidden="false" customHeight="false" outlineLevel="0" collapsed="false">
      <c r="A502" s="16" t="s">
        <v>369</v>
      </c>
      <c r="B502" s="16" t="s">
        <v>254</v>
      </c>
      <c r="C502" s="16" t="n">
        <v>22.63</v>
      </c>
      <c r="D502" s="16" t="s">
        <v>87</v>
      </c>
      <c r="E502" s="16" t="n">
        <v>22.66</v>
      </c>
      <c r="F502" s="16" t="n">
        <v>0.03</v>
      </c>
      <c r="G502" s="16"/>
    </row>
    <row r="503" customFormat="false" ht="15" hidden="false" customHeight="false" outlineLevel="0" collapsed="false">
      <c r="A503" s="16" t="s">
        <v>369</v>
      </c>
      <c r="B503" s="16" t="s">
        <v>87</v>
      </c>
      <c r="C503" s="16" t="n">
        <v>22.66</v>
      </c>
      <c r="D503" s="16" t="s">
        <v>67</v>
      </c>
      <c r="E503" s="16" t="n">
        <v>22.68</v>
      </c>
      <c r="F503" s="16" t="n">
        <v>0.02</v>
      </c>
      <c r="G503" s="16"/>
    </row>
    <row r="504" customFormat="false" ht="15" hidden="false" customHeight="false" outlineLevel="0" collapsed="false">
      <c r="A504" s="16" t="s">
        <v>369</v>
      </c>
      <c r="B504" s="16" t="s">
        <v>67</v>
      </c>
      <c r="C504" s="16" t="n">
        <v>22.68</v>
      </c>
      <c r="D504" s="16" t="s">
        <v>228</v>
      </c>
      <c r="E504" s="16" t="n">
        <v>22.77</v>
      </c>
      <c r="F504" s="16" t="n">
        <v>0.09</v>
      </c>
      <c r="G504" s="16"/>
    </row>
    <row r="505" customFormat="false" ht="15" hidden="false" customHeight="false" outlineLevel="0" collapsed="false">
      <c r="A505" s="16" t="s">
        <v>369</v>
      </c>
      <c r="B505" s="16" t="s">
        <v>228</v>
      </c>
      <c r="C505" s="16" t="n">
        <v>22.77</v>
      </c>
      <c r="D505" s="16" t="s">
        <v>140</v>
      </c>
      <c r="E505" s="16" t="n">
        <v>22.78</v>
      </c>
      <c r="F505" s="16" t="n">
        <v>0.01</v>
      </c>
      <c r="G505" s="16"/>
    </row>
    <row r="506" customFormat="false" ht="15" hidden="false" customHeight="false" outlineLevel="0" collapsed="false">
      <c r="A506" s="16" t="s">
        <v>369</v>
      </c>
      <c r="B506" s="16" t="s">
        <v>140</v>
      </c>
      <c r="C506" s="16" t="n">
        <v>22.78</v>
      </c>
      <c r="D506" s="16" t="s">
        <v>59</v>
      </c>
      <c r="E506" s="16" t="n">
        <v>22.79</v>
      </c>
      <c r="F506" s="16" t="n">
        <v>0.01</v>
      </c>
      <c r="G506" s="16"/>
    </row>
    <row r="507" customFormat="false" ht="15" hidden="false" customHeight="false" outlineLevel="0" collapsed="false">
      <c r="A507" s="16" t="s">
        <v>369</v>
      </c>
      <c r="B507" s="16" t="s">
        <v>59</v>
      </c>
      <c r="C507" s="16" t="n">
        <v>22.79</v>
      </c>
      <c r="D507" s="16" t="s">
        <v>178</v>
      </c>
      <c r="E507" s="16" t="n">
        <v>22.8</v>
      </c>
      <c r="F507" s="16" t="n">
        <v>0.01</v>
      </c>
      <c r="G507" s="16"/>
    </row>
    <row r="508" customFormat="false" ht="15" hidden="false" customHeight="false" outlineLevel="0" collapsed="false">
      <c r="A508" s="16" t="s">
        <v>369</v>
      </c>
      <c r="B508" s="16" t="s">
        <v>178</v>
      </c>
      <c r="C508" s="16" t="n">
        <v>22.8</v>
      </c>
      <c r="D508" s="16" t="s">
        <v>233</v>
      </c>
      <c r="E508" s="16" t="n">
        <v>22.8</v>
      </c>
      <c r="F508" s="16" t="n">
        <v>0</v>
      </c>
      <c r="G508" s="16" t="s">
        <v>647</v>
      </c>
    </row>
    <row r="509" customFormat="false" ht="15" hidden="false" customHeight="false" outlineLevel="0" collapsed="false">
      <c r="A509" s="16" t="s">
        <v>369</v>
      </c>
      <c r="B509" s="16" t="s">
        <v>233</v>
      </c>
      <c r="C509" s="16" t="n">
        <v>22.8</v>
      </c>
      <c r="D509" s="16" t="s">
        <v>248</v>
      </c>
      <c r="E509" s="16" t="n">
        <v>22.8</v>
      </c>
      <c r="F509" s="16" t="n">
        <v>0</v>
      </c>
      <c r="G509" s="16" t="s">
        <v>647</v>
      </c>
    </row>
    <row r="510" customFormat="false" ht="15" hidden="false" customHeight="false" outlineLevel="0" collapsed="false">
      <c r="A510" s="16" t="s">
        <v>369</v>
      </c>
      <c r="B510" s="16" t="s">
        <v>248</v>
      </c>
      <c r="C510" s="16" t="n">
        <v>22.8</v>
      </c>
      <c r="D510" s="16" t="s">
        <v>199</v>
      </c>
      <c r="E510" s="16" t="n">
        <v>22.86</v>
      </c>
      <c r="F510" s="16" t="n">
        <v>0.06</v>
      </c>
      <c r="G510" s="16"/>
    </row>
    <row r="511" customFormat="false" ht="15" hidden="false" customHeight="false" outlineLevel="0" collapsed="false">
      <c r="A511" s="16" t="s">
        <v>369</v>
      </c>
      <c r="B511" s="16" t="s">
        <v>199</v>
      </c>
      <c r="C511" s="16" t="n">
        <v>22.86</v>
      </c>
      <c r="D511" s="16" t="s">
        <v>345</v>
      </c>
      <c r="E511" s="16" t="n">
        <v>22.86</v>
      </c>
      <c r="F511" s="16" t="n">
        <v>0</v>
      </c>
      <c r="G511" s="16" t="s">
        <v>647</v>
      </c>
    </row>
    <row r="512" customFormat="false" ht="15" hidden="false" customHeight="false" outlineLevel="0" collapsed="false">
      <c r="A512" s="16" t="s">
        <v>369</v>
      </c>
      <c r="B512" s="16" t="s">
        <v>345</v>
      </c>
      <c r="C512" s="16" t="n">
        <v>22.86</v>
      </c>
      <c r="D512" s="16" t="s">
        <v>295</v>
      </c>
      <c r="E512" s="16" t="n">
        <v>22.89</v>
      </c>
      <c r="F512" s="16" t="n">
        <v>0.03</v>
      </c>
      <c r="G512" s="16"/>
    </row>
    <row r="513" customFormat="false" ht="15" hidden="false" customHeight="false" outlineLevel="0" collapsed="false">
      <c r="A513" s="16" t="s">
        <v>369</v>
      </c>
      <c r="B513" s="16" t="s">
        <v>295</v>
      </c>
      <c r="C513" s="16" t="n">
        <v>22.89</v>
      </c>
      <c r="D513" s="16" t="s">
        <v>187</v>
      </c>
      <c r="E513" s="16" t="n">
        <v>22.93</v>
      </c>
      <c r="F513" s="16" t="n">
        <v>0.04</v>
      </c>
      <c r="G513" s="16"/>
    </row>
    <row r="514" customFormat="false" ht="15" hidden="false" customHeight="false" outlineLevel="0" collapsed="false">
      <c r="A514" s="16" t="s">
        <v>369</v>
      </c>
      <c r="B514" s="16" t="s">
        <v>187</v>
      </c>
      <c r="C514" s="16" t="n">
        <v>22.93</v>
      </c>
      <c r="D514" s="16" t="s">
        <v>245</v>
      </c>
      <c r="E514" s="16" t="n">
        <v>23</v>
      </c>
      <c r="F514" s="16" t="n">
        <v>0.07</v>
      </c>
      <c r="G514" s="16"/>
    </row>
    <row r="515" customFormat="false" ht="15" hidden="false" customHeight="false" outlineLevel="0" collapsed="false">
      <c r="A515" s="16" t="s">
        <v>369</v>
      </c>
      <c r="B515" s="16" t="s">
        <v>245</v>
      </c>
      <c r="C515" s="16" t="n">
        <v>23</v>
      </c>
      <c r="D515" s="16" t="s">
        <v>75</v>
      </c>
      <c r="E515" s="16" t="n">
        <v>23.09</v>
      </c>
      <c r="F515" s="16" t="n">
        <v>0.09</v>
      </c>
      <c r="G515" s="16"/>
    </row>
    <row r="516" customFormat="false" ht="15" hidden="false" customHeight="false" outlineLevel="0" collapsed="false">
      <c r="A516" s="16" t="s">
        <v>369</v>
      </c>
      <c r="B516" s="16" t="s">
        <v>75</v>
      </c>
      <c r="C516" s="16" t="n">
        <v>23.09</v>
      </c>
      <c r="D516" s="16" t="s">
        <v>174</v>
      </c>
      <c r="E516" s="16" t="n">
        <v>23.27</v>
      </c>
      <c r="F516" s="16" t="n">
        <v>0.18</v>
      </c>
      <c r="G516" s="16"/>
    </row>
    <row r="517" customFormat="false" ht="15" hidden="false" customHeight="false" outlineLevel="0" collapsed="false">
      <c r="A517" s="16" t="s">
        <v>369</v>
      </c>
      <c r="B517" s="16" t="s">
        <v>174</v>
      </c>
      <c r="C517" s="16" t="n">
        <v>23.27</v>
      </c>
      <c r="D517" s="16" t="s">
        <v>270</v>
      </c>
      <c r="E517" s="16" t="n">
        <v>23.32</v>
      </c>
      <c r="F517" s="16" t="n">
        <v>0.05</v>
      </c>
      <c r="G517" s="16"/>
    </row>
    <row r="518" customFormat="false" ht="15" hidden="false" customHeight="false" outlineLevel="0" collapsed="false">
      <c r="A518" s="16" t="s">
        <v>369</v>
      </c>
      <c r="B518" s="16" t="s">
        <v>270</v>
      </c>
      <c r="C518" s="16" t="n">
        <v>23.32</v>
      </c>
      <c r="D518" s="16" t="s">
        <v>260</v>
      </c>
      <c r="E518" s="16" t="n">
        <v>23.33</v>
      </c>
      <c r="F518" s="16" t="n">
        <v>0.01</v>
      </c>
      <c r="G518" s="16"/>
    </row>
    <row r="519" customFormat="false" ht="15" hidden="false" customHeight="false" outlineLevel="0" collapsed="false">
      <c r="A519" s="16" t="s">
        <v>369</v>
      </c>
      <c r="B519" s="16" t="s">
        <v>260</v>
      </c>
      <c r="C519" s="16" t="n">
        <v>23.33</v>
      </c>
      <c r="D519" s="16" t="s">
        <v>144</v>
      </c>
      <c r="E519" s="16" t="n">
        <v>23.38</v>
      </c>
      <c r="F519" s="16" t="n">
        <v>0.05</v>
      </c>
      <c r="G519" s="16"/>
    </row>
    <row r="520" customFormat="false" ht="15" hidden="false" customHeight="false" outlineLevel="0" collapsed="false">
      <c r="A520" s="16" t="s">
        <v>369</v>
      </c>
      <c r="B520" s="16" t="s">
        <v>51</v>
      </c>
      <c r="C520" s="16" t="n">
        <v>23.7</v>
      </c>
      <c r="D520" s="16" t="s">
        <v>35</v>
      </c>
      <c r="E520" s="16" t="n">
        <v>23.73</v>
      </c>
      <c r="F520" s="16" t="n">
        <v>0.03</v>
      </c>
      <c r="G520" s="16"/>
    </row>
    <row r="521" customFormat="false" ht="15" hidden="false" customHeight="false" outlineLevel="0" collapsed="false">
      <c r="A521" s="16" t="s">
        <v>369</v>
      </c>
      <c r="B521" s="16" t="s">
        <v>35</v>
      </c>
      <c r="C521" s="16" t="n">
        <v>23.73</v>
      </c>
      <c r="D521" s="16" t="s">
        <v>322</v>
      </c>
      <c r="E521" s="16" t="n">
        <v>23.83</v>
      </c>
      <c r="F521" s="16" t="n">
        <v>0.1</v>
      </c>
      <c r="G521" s="16"/>
    </row>
    <row r="522" customFormat="false" ht="15" hidden="false" customHeight="false" outlineLevel="0" collapsed="false">
      <c r="A522" s="16" t="s">
        <v>369</v>
      </c>
      <c r="B522" s="16" t="s">
        <v>322</v>
      </c>
      <c r="C522" s="16" t="n">
        <v>23.83</v>
      </c>
      <c r="D522" s="16" t="s">
        <v>133</v>
      </c>
      <c r="E522" s="16" t="n">
        <v>23.9</v>
      </c>
      <c r="F522" s="16" t="n">
        <v>0.07</v>
      </c>
      <c r="G522" s="16"/>
    </row>
    <row r="523" customFormat="false" ht="15" hidden="false" customHeight="false" outlineLevel="0" collapsed="false">
      <c r="A523" s="16" t="s">
        <v>369</v>
      </c>
      <c r="B523" s="16" t="s">
        <v>133</v>
      </c>
      <c r="C523" s="16" t="n">
        <v>23.9</v>
      </c>
      <c r="D523" s="16" t="s">
        <v>222</v>
      </c>
      <c r="E523" s="16" t="n">
        <v>23.96</v>
      </c>
      <c r="F523" s="16" t="n">
        <v>0.06</v>
      </c>
      <c r="G523" s="16"/>
    </row>
    <row r="524" customFormat="false" ht="15" hidden="false" customHeight="false" outlineLevel="0" collapsed="false">
      <c r="A524" s="16" t="s">
        <v>369</v>
      </c>
      <c r="B524" s="16" t="s">
        <v>166</v>
      </c>
      <c r="C524" s="16" t="n">
        <v>24.32</v>
      </c>
      <c r="D524" s="16" t="s">
        <v>71</v>
      </c>
      <c r="E524" s="16" t="n">
        <v>24.52</v>
      </c>
      <c r="F524" s="16" t="n">
        <v>0.2</v>
      </c>
      <c r="G524" s="16"/>
    </row>
    <row r="525" customFormat="false" ht="15" hidden="false" customHeight="false" outlineLevel="0" collapsed="false">
      <c r="A525" s="16" t="s">
        <v>370</v>
      </c>
      <c r="B525" s="16" t="s">
        <v>93</v>
      </c>
      <c r="C525" s="16" t="n">
        <v>0</v>
      </c>
      <c r="D525" s="16" t="s">
        <v>100</v>
      </c>
      <c r="E525" s="16" t="n">
        <v>0</v>
      </c>
      <c r="F525" s="16" t="n">
        <v>0</v>
      </c>
      <c r="G525" s="16" t="s">
        <v>647</v>
      </c>
    </row>
    <row r="526" customFormat="false" ht="15" hidden="false" customHeight="false" outlineLevel="0" collapsed="false">
      <c r="A526" s="16" t="s">
        <v>370</v>
      </c>
      <c r="B526" s="16" t="s">
        <v>100</v>
      </c>
      <c r="C526" s="16" t="n">
        <v>0</v>
      </c>
      <c r="D526" s="16" t="s">
        <v>129</v>
      </c>
      <c r="E526" s="16" t="n">
        <v>0</v>
      </c>
      <c r="F526" s="16" t="n">
        <v>0</v>
      </c>
      <c r="G526" s="16" t="s">
        <v>647</v>
      </c>
    </row>
    <row r="527" customFormat="false" ht="15" hidden="false" customHeight="false" outlineLevel="0" collapsed="false">
      <c r="A527" s="16" t="s">
        <v>370</v>
      </c>
      <c r="B527" s="16" t="s">
        <v>129</v>
      </c>
      <c r="C527" s="16" t="n">
        <v>0</v>
      </c>
      <c r="D527" s="16" t="s">
        <v>137</v>
      </c>
      <c r="E527" s="16" t="n">
        <v>0</v>
      </c>
      <c r="F527" s="16" t="n">
        <v>0</v>
      </c>
      <c r="G527" s="16" t="s">
        <v>647</v>
      </c>
    </row>
    <row r="528" customFormat="false" ht="15" hidden="false" customHeight="false" outlineLevel="0" collapsed="false">
      <c r="A528" s="16" t="s">
        <v>370</v>
      </c>
      <c r="B528" s="16" t="s">
        <v>137</v>
      </c>
      <c r="C528" s="16" t="n">
        <v>0</v>
      </c>
      <c r="D528" s="16" t="s">
        <v>140</v>
      </c>
      <c r="E528" s="16" t="n">
        <v>0</v>
      </c>
      <c r="F528" s="16" t="n">
        <v>0</v>
      </c>
      <c r="G528" s="16" t="s">
        <v>647</v>
      </c>
    </row>
    <row r="529" customFormat="false" ht="15" hidden="false" customHeight="false" outlineLevel="0" collapsed="false">
      <c r="A529" s="16" t="s">
        <v>370</v>
      </c>
      <c r="B529" s="16" t="s">
        <v>140</v>
      </c>
      <c r="C529" s="16" t="n">
        <v>0</v>
      </c>
      <c r="D529" s="16" t="s">
        <v>162</v>
      </c>
      <c r="E529" s="16" t="n">
        <v>0</v>
      </c>
      <c r="F529" s="16" t="n">
        <v>0</v>
      </c>
      <c r="G529" s="16" t="s">
        <v>647</v>
      </c>
    </row>
    <row r="530" customFormat="false" ht="15" hidden="false" customHeight="false" outlineLevel="0" collapsed="false">
      <c r="A530" s="16" t="s">
        <v>370</v>
      </c>
      <c r="B530" s="16" t="s">
        <v>162</v>
      </c>
      <c r="C530" s="16" t="n">
        <v>0</v>
      </c>
      <c r="D530" s="16" t="s">
        <v>166</v>
      </c>
      <c r="E530" s="16" t="n">
        <v>0</v>
      </c>
      <c r="F530" s="16" t="n">
        <v>0</v>
      </c>
      <c r="G530" s="16" t="s">
        <v>647</v>
      </c>
    </row>
    <row r="531" customFormat="false" ht="15" hidden="false" customHeight="false" outlineLevel="0" collapsed="false">
      <c r="A531" s="16" t="s">
        <v>370</v>
      </c>
      <c r="B531" s="16" t="s">
        <v>166</v>
      </c>
      <c r="C531" s="16" t="n">
        <v>0</v>
      </c>
      <c r="D531" s="16" t="s">
        <v>168</v>
      </c>
      <c r="E531" s="16" t="n">
        <v>0</v>
      </c>
      <c r="F531" s="16" t="n">
        <v>0</v>
      </c>
      <c r="G531" s="16" t="s">
        <v>647</v>
      </c>
    </row>
    <row r="532" customFormat="false" ht="15" hidden="false" customHeight="false" outlineLevel="0" collapsed="false">
      <c r="A532" s="16" t="s">
        <v>370</v>
      </c>
      <c r="B532" s="16" t="s">
        <v>168</v>
      </c>
      <c r="C532" s="16" t="n">
        <v>0</v>
      </c>
      <c r="D532" s="16" t="s">
        <v>174</v>
      </c>
      <c r="E532" s="16" t="n">
        <v>0</v>
      </c>
      <c r="F532" s="16" t="n">
        <v>0</v>
      </c>
      <c r="G532" s="16" t="s">
        <v>647</v>
      </c>
    </row>
    <row r="533" customFormat="false" ht="15" hidden="false" customHeight="false" outlineLevel="0" collapsed="false">
      <c r="A533" s="16" t="s">
        <v>370</v>
      </c>
      <c r="B533" s="16" t="s">
        <v>174</v>
      </c>
      <c r="C533" s="16" t="n">
        <v>0</v>
      </c>
      <c r="D533" s="16" t="s">
        <v>178</v>
      </c>
      <c r="E533" s="16" t="n">
        <v>0</v>
      </c>
      <c r="F533" s="16" t="n">
        <v>0</v>
      </c>
      <c r="G533" s="16" t="s">
        <v>647</v>
      </c>
    </row>
    <row r="534" customFormat="false" ht="15" hidden="false" customHeight="false" outlineLevel="0" collapsed="false">
      <c r="A534" s="16" t="s">
        <v>370</v>
      </c>
      <c r="B534" s="16" t="s">
        <v>178</v>
      </c>
      <c r="C534" s="16" t="n">
        <v>0</v>
      </c>
      <c r="D534" s="16" t="s">
        <v>209</v>
      </c>
      <c r="E534" s="16" t="n">
        <v>0</v>
      </c>
      <c r="F534" s="16" t="n">
        <v>0</v>
      </c>
      <c r="G534" s="16" t="s">
        <v>647</v>
      </c>
    </row>
    <row r="535" customFormat="false" ht="15" hidden="false" customHeight="false" outlineLevel="0" collapsed="false">
      <c r="A535" s="16" t="s">
        <v>370</v>
      </c>
      <c r="B535" s="16" t="s">
        <v>209</v>
      </c>
      <c r="C535" s="16" t="n">
        <v>0</v>
      </c>
      <c r="D535" s="16" t="s">
        <v>216</v>
      </c>
      <c r="E535" s="16" t="n">
        <v>0</v>
      </c>
      <c r="F535" s="16" t="n">
        <v>0</v>
      </c>
      <c r="G535" s="16" t="s">
        <v>647</v>
      </c>
    </row>
    <row r="536" customFormat="false" ht="15" hidden="false" customHeight="false" outlineLevel="0" collapsed="false">
      <c r="A536" s="16" t="s">
        <v>370</v>
      </c>
      <c r="B536" s="16" t="s">
        <v>216</v>
      </c>
      <c r="C536" s="16" t="n">
        <v>0</v>
      </c>
      <c r="D536" s="16" t="s">
        <v>230</v>
      </c>
      <c r="E536" s="16" t="n">
        <v>0</v>
      </c>
      <c r="F536" s="16" t="n">
        <v>0</v>
      </c>
      <c r="G536" s="16" t="s">
        <v>647</v>
      </c>
    </row>
    <row r="537" customFormat="false" ht="15" hidden="false" customHeight="false" outlineLevel="0" collapsed="false">
      <c r="A537" s="16" t="s">
        <v>370</v>
      </c>
      <c r="B537" s="16" t="s">
        <v>230</v>
      </c>
      <c r="C537" s="16" t="n">
        <v>0</v>
      </c>
      <c r="D537" s="16" t="s">
        <v>236</v>
      </c>
      <c r="E537" s="16" t="n">
        <v>0</v>
      </c>
      <c r="F537" s="16" t="n">
        <v>0</v>
      </c>
      <c r="G537" s="16" t="s">
        <v>647</v>
      </c>
    </row>
    <row r="538" customFormat="false" ht="15" hidden="false" customHeight="false" outlineLevel="0" collapsed="false">
      <c r="A538" s="16" t="s">
        <v>370</v>
      </c>
      <c r="B538" s="16" t="s">
        <v>236</v>
      </c>
      <c r="C538" s="16" t="n">
        <v>0</v>
      </c>
      <c r="D538" s="16" t="s">
        <v>238</v>
      </c>
      <c r="E538" s="16" t="n">
        <v>0</v>
      </c>
      <c r="F538" s="16" t="n">
        <v>0</v>
      </c>
      <c r="G538" s="16" t="s">
        <v>647</v>
      </c>
    </row>
    <row r="539" customFormat="false" ht="15" hidden="false" customHeight="false" outlineLevel="0" collapsed="false">
      <c r="A539" s="16" t="s">
        <v>370</v>
      </c>
      <c r="B539" s="16" t="s">
        <v>238</v>
      </c>
      <c r="C539" s="16" t="n">
        <v>0</v>
      </c>
      <c r="D539" s="16" t="s">
        <v>242</v>
      </c>
      <c r="E539" s="16" t="n">
        <v>0</v>
      </c>
      <c r="F539" s="16" t="n">
        <v>0</v>
      </c>
      <c r="G539" s="16" t="s">
        <v>647</v>
      </c>
    </row>
    <row r="540" customFormat="false" ht="15" hidden="false" customHeight="false" outlineLevel="0" collapsed="false">
      <c r="A540" s="16" t="s">
        <v>370</v>
      </c>
      <c r="B540" s="16" t="s">
        <v>242</v>
      </c>
      <c r="C540" s="16" t="n">
        <v>0</v>
      </c>
      <c r="D540" s="16" t="s">
        <v>260</v>
      </c>
      <c r="E540" s="16" t="n">
        <v>0</v>
      </c>
      <c r="F540" s="16" t="n">
        <v>0</v>
      </c>
      <c r="G540" s="16" t="s">
        <v>647</v>
      </c>
    </row>
    <row r="541" customFormat="false" ht="15" hidden="false" customHeight="false" outlineLevel="0" collapsed="false">
      <c r="A541" s="16" t="s">
        <v>370</v>
      </c>
      <c r="B541" s="16" t="s">
        <v>260</v>
      </c>
      <c r="C541" s="16" t="n">
        <v>0</v>
      </c>
      <c r="D541" s="16" t="s">
        <v>320</v>
      </c>
      <c r="E541" s="16" t="n">
        <v>0</v>
      </c>
      <c r="F541" s="16" t="n">
        <v>0</v>
      </c>
      <c r="G541" s="16" t="s">
        <v>647</v>
      </c>
    </row>
    <row r="542" customFormat="false" ht="15" hidden="false" customHeight="false" outlineLevel="0" collapsed="false">
      <c r="A542" s="16" t="s">
        <v>370</v>
      </c>
      <c r="B542" s="16" t="s">
        <v>320</v>
      </c>
      <c r="C542" s="16" t="n">
        <v>0</v>
      </c>
      <c r="D542" s="16" t="s">
        <v>339</v>
      </c>
      <c r="E542" s="16" t="n">
        <v>0</v>
      </c>
      <c r="F542" s="16" t="n">
        <v>0</v>
      </c>
      <c r="G542" s="16" t="s">
        <v>647</v>
      </c>
    </row>
    <row r="543" customFormat="false" ht="15" hidden="false" customHeight="false" outlineLevel="0" collapsed="false">
      <c r="A543" s="16" t="s">
        <v>370</v>
      </c>
      <c r="B543" s="16" t="s">
        <v>148</v>
      </c>
      <c r="C543" s="16" t="n">
        <v>1</v>
      </c>
      <c r="D543" s="16" t="s">
        <v>192</v>
      </c>
      <c r="E543" s="16" t="n">
        <v>1</v>
      </c>
      <c r="F543" s="16" t="n">
        <v>0</v>
      </c>
      <c r="G543" s="16" t="s">
        <v>647</v>
      </c>
    </row>
    <row r="544" customFormat="false" ht="15" hidden="false" customHeight="false" outlineLevel="0" collapsed="false">
      <c r="A544" s="16" t="s">
        <v>370</v>
      </c>
      <c r="B544" s="16" t="s">
        <v>192</v>
      </c>
      <c r="C544" s="16" t="n">
        <v>1</v>
      </c>
      <c r="D544" s="16" t="s">
        <v>195</v>
      </c>
      <c r="E544" s="16" t="n">
        <v>1</v>
      </c>
      <c r="F544" s="16" t="n">
        <v>0</v>
      </c>
      <c r="G544" s="16" t="s">
        <v>647</v>
      </c>
    </row>
    <row r="545" customFormat="false" ht="15" hidden="false" customHeight="false" outlineLevel="0" collapsed="false">
      <c r="A545" s="16" t="s">
        <v>370</v>
      </c>
      <c r="B545" s="16" t="s">
        <v>195</v>
      </c>
      <c r="C545" s="16" t="n">
        <v>1</v>
      </c>
      <c r="D545" s="16" t="s">
        <v>233</v>
      </c>
      <c r="E545" s="16" t="n">
        <v>1</v>
      </c>
      <c r="F545" s="16" t="n">
        <v>0</v>
      </c>
      <c r="G545" s="16" t="s">
        <v>647</v>
      </c>
    </row>
    <row r="546" customFormat="false" ht="15" hidden="false" customHeight="false" outlineLevel="0" collapsed="false">
      <c r="A546" s="16" t="s">
        <v>370</v>
      </c>
      <c r="B546" s="16" t="s">
        <v>233</v>
      </c>
      <c r="C546" s="16" t="n">
        <v>1</v>
      </c>
      <c r="D546" s="16" t="s">
        <v>304</v>
      </c>
      <c r="E546" s="16" t="n">
        <v>1</v>
      </c>
      <c r="F546" s="16" t="n">
        <v>0</v>
      </c>
      <c r="G546" s="16" t="s">
        <v>647</v>
      </c>
    </row>
    <row r="547" customFormat="false" ht="15" hidden="false" customHeight="false" outlineLevel="0" collapsed="false">
      <c r="A547" s="16" t="s">
        <v>370</v>
      </c>
      <c r="B547" s="16" t="s">
        <v>59</v>
      </c>
      <c r="C547" s="16" t="n">
        <v>2</v>
      </c>
      <c r="D547" s="16" t="s">
        <v>71</v>
      </c>
      <c r="E547" s="16" t="n">
        <v>2</v>
      </c>
      <c r="F547" s="16" t="n">
        <v>0</v>
      </c>
      <c r="G547" s="16" t="s">
        <v>647</v>
      </c>
    </row>
    <row r="548" customFormat="false" ht="15" hidden="false" customHeight="false" outlineLevel="0" collapsed="false">
      <c r="A548" s="16" t="s">
        <v>370</v>
      </c>
      <c r="B548" s="16" t="s">
        <v>71</v>
      </c>
      <c r="C548" s="16" t="n">
        <v>2</v>
      </c>
      <c r="D548" s="16" t="s">
        <v>104</v>
      </c>
      <c r="E548" s="16" t="n">
        <v>2</v>
      </c>
      <c r="F548" s="16" t="n">
        <v>0</v>
      </c>
      <c r="G548" s="16" t="s">
        <v>647</v>
      </c>
    </row>
    <row r="549" customFormat="false" ht="15" hidden="false" customHeight="false" outlineLevel="0" collapsed="false">
      <c r="A549" s="16" t="s">
        <v>370</v>
      </c>
      <c r="B549" s="16" t="s">
        <v>104</v>
      </c>
      <c r="C549" s="16" t="n">
        <v>2</v>
      </c>
      <c r="D549" s="16" t="s">
        <v>151</v>
      </c>
      <c r="E549" s="16" t="n">
        <v>2</v>
      </c>
      <c r="F549" s="16" t="n">
        <v>0</v>
      </c>
      <c r="G549" s="16" t="s">
        <v>647</v>
      </c>
    </row>
    <row r="550" customFormat="false" ht="15" hidden="false" customHeight="false" outlineLevel="0" collapsed="false">
      <c r="A550" s="16" t="s">
        <v>370</v>
      </c>
      <c r="B550" s="16" t="s">
        <v>151</v>
      </c>
      <c r="C550" s="16" t="n">
        <v>2</v>
      </c>
      <c r="D550" s="16" t="s">
        <v>155</v>
      </c>
      <c r="E550" s="16" t="n">
        <v>2</v>
      </c>
      <c r="F550" s="16" t="n">
        <v>0</v>
      </c>
      <c r="G550" s="16" t="s">
        <v>647</v>
      </c>
    </row>
    <row r="551" customFormat="false" ht="15" hidden="false" customHeight="false" outlineLevel="0" collapsed="false">
      <c r="A551" s="16" t="s">
        <v>370</v>
      </c>
      <c r="B551" s="16" t="s">
        <v>155</v>
      </c>
      <c r="C551" s="16" t="n">
        <v>2</v>
      </c>
      <c r="D551" s="16" t="s">
        <v>184</v>
      </c>
      <c r="E551" s="16" t="n">
        <v>2</v>
      </c>
      <c r="F551" s="16" t="n">
        <v>0</v>
      </c>
      <c r="G551" s="16" t="s">
        <v>647</v>
      </c>
    </row>
    <row r="552" customFormat="false" ht="15" hidden="false" customHeight="false" outlineLevel="0" collapsed="false">
      <c r="A552" s="16" t="s">
        <v>370</v>
      </c>
      <c r="B552" s="16" t="s">
        <v>184</v>
      </c>
      <c r="C552" s="16" t="n">
        <v>2</v>
      </c>
      <c r="D552" s="16" t="s">
        <v>228</v>
      </c>
      <c r="E552" s="16" t="n">
        <v>2</v>
      </c>
      <c r="F552" s="16" t="n">
        <v>0</v>
      </c>
      <c r="G552" s="16" t="s">
        <v>647</v>
      </c>
    </row>
    <row r="553" customFormat="false" ht="15" hidden="false" customHeight="false" outlineLevel="0" collapsed="false">
      <c r="A553" s="16" t="s">
        <v>370</v>
      </c>
      <c r="B553" s="16" t="s">
        <v>228</v>
      </c>
      <c r="C553" s="16" t="n">
        <v>2</v>
      </c>
      <c r="D553" s="16" t="s">
        <v>251</v>
      </c>
      <c r="E553" s="16" t="n">
        <v>2</v>
      </c>
      <c r="F553" s="16" t="n">
        <v>0</v>
      </c>
      <c r="G553" s="16" t="s">
        <v>647</v>
      </c>
    </row>
    <row r="554" customFormat="false" ht="15" hidden="false" customHeight="false" outlineLevel="0" collapsed="false">
      <c r="A554" s="16" t="s">
        <v>370</v>
      </c>
      <c r="B554" s="16" t="s">
        <v>251</v>
      </c>
      <c r="C554" s="16" t="n">
        <v>2</v>
      </c>
      <c r="D554" s="16" t="s">
        <v>257</v>
      </c>
      <c r="E554" s="16" t="n">
        <v>2</v>
      </c>
      <c r="F554" s="16" t="n">
        <v>0</v>
      </c>
      <c r="G554" s="16" t="s">
        <v>647</v>
      </c>
    </row>
    <row r="555" customFormat="false" ht="15" hidden="false" customHeight="false" outlineLevel="0" collapsed="false">
      <c r="A555" s="16" t="s">
        <v>370</v>
      </c>
      <c r="B555" s="16" t="s">
        <v>257</v>
      </c>
      <c r="C555" s="16" t="n">
        <v>2</v>
      </c>
      <c r="D555" s="16" t="s">
        <v>263</v>
      </c>
      <c r="E555" s="16" t="n">
        <v>2</v>
      </c>
      <c r="F555" s="16" t="n">
        <v>0</v>
      </c>
      <c r="G555" s="16" t="s">
        <v>647</v>
      </c>
    </row>
    <row r="556" customFormat="false" ht="15" hidden="false" customHeight="false" outlineLevel="0" collapsed="false">
      <c r="A556" s="16" t="s">
        <v>370</v>
      </c>
      <c r="B556" s="16" t="s">
        <v>263</v>
      </c>
      <c r="C556" s="16" t="n">
        <v>2</v>
      </c>
      <c r="D556" s="16" t="s">
        <v>279</v>
      </c>
      <c r="E556" s="16" t="n">
        <v>2</v>
      </c>
      <c r="F556" s="16" t="n">
        <v>0</v>
      </c>
      <c r="G556" s="16" t="s">
        <v>647</v>
      </c>
    </row>
    <row r="557" customFormat="false" ht="15" hidden="false" customHeight="false" outlineLevel="0" collapsed="false">
      <c r="A557" s="16" t="s">
        <v>370</v>
      </c>
      <c r="B557" s="16" t="s">
        <v>279</v>
      </c>
      <c r="C557" s="16" t="n">
        <v>2</v>
      </c>
      <c r="D557" s="16" t="s">
        <v>290</v>
      </c>
      <c r="E557" s="16" t="n">
        <v>2</v>
      </c>
      <c r="F557" s="16" t="n">
        <v>0</v>
      </c>
      <c r="G557" s="16" t="s">
        <v>647</v>
      </c>
    </row>
    <row r="558" customFormat="false" ht="15" hidden="false" customHeight="false" outlineLevel="0" collapsed="false">
      <c r="A558" s="16" t="s">
        <v>370</v>
      </c>
      <c r="B558" s="16" t="s">
        <v>290</v>
      </c>
      <c r="C558" s="16" t="n">
        <v>2</v>
      </c>
      <c r="D558" s="16" t="s">
        <v>325</v>
      </c>
      <c r="E558" s="16" t="n">
        <v>2</v>
      </c>
      <c r="F558" s="16" t="n">
        <v>0</v>
      </c>
      <c r="G558" s="16" t="s">
        <v>647</v>
      </c>
    </row>
    <row r="559" customFormat="false" ht="15" hidden="false" customHeight="false" outlineLevel="0" collapsed="false">
      <c r="A559" s="16" t="s">
        <v>370</v>
      </c>
      <c r="B559" s="16" t="s">
        <v>325</v>
      </c>
      <c r="C559" s="16" t="n">
        <v>2</v>
      </c>
      <c r="D559" s="16" t="s">
        <v>355</v>
      </c>
      <c r="E559" s="16" t="n">
        <v>2</v>
      </c>
      <c r="F559" s="16" t="n">
        <v>0</v>
      </c>
      <c r="G559" s="16" t="s">
        <v>647</v>
      </c>
    </row>
    <row r="560" customFormat="false" ht="15" hidden="false" customHeight="false" outlineLevel="0" collapsed="false">
      <c r="A560" s="16" t="s">
        <v>370</v>
      </c>
      <c r="B560" s="16" t="s">
        <v>43</v>
      </c>
      <c r="C560" s="16" t="n">
        <v>3</v>
      </c>
      <c r="D560" s="16" t="s">
        <v>51</v>
      </c>
      <c r="E560" s="16" t="n">
        <v>3</v>
      </c>
      <c r="F560" s="16" t="n">
        <v>0</v>
      </c>
      <c r="G560" s="16" t="s">
        <v>647</v>
      </c>
    </row>
    <row r="561" customFormat="false" ht="15" hidden="false" customHeight="false" outlineLevel="0" collapsed="false">
      <c r="A561" s="16" t="s">
        <v>370</v>
      </c>
      <c r="B561" s="16" t="s">
        <v>51</v>
      </c>
      <c r="C561" s="16" t="n">
        <v>3</v>
      </c>
      <c r="D561" s="16" t="s">
        <v>122</v>
      </c>
      <c r="E561" s="16" t="n">
        <v>3</v>
      </c>
      <c r="F561" s="16" t="n">
        <v>0</v>
      </c>
      <c r="G561" s="16" t="s">
        <v>647</v>
      </c>
    </row>
    <row r="562" customFormat="false" ht="15" hidden="false" customHeight="false" outlineLevel="0" collapsed="false">
      <c r="A562" s="16" t="s">
        <v>370</v>
      </c>
      <c r="B562" s="16" t="s">
        <v>122</v>
      </c>
      <c r="C562" s="16" t="n">
        <v>3</v>
      </c>
      <c r="D562" s="16" t="s">
        <v>245</v>
      </c>
      <c r="E562" s="16" t="n">
        <v>3</v>
      </c>
      <c r="F562" s="16" t="n">
        <v>0</v>
      </c>
      <c r="G562" s="16" t="s">
        <v>647</v>
      </c>
    </row>
    <row r="563" customFormat="false" ht="15" hidden="false" customHeight="false" outlineLevel="0" collapsed="false">
      <c r="A563" s="16" t="s">
        <v>370</v>
      </c>
      <c r="B563" s="16" t="s">
        <v>245</v>
      </c>
      <c r="C563" s="16" t="n">
        <v>3</v>
      </c>
      <c r="D563" s="16" t="s">
        <v>282</v>
      </c>
      <c r="E563" s="16" t="n">
        <v>3</v>
      </c>
      <c r="F563" s="16" t="n">
        <v>0</v>
      </c>
      <c r="G563" s="16" t="s">
        <v>647</v>
      </c>
    </row>
    <row r="564" customFormat="false" ht="15" hidden="false" customHeight="false" outlineLevel="0" collapsed="false">
      <c r="A564" s="16" t="s">
        <v>370</v>
      </c>
      <c r="B564" s="16" t="s">
        <v>282</v>
      </c>
      <c r="C564" s="16" t="n">
        <v>3</v>
      </c>
      <c r="D564" s="16" t="s">
        <v>307</v>
      </c>
      <c r="E564" s="16" t="n">
        <v>3</v>
      </c>
      <c r="F564" s="16" t="n">
        <v>0</v>
      </c>
      <c r="G564" s="16" t="s">
        <v>647</v>
      </c>
    </row>
    <row r="565" customFormat="false" ht="15" hidden="false" customHeight="false" outlineLevel="0" collapsed="false">
      <c r="A565" s="16" t="s">
        <v>370</v>
      </c>
      <c r="B565" s="16" t="s">
        <v>307</v>
      </c>
      <c r="C565" s="16" t="n">
        <v>3</v>
      </c>
      <c r="D565" s="16" t="s">
        <v>335</v>
      </c>
      <c r="E565" s="16" t="n">
        <v>3</v>
      </c>
      <c r="F565" s="16" t="n">
        <v>0</v>
      </c>
      <c r="G565" s="16" t="s">
        <v>647</v>
      </c>
    </row>
    <row r="566" customFormat="false" ht="15" hidden="false" customHeight="false" outlineLevel="0" collapsed="false">
      <c r="A566" s="16" t="s">
        <v>370</v>
      </c>
      <c r="B566" s="16" t="s">
        <v>335</v>
      </c>
      <c r="C566" s="16" t="n">
        <v>3</v>
      </c>
      <c r="D566" s="16" t="s">
        <v>345</v>
      </c>
      <c r="E566" s="16" t="n">
        <v>3</v>
      </c>
      <c r="F566" s="16" t="n">
        <v>0</v>
      </c>
      <c r="G566" s="16" t="s">
        <v>647</v>
      </c>
    </row>
    <row r="567" customFormat="false" ht="15" hidden="false" customHeight="false" outlineLevel="0" collapsed="false">
      <c r="A567" s="16" t="s">
        <v>370</v>
      </c>
      <c r="B567" s="16" t="s">
        <v>55</v>
      </c>
      <c r="C567" s="16" t="n">
        <v>4</v>
      </c>
      <c r="D567" s="16" t="s">
        <v>63</v>
      </c>
      <c r="E567" s="16" t="n">
        <v>4</v>
      </c>
      <c r="F567" s="16" t="n">
        <v>0</v>
      </c>
      <c r="G567" s="16" t="s">
        <v>647</v>
      </c>
    </row>
    <row r="568" customFormat="false" ht="15" hidden="false" customHeight="false" outlineLevel="0" collapsed="false">
      <c r="A568" s="16" t="s">
        <v>370</v>
      </c>
      <c r="B568" s="16" t="s">
        <v>63</v>
      </c>
      <c r="C568" s="16" t="n">
        <v>4</v>
      </c>
      <c r="D568" s="16" t="s">
        <v>97</v>
      </c>
      <c r="E568" s="16" t="n">
        <v>4</v>
      </c>
      <c r="F568" s="16" t="n">
        <v>0</v>
      </c>
      <c r="G568" s="16" t="s">
        <v>647</v>
      </c>
    </row>
    <row r="569" customFormat="false" ht="15" hidden="false" customHeight="false" outlineLevel="0" collapsed="false">
      <c r="A569" s="16" t="s">
        <v>370</v>
      </c>
      <c r="B569" s="16" t="s">
        <v>97</v>
      </c>
      <c r="C569" s="16" t="n">
        <v>4</v>
      </c>
      <c r="D569" s="16" t="s">
        <v>112</v>
      </c>
      <c r="E569" s="16" t="n">
        <v>4</v>
      </c>
      <c r="F569" s="16" t="n">
        <v>0</v>
      </c>
      <c r="G569" s="16" t="s">
        <v>647</v>
      </c>
    </row>
    <row r="570" customFormat="false" ht="15" hidden="false" customHeight="false" outlineLevel="0" collapsed="false">
      <c r="A570" s="16" t="s">
        <v>370</v>
      </c>
      <c r="B570" s="16" t="s">
        <v>112</v>
      </c>
      <c r="C570" s="16" t="n">
        <v>4</v>
      </c>
      <c r="D570" s="16" t="s">
        <v>115</v>
      </c>
      <c r="E570" s="16" t="n">
        <v>4</v>
      </c>
      <c r="F570" s="16" t="n">
        <v>0</v>
      </c>
      <c r="G570" s="16" t="s">
        <v>647</v>
      </c>
    </row>
    <row r="571" customFormat="false" ht="15" hidden="false" customHeight="false" outlineLevel="0" collapsed="false">
      <c r="A571" s="16" t="s">
        <v>370</v>
      </c>
      <c r="B571" s="16" t="s">
        <v>115</v>
      </c>
      <c r="C571" s="16" t="n">
        <v>4</v>
      </c>
      <c r="D571" s="16" t="s">
        <v>171</v>
      </c>
      <c r="E571" s="16" t="n">
        <v>4</v>
      </c>
      <c r="F571" s="16" t="n">
        <v>0</v>
      </c>
      <c r="G571" s="16" t="s">
        <v>647</v>
      </c>
    </row>
    <row r="572" customFormat="false" ht="15" hidden="false" customHeight="false" outlineLevel="0" collapsed="false">
      <c r="A572" s="16" t="s">
        <v>370</v>
      </c>
      <c r="B572" s="16" t="s">
        <v>171</v>
      </c>
      <c r="C572" s="16" t="n">
        <v>4</v>
      </c>
      <c r="D572" s="16" t="s">
        <v>181</v>
      </c>
      <c r="E572" s="16" t="n">
        <v>4</v>
      </c>
      <c r="F572" s="16" t="n">
        <v>0</v>
      </c>
      <c r="G572" s="16" t="s">
        <v>647</v>
      </c>
    </row>
    <row r="573" customFormat="false" ht="15" hidden="false" customHeight="false" outlineLevel="0" collapsed="false">
      <c r="A573" s="16" t="s">
        <v>370</v>
      </c>
      <c r="B573" s="16" t="s">
        <v>181</v>
      </c>
      <c r="C573" s="16" t="n">
        <v>4</v>
      </c>
      <c r="D573" s="16" t="s">
        <v>199</v>
      </c>
      <c r="E573" s="16" t="n">
        <v>4</v>
      </c>
      <c r="F573" s="16" t="n">
        <v>0</v>
      </c>
      <c r="G573" s="16" t="s">
        <v>647</v>
      </c>
    </row>
    <row r="574" customFormat="false" ht="15" hidden="false" customHeight="false" outlineLevel="0" collapsed="false">
      <c r="A574" s="16" t="s">
        <v>370</v>
      </c>
      <c r="B574" s="16" t="s">
        <v>199</v>
      </c>
      <c r="C574" s="16" t="n">
        <v>4</v>
      </c>
      <c r="D574" s="16" t="s">
        <v>222</v>
      </c>
      <c r="E574" s="16" t="n">
        <v>4</v>
      </c>
      <c r="F574" s="16" t="n">
        <v>0</v>
      </c>
      <c r="G574" s="16" t="s">
        <v>647</v>
      </c>
    </row>
    <row r="575" customFormat="false" ht="15" hidden="false" customHeight="false" outlineLevel="0" collapsed="false">
      <c r="A575" s="16" t="s">
        <v>370</v>
      </c>
      <c r="B575" s="16" t="s">
        <v>222</v>
      </c>
      <c r="C575" s="16" t="n">
        <v>4</v>
      </c>
      <c r="D575" s="16" t="s">
        <v>273</v>
      </c>
      <c r="E575" s="16" t="n">
        <v>4</v>
      </c>
      <c r="F575" s="16" t="n">
        <v>0</v>
      </c>
      <c r="G575" s="16" t="s">
        <v>647</v>
      </c>
    </row>
    <row r="576" customFormat="false" ht="15" hidden="false" customHeight="false" outlineLevel="0" collapsed="false">
      <c r="A576" s="16" t="s">
        <v>370</v>
      </c>
      <c r="B576" s="16" t="s">
        <v>273</v>
      </c>
      <c r="C576" s="16" t="n">
        <v>4</v>
      </c>
      <c r="D576" s="16" t="s">
        <v>310</v>
      </c>
      <c r="E576" s="16" t="n">
        <v>4</v>
      </c>
      <c r="F576" s="16" t="n">
        <v>0</v>
      </c>
      <c r="G576" s="16" t="s">
        <v>647</v>
      </c>
    </row>
    <row r="577" customFormat="false" ht="15" hidden="false" customHeight="false" outlineLevel="0" collapsed="false">
      <c r="A577" s="16" t="s">
        <v>370</v>
      </c>
      <c r="B577" s="16" t="s">
        <v>310</v>
      </c>
      <c r="C577" s="16" t="n">
        <v>4</v>
      </c>
      <c r="D577" s="16" t="s">
        <v>342</v>
      </c>
      <c r="E577" s="16" t="n">
        <v>4</v>
      </c>
      <c r="F577" s="16" t="n">
        <v>0</v>
      </c>
      <c r="G577" s="16" t="s">
        <v>647</v>
      </c>
    </row>
    <row r="578" customFormat="false" ht="15" hidden="false" customHeight="false" outlineLevel="0" collapsed="false">
      <c r="A578" s="16" t="s">
        <v>370</v>
      </c>
      <c r="B578" s="16" t="s">
        <v>342</v>
      </c>
      <c r="C578" s="16" t="n">
        <v>4</v>
      </c>
      <c r="D578" s="16" t="s">
        <v>358</v>
      </c>
      <c r="E578" s="16" t="n">
        <v>4</v>
      </c>
      <c r="F578" s="16" t="n">
        <v>0</v>
      </c>
      <c r="G578" s="16" t="s">
        <v>647</v>
      </c>
    </row>
    <row r="579" customFormat="false" ht="15" hidden="false" customHeight="false" outlineLevel="0" collapsed="false">
      <c r="A579" s="16" t="s">
        <v>370</v>
      </c>
      <c r="B579" s="16" t="s">
        <v>144</v>
      </c>
      <c r="C579" s="16" t="n">
        <v>5</v>
      </c>
      <c r="D579" s="16" t="s">
        <v>205</v>
      </c>
      <c r="E579" s="16" t="n">
        <v>5</v>
      </c>
      <c r="F579" s="16" t="n">
        <v>0</v>
      </c>
      <c r="G579" s="16" t="s">
        <v>647</v>
      </c>
    </row>
    <row r="580" customFormat="false" ht="15" hidden="false" customHeight="false" outlineLevel="0" collapsed="false">
      <c r="A580" s="16" t="s">
        <v>370</v>
      </c>
      <c r="B580" s="16" t="s">
        <v>205</v>
      </c>
      <c r="C580" s="16" t="n">
        <v>5</v>
      </c>
      <c r="D580" s="16" t="s">
        <v>213</v>
      </c>
      <c r="E580" s="16" t="n">
        <v>5</v>
      </c>
      <c r="F580" s="16" t="n">
        <v>0</v>
      </c>
      <c r="G580" s="16" t="s">
        <v>647</v>
      </c>
    </row>
    <row r="581" customFormat="false" ht="15" hidden="false" customHeight="false" outlineLevel="0" collapsed="false">
      <c r="A581" s="16" t="s">
        <v>370</v>
      </c>
      <c r="B581" s="16" t="s">
        <v>213</v>
      </c>
      <c r="C581" s="16" t="n">
        <v>5</v>
      </c>
      <c r="D581" s="16" t="s">
        <v>254</v>
      </c>
      <c r="E581" s="16" t="n">
        <v>5</v>
      </c>
      <c r="F581" s="16" t="n">
        <v>0</v>
      </c>
      <c r="G581" s="16" t="s">
        <v>647</v>
      </c>
    </row>
    <row r="582" customFormat="false" ht="15" hidden="false" customHeight="false" outlineLevel="0" collapsed="false">
      <c r="A582" s="16" t="s">
        <v>370</v>
      </c>
      <c r="B582" s="16" t="s">
        <v>254</v>
      </c>
      <c r="C582" s="16" t="n">
        <v>5</v>
      </c>
      <c r="D582" s="16" t="s">
        <v>299</v>
      </c>
      <c r="E582" s="16" t="n">
        <v>5</v>
      </c>
      <c r="F582" s="16" t="n">
        <v>0</v>
      </c>
      <c r="G582" s="16" t="s">
        <v>647</v>
      </c>
    </row>
    <row r="583" customFormat="false" ht="15" hidden="false" customHeight="false" outlineLevel="0" collapsed="false">
      <c r="A583" s="16" t="s">
        <v>370</v>
      </c>
      <c r="B583" s="16" t="s">
        <v>299</v>
      </c>
      <c r="C583" s="16" t="n">
        <v>5</v>
      </c>
      <c r="D583" s="16" t="s">
        <v>322</v>
      </c>
      <c r="E583" s="16" t="n">
        <v>5</v>
      </c>
      <c r="F583" s="16" t="n">
        <v>0</v>
      </c>
      <c r="G583" s="16" t="s">
        <v>647</v>
      </c>
    </row>
    <row r="584" customFormat="false" ht="15" hidden="false" customHeight="false" outlineLevel="0" collapsed="false">
      <c r="A584" s="16" t="s">
        <v>370</v>
      </c>
      <c r="B584" s="16" t="s">
        <v>322</v>
      </c>
      <c r="C584" s="16" t="n">
        <v>5</v>
      </c>
      <c r="D584" s="16" t="s">
        <v>332</v>
      </c>
      <c r="E584" s="16" t="n">
        <v>5</v>
      </c>
      <c r="F584" s="16" t="n">
        <v>0</v>
      </c>
      <c r="G584" s="16" t="s">
        <v>647</v>
      </c>
    </row>
    <row r="585" customFormat="false" ht="15" hidden="false" customHeight="false" outlineLevel="0" collapsed="false">
      <c r="A585" s="16" t="s">
        <v>370</v>
      </c>
      <c r="B585" s="16" t="s">
        <v>332</v>
      </c>
      <c r="C585" s="16" t="n">
        <v>5</v>
      </c>
      <c r="D585" s="16" t="s">
        <v>351</v>
      </c>
      <c r="E585" s="16" t="n">
        <v>5</v>
      </c>
      <c r="F585" s="16" t="n">
        <v>0</v>
      </c>
      <c r="G585" s="16" t="s">
        <v>647</v>
      </c>
    </row>
    <row r="586" customFormat="false" ht="15" hidden="false" customHeight="false" outlineLevel="0" collapsed="false">
      <c r="A586" s="16" t="s">
        <v>370</v>
      </c>
      <c r="B586" s="16" t="s">
        <v>47</v>
      </c>
      <c r="C586" s="16" t="n">
        <v>6</v>
      </c>
      <c r="D586" s="16" t="s">
        <v>118</v>
      </c>
      <c r="E586" s="16" t="n">
        <v>6</v>
      </c>
      <c r="F586" s="16" t="n">
        <v>0</v>
      </c>
      <c r="G586" s="16" t="s">
        <v>647</v>
      </c>
    </row>
    <row r="587" customFormat="false" ht="15" hidden="false" customHeight="false" outlineLevel="0" collapsed="false">
      <c r="A587" s="16" t="s">
        <v>370</v>
      </c>
      <c r="B587" s="16" t="s">
        <v>118</v>
      </c>
      <c r="C587" s="16" t="n">
        <v>6</v>
      </c>
      <c r="D587" s="16" t="s">
        <v>189</v>
      </c>
      <c r="E587" s="16" t="n">
        <v>6</v>
      </c>
      <c r="F587" s="16" t="n">
        <v>0</v>
      </c>
      <c r="G587" s="16" t="s">
        <v>647</v>
      </c>
    </row>
    <row r="588" customFormat="false" ht="15" hidden="false" customHeight="false" outlineLevel="0" collapsed="false">
      <c r="A588" s="16" t="s">
        <v>370</v>
      </c>
      <c r="B588" s="16" t="s">
        <v>189</v>
      </c>
      <c r="C588" s="16" t="n">
        <v>6</v>
      </c>
      <c r="D588" s="16" t="s">
        <v>295</v>
      </c>
      <c r="E588" s="16" t="n">
        <v>6</v>
      </c>
      <c r="F588" s="16" t="n">
        <v>0</v>
      </c>
      <c r="G588" s="16" t="s">
        <v>647</v>
      </c>
    </row>
    <row r="589" customFormat="false" ht="15" hidden="false" customHeight="false" outlineLevel="0" collapsed="false">
      <c r="A589" s="16" t="s">
        <v>370</v>
      </c>
      <c r="B589" s="16" t="s">
        <v>295</v>
      </c>
      <c r="C589" s="16" t="n">
        <v>6</v>
      </c>
      <c r="D589" s="16" t="s">
        <v>317</v>
      </c>
      <c r="E589" s="16" t="n">
        <v>6</v>
      </c>
      <c r="F589" s="16" t="n">
        <v>0</v>
      </c>
      <c r="G589" s="16" t="s">
        <v>647</v>
      </c>
    </row>
    <row r="590" customFormat="false" ht="15" hidden="false" customHeight="false" outlineLevel="0" collapsed="false">
      <c r="A590" s="16" t="s">
        <v>370</v>
      </c>
      <c r="B590" s="16" t="s">
        <v>35</v>
      </c>
      <c r="C590" s="16" t="n">
        <v>7</v>
      </c>
      <c r="D590" s="16" t="s">
        <v>75</v>
      </c>
      <c r="E590" s="16" t="n">
        <v>7</v>
      </c>
      <c r="F590" s="16" t="n">
        <v>0</v>
      </c>
      <c r="G590" s="16" t="s">
        <v>647</v>
      </c>
    </row>
    <row r="591" customFormat="false" ht="15" hidden="false" customHeight="false" outlineLevel="0" collapsed="false">
      <c r="A591" s="16" t="s">
        <v>370</v>
      </c>
      <c r="B591" s="16" t="s">
        <v>75</v>
      </c>
      <c r="C591" s="16" t="n">
        <v>7</v>
      </c>
      <c r="D591" s="16" t="s">
        <v>83</v>
      </c>
      <c r="E591" s="16" t="n">
        <v>7</v>
      </c>
      <c r="F591" s="16" t="n">
        <v>0</v>
      </c>
      <c r="G591" s="16" t="s">
        <v>647</v>
      </c>
    </row>
    <row r="592" customFormat="false" ht="15" hidden="false" customHeight="false" outlineLevel="0" collapsed="false">
      <c r="A592" s="16" t="s">
        <v>370</v>
      </c>
      <c r="B592" s="16" t="s">
        <v>83</v>
      </c>
      <c r="C592" s="16" t="n">
        <v>7</v>
      </c>
      <c r="D592" s="16" t="s">
        <v>109</v>
      </c>
      <c r="E592" s="16" t="n">
        <v>7</v>
      </c>
      <c r="F592" s="16" t="n">
        <v>0</v>
      </c>
      <c r="G592" s="16" t="s">
        <v>647</v>
      </c>
    </row>
    <row r="593" customFormat="false" ht="15" hidden="false" customHeight="false" outlineLevel="0" collapsed="false">
      <c r="A593" s="16" t="s">
        <v>370</v>
      </c>
      <c r="B593" s="16" t="s">
        <v>109</v>
      </c>
      <c r="C593" s="16" t="n">
        <v>7</v>
      </c>
      <c r="D593" s="16" t="s">
        <v>219</v>
      </c>
      <c r="E593" s="16" t="n">
        <v>7</v>
      </c>
      <c r="F593" s="16" t="n">
        <v>0</v>
      </c>
      <c r="G593" s="16" t="s">
        <v>647</v>
      </c>
    </row>
    <row r="594" customFormat="false" ht="15" hidden="false" customHeight="false" outlineLevel="0" collapsed="false">
      <c r="A594" s="16" t="s">
        <v>370</v>
      </c>
      <c r="B594" s="16" t="s">
        <v>67</v>
      </c>
      <c r="C594" s="16" t="n">
        <v>8</v>
      </c>
      <c r="D594" s="16" t="s">
        <v>90</v>
      </c>
      <c r="E594" s="16" t="n">
        <v>8</v>
      </c>
      <c r="F594" s="16" t="n">
        <v>0</v>
      </c>
      <c r="G594" s="16" t="s">
        <v>647</v>
      </c>
    </row>
    <row r="595" customFormat="false" ht="15" hidden="false" customHeight="false" outlineLevel="0" collapsed="false">
      <c r="A595" s="16" t="s">
        <v>370</v>
      </c>
      <c r="B595" s="16" t="s">
        <v>90</v>
      </c>
      <c r="C595" s="16" t="n">
        <v>8</v>
      </c>
      <c r="D595" s="16" t="s">
        <v>187</v>
      </c>
      <c r="E595" s="16" t="n">
        <v>8</v>
      </c>
      <c r="F595" s="16" t="n">
        <v>0</v>
      </c>
      <c r="G595" s="16" t="s">
        <v>647</v>
      </c>
    </row>
    <row r="596" customFormat="false" ht="15" hidden="false" customHeight="false" outlineLevel="0" collapsed="false">
      <c r="A596" s="16" t="s">
        <v>370</v>
      </c>
      <c r="B596" s="16" t="s">
        <v>31</v>
      </c>
      <c r="C596" s="16" t="n">
        <v>9</v>
      </c>
      <c r="D596" s="16" t="s">
        <v>87</v>
      </c>
      <c r="E596" s="16" t="n">
        <v>9</v>
      </c>
      <c r="F596" s="16" t="n">
        <v>0</v>
      </c>
      <c r="G596" s="16" t="s">
        <v>647</v>
      </c>
    </row>
    <row r="597" customFormat="false" ht="15" hidden="false" customHeight="false" outlineLevel="0" collapsed="false">
      <c r="A597" s="16" t="s">
        <v>370</v>
      </c>
      <c r="B597" s="16" t="s">
        <v>87</v>
      </c>
      <c r="C597" s="16" t="n">
        <v>9</v>
      </c>
      <c r="D597" s="16" t="s">
        <v>266</v>
      </c>
      <c r="E597" s="16" t="n">
        <v>9</v>
      </c>
      <c r="F597" s="16" t="n">
        <v>0</v>
      </c>
      <c r="G597" s="16" t="s">
        <v>647</v>
      </c>
    </row>
    <row r="598" customFormat="false" ht="15" hidden="false" customHeight="false" outlineLevel="0" collapsed="false">
      <c r="A598" s="16" t="s">
        <v>370</v>
      </c>
      <c r="B598" s="16" t="s">
        <v>39</v>
      </c>
      <c r="C598" s="16" t="n">
        <v>10</v>
      </c>
      <c r="D598" s="16" t="s">
        <v>79</v>
      </c>
      <c r="E598" s="16" t="n">
        <v>10</v>
      </c>
      <c r="F598" s="16" t="n">
        <v>0</v>
      </c>
      <c r="G598" s="16" t="s">
        <v>647</v>
      </c>
    </row>
    <row r="599" customFormat="false" ht="15" hidden="false" customHeight="false" outlineLevel="0" collapsed="false">
      <c r="A599" s="16" t="s">
        <v>370</v>
      </c>
      <c r="B599" s="16" t="s">
        <v>79</v>
      </c>
      <c r="C599" s="16" t="n">
        <v>10</v>
      </c>
      <c r="D599" s="16" t="s">
        <v>225</v>
      </c>
      <c r="E599" s="16" t="n">
        <v>10</v>
      </c>
      <c r="F599" s="16" t="n">
        <v>0</v>
      </c>
      <c r="G599" s="16" t="s">
        <v>647</v>
      </c>
    </row>
    <row r="600" customFormat="false" ht="15" hidden="false" customHeight="false" outlineLevel="0" collapsed="false">
      <c r="A600" s="16" t="s">
        <v>370</v>
      </c>
      <c r="B600" s="16" t="s">
        <v>225</v>
      </c>
      <c r="C600" s="16" t="n">
        <v>10</v>
      </c>
      <c r="D600" s="16" t="s">
        <v>248</v>
      </c>
      <c r="E600" s="16" t="n">
        <v>10</v>
      </c>
      <c r="F600" s="16" t="n">
        <v>0</v>
      </c>
      <c r="G600" s="16" t="s">
        <v>647</v>
      </c>
    </row>
    <row r="601" customFormat="false" ht="15" hidden="false" customHeight="false" outlineLevel="0" collapsed="false">
      <c r="A601" s="16" t="s">
        <v>370</v>
      </c>
      <c r="B601" s="16" t="s">
        <v>248</v>
      </c>
      <c r="C601" s="16" t="n">
        <v>10</v>
      </c>
      <c r="D601" s="16" t="s">
        <v>276</v>
      </c>
      <c r="E601" s="16" t="n">
        <v>10</v>
      </c>
      <c r="F601" s="16" t="n">
        <v>0</v>
      </c>
      <c r="G601" s="16" t="s">
        <v>647</v>
      </c>
    </row>
    <row r="602" customFormat="false" ht="15" hidden="false" customHeight="false" outlineLevel="0" collapsed="false">
      <c r="A602" s="16" t="s">
        <v>370</v>
      </c>
      <c r="B602" s="16" t="s">
        <v>126</v>
      </c>
      <c r="C602" s="16" t="n">
        <v>11</v>
      </c>
      <c r="D602" s="16" t="s">
        <v>348</v>
      </c>
      <c r="E602" s="16" t="n">
        <v>11</v>
      </c>
      <c r="F602" s="16" t="n">
        <v>0</v>
      </c>
      <c r="G602" s="16" t="s">
        <v>647</v>
      </c>
    </row>
    <row r="603" customFormat="false" ht="15" hidden="false" customHeight="false" outlineLevel="0" collapsed="false">
      <c r="A603" s="16" t="s">
        <v>370</v>
      </c>
      <c r="B603" s="16" t="s">
        <v>302</v>
      </c>
      <c r="C603" s="16" t="n">
        <v>12</v>
      </c>
      <c r="D603" s="16" t="s">
        <v>328</v>
      </c>
      <c r="E603" s="16" t="n">
        <v>12</v>
      </c>
      <c r="F603" s="16" t="n">
        <v>0</v>
      </c>
      <c r="G603" s="16" t="s">
        <v>647</v>
      </c>
    </row>
    <row r="604" customFormat="false" ht="15" hidden="false" customHeight="false" outlineLevel="0" collapsed="false">
      <c r="A604" s="16" t="s">
        <v>370</v>
      </c>
      <c r="B604" s="16" t="s">
        <v>159</v>
      </c>
      <c r="C604" s="16" t="n">
        <v>13</v>
      </c>
      <c r="D604" s="16" t="s">
        <v>286</v>
      </c>
      <c r="E604" s="16" t="n">
        <v>13</v>
      </c>
      <c r="F604" s="16" t="n">
        <v>0</v>
      </c>
      <c r="G604" s="16" t="s">
        <v>647</v>
      </c>
    </row>
    <row r="605" customFormat="false" ht="15" hidden="false" customHeight="false" outlineLevel="0" collapsed="false">
      <c r="A605" s="16" t="s">
        <v>370</v>
      </c>
      <c r="B605" s="16" t="s">
        <v>133</v>
      </c>
      <c r="C605" s="16" t="n">
        <v>14</v>
      </c>
      <c r="D605" s="16" t="s">
        <v>202</v>
      </c>
      <c r="E605" s="16" t="n">
        <v>14</v>
      </c>
      <c r="F605" s="16" t="n">
        <v>0</v>
      </c>
      <c r="G605" s="16" t="s">
        <v>647</v>
      </c>
    </row>
    <row r="606" customFormat="false" ht="15" hidden="false" customHeight="false" outlineLevel="0" collapsed="false">
      <c r="A606" s="16" t="s">
        <v>371</v>
      </c>
      <c r="B606" s="16" t="s">
        <v>100</v>
      </c>
      <c r="C606" s="16" t="n">
        <v>2</v>
      </c>
      <c r="D606" s="16" t="s">
        <v>171</v>
      </c>
      <c r="E606" s="16" t="n">
        <v>2</v>
      </c>
      <c r="F606" s="16" t="n">
        <v>0</v>
      </c>
      <c r="G606" s="16" t="s">
        <v>647</v>
      </c>
    </row>
    <row r="607" customFormat="false" ht="15" hidden="false" customHeight="false" outlineLevel="0" collapsed="false">
      <c r="A607" s="16" t="s">
        <v>371</v>
      </c>
      <c r="B607" s="16" t="s">
        <v>171</v>
      </c>
      <c r="C607" s="16" t="n">
        <v>2</v>
      </c>
      <c r="D607" s="16" t="s">
        <v>174</v>
      </c>
      <c r="E607" s="16" t="n">
        <v>2</v>
      </c>
      <c r="F607" s="16" t="n">
        <v>0</v>
      </c>
      <c r="G607" s="16" t="s">
        <v>647</v>
      </c>
    </row>
    <row r="608" customFormat="false" ht="15" hidden="false" customHeight="false" outlineLevel="0" collapsed="false">
      <c r="A608" s="16" t="s">
        <v>371</v>
      </c>
      <c r="B608" s="16" t="s">
        <v>174</v>
      </c>
      <c r="C608" s="16" t="n">
        <v>2</v>
      </c>
      <c r="D608" s="16" t="s">
        <v>199</v>
      </c>
      <c r="E608" s="16" t="n">
        <v>2</v>
      </c>
      <c r="F608" s="16" t="n">
        <v>0</v>
      </c>
      <c r="G608" s="16" t="s">
        <v>647</v>
      </c>
    </row>
    <row r="609" customFormat="false" ht="15" hidden="false" customHeight="false" outlineLevel="0" collapsed="false">
      <c r="A609" s="16" t="s">
        <v>371</v>
      </c>
      <c r="B609" s="16" t="s">
        <v>199</v>
      </c>
      <c r="C609" s="16" t="n">
        <v>2</v>
      </c>
      <c r="D609" s="16" t="s">
        <v>202</v>
      </c>
      <c r="E609" s="16" t="n">
        <v>2</v>
      </c>
      <c r="F609" s="16" t="n">
        <v>0</v>
      </c>
      <c r="G609" s="16" t="s">
        <v>647</v>
      </c>
    </row>
    <row r="610" customFormat="false" ht="15" hidden="false" customHeight="false" outlineLevel="0" collapsed="false">
      <c r="A610" s="16" t="s">
        <v>371</v>
      </c>
      <c r="B610" s="16" t="s">
        <v>202</v>
      </c>
      <c r="C610" s="16" t="n">
        <v>2</v>
      </c>
      <c r="D610" s="16" t="s">
        <v>205</v>
      </c>
      <c r="E610" s="16" t="n">
        <v>2</v>
      </c>
      <c r="F610" s="16" t="n">
        <v>0</v>
      </c>
      <c r="G610" s="16" t="s">
        <v>647</v>
      </c>
    </row>
    <row r="611" customFormat="false" ht="15" hidden="false" customHeight="false" outlineLevel="0" collapsed="false">
      <c r="A611" s="16" t="s">
        <v>371</v>
      </c>
      <c r="B611" s="16" t="s">
        <v>205</v>
      </c>
      <c r="C611" s="16" t="n">
        <v>2</v>
      </c>
      <c r="D611" s="16" t="s">
        <v>238</v>
      </c>
      <c r="E611" s="16" t="n">
        <v>2</v>
      </c>
      <c r="F611" s="16" t="n">
        <v>0</v>
      </c>
      <c r="G611" s="16" t="s">
        <v>647</v>
      </c>
    </row>
    <row r="612" customFormat="false" ht="15" hidden="false" customHeight="false" outlineLevel="0" collapsed="false">
      <c r="A612" s="16" t="s">
        <v>371</v>
      </c>
      <c r="B612" s="16" t="s">
        <v>238</v>
      </c>
      <c r="C612" s="16" t="n">
        <v>2</v>
      </c>
      <c r="D612" s="16" t="s">
        <v>242</v>
      </c>
      <c r="E612" s="16" t="n">
        <v>2</v>
      </c>
      <c r="F612" s="16" t="n">
        <v>0</v>
      </c>
      <c r="G612" s="16" t="s">
        <v>647</v>
      </c>
    </row>
    <row r="613" customFormat="false" ht="15" hidden="false" customHeight="false" outlineLevel="0" collapsed="false">
      <c r="A613" s="16" t="s">
        <v>371</v>
      </c>
      <c r="B613" s="16" t="s">
        <v>242</v>
      </c>
      <c r="C613" s="16" t="n">
        <v>2</v>
      </c>
      <c r="D613" s="16" t="s">
        <v>260</v>
      </c>
      <c r="E613" s="16" t="n">
        <v>2</v>
      </c>
      <c r="F613" s="16" t="n">
        <v>0</v>
      </c>
      <c r="G613" s="16" t="s">
        <v>647</v>
      </c>
    </row>
    <row r="614" customFormat="false" ht="15" hidden="false" customHeight="false" outlineLevel="0" collapsed="false">
      <c r="A614" s="16" t="s">
        <v>371</v>
      </c>
      <c r="B614" s="16" t="s">
        <v>260</v>
      </c>
      <c r="C614" s="16" t="n">
        <v>2</v>
      </c>
      <c r="D614" s="16" t="s">
        <v>263</v>
      </c>
      <c r="E614" s="16" t="n">
        <v>2</v>
      </c>
      <c r="F614" s="16" t="n">
        <v>0</v>
      </c>
      <c r="G614" s="16" t="s">
        <v>647</v>
      </c>
    </row>
    <row r="615" customFormat="false" ht="15" hidden="false" customHeight="false" outlineLevel="0" collapsed="false">
      <c r="A615" s="16" t="s">
        <v>371</v>
      </c>
      <c r="B615" s="16" t="s">
        <v>263</v>
      </c>
      <c r="C615" s="16" t="n">
        <v>2</v>
      </c>
      <c r="D615" s="16" t="s">
        <v>299</v>
      </c>
      <c r="E615" s="16" t="n">
        <v>2</v>
      </c>
      <c r="F615" s="16" t="n">
        <v>0</v>
      </c>
      <c r="G615" s="16" t="s">
        <v>647</v>
      </c>
    </row>
    <row r="616" customFormat="false" ht="15" hidden="false" customHeight="false" outlineLevel="0" collapsed="false">
      <c r="A616" s="16" t="s">
        <v>371</v>
      </c>
      <c r="B616" s="16" t="s">
        <v>299</v>
      </c>
      <c r="C616" s="16" t="n">
        <v>2</v>
      </c>
      <c r="D616" s="16" t="s">
        <v>320</v>
      </c>
      <c r="E616" s="16" t="n">
        <v>2</v>
      </c>
      <c r="F616" s="16" t="n">
        <v>0</v>
      </c>
      <c r="G616" s="16" t="s">
        <v>647</v>
      </c>
    </row>
    <row r="617" customFormat="false" ht="15" hidden="false" customHeight="false" outlineLevel="0" collapsed="false">
      <c r="A617" s="16" t="s">
        <v>371</v>
      </c>
      <c r="B617" s="16" t="s">
        <v>320</v>
      </c>
      <c r="C617" s="16" t="n">
        <v>2</v>
      </c>
      <c r="D617" s="16" t="s">
        <v>339</v>
      </c>
      <c r="E617" s="16" t="n">
        <v>2</v>
      </c>
      <c r="F617" s="16" t="n">
        <v>0</v>
      </c>
      <c r="G617" s="16" t="s">
        <v>647</v>
      </c>
    </row>
    <row r="618" customFormat="false" ht="15" hidden="false" customHeight="false" outlineLevel="0" collapsed="false">
      <c r="A618" s="16" t="s">
        <v>371</v>
      </c>
      <c r="B618" s="16" t="s">
        <v>339</v>
      </c>
      <c r="C618" s="16" t="n">
        <v>2</v>
      </c>
      <c r="D618" s="16" t="s">
        <v>348</v>
      </c>
      <c r="E618" s="16" t="n">
        <v>2</v>
      </c>
      <c r="F618" s="16" t="n">
        <v>0</v>
      </c>
      <c r="G618" s="16" t="s">
        <v>647</v>
      </c>
    </row>
    <row r="619" customFormat="false" ht="15" hidden="false" customHeight="false" outlineLevel="0" collapsed="false">
      <c r="A619" s="16" t="s">
        <v>371</v>
      </c>
      <c r="B619" s="16" t="s">
        <v>51</v>
      </c>
      <c r="C619" s="16" t="n">
        <v>3</v>
      </c>
      <c r="D619" s="16" t="s">
        <v>55</v>
      </c>
      <c r="E619" s="16" t="n">
        <v>3</v>
      </c>
      <c r="F619" s="16" t="n">
        <v>0</v>
      </c>
      <c r="G619" s="16" t="s">
        <v>647</v>
      </c>
    </row>
    <row r="620" customFormat="false" ht="15" hidden="false" customHeight="false" outlineLevel="0" collapsed="false">
      <c r="A620" s="16" t="s">
        <v>371</v>
      </c>
      <c r="B620" s="16" t="s">
        <v>55</v>
      </c>
      <c r="C620" s="16" t="n">
        <v>3</v>
      </c>
      <c r="D620" s="16" t="s">
        <v>59</v>
      </c>
      <c r="E620" s="16" t="n">
        <v>3</v>
      </c>
      <c r="F620" s="16" t="n">
        <v>0</v>
      </c>
      <c r="G620" s="16" t="s">
        <v>647</v>
      </c>
    </row>
    <row r="621" customFormat="false" ht="15" hidden="false" customHeight="false" outlineLevel="0" collapsed="false">
      <c r="A621" s="16" t="s">
        <v>371</v>
      </c>
      <c r="B621" s="16" t="s">
        <v>59</v>
      </c>
      <c r="C621" s="16" t="n">
        <v>3</v>
      </c>
      <c r="D621" s="16" t="s">
        <v>71</v>
      </c>
      <c r="E621" s="16" t="n">
        <v>3</v>
      </c>
      <c r="F621" s="16" t="n">
        <v>0</v>
      </c>
      <c r="G621" s="16" t="s">
        <v>647</v>
      </c>
    </row>
    <row r="622" customFormat="false" ht="15" hidden="false" customHeight="false" outlineLevel="0" collapsed="false">
      <c r="A622" s="16" t="s">
        <v>371</v>
      </c>
      <c r="B622" s="16" t="s">
        <v>71</v>
      </c>
      <c r="C622" s="16" t="n">
        <v>3</v>
      </c>
      <c r="D622" s="16" t="s">
        <v>83</v>
      </c>
      <c r="E622" s="16" t="n">
        <v>3</v>
      </c>
      <c r="F622" s="16" t="n">
        <v>0</v>
      </c>
      <c r="G622" s="16" t="s">
        <v>647</v>
      </c>
    </row>
    <row r="623" customFormat="false" ht="15" hidden="false" customHeight="false" outlineLevel="0" collapsed="false">
      <c r="A623" s="16" t="s">
        <v>371</v>
      </c>
      <c r="B623" s="16" t="s">
        <v>83</v>
      </c>
      <c r="C623" s="16" t="n">
        <v>3</v>
      </c>
      <c r="D623" s="16" t="s">
        <v>87</v>
      </c>
      <c r="E623" s="16" t="n">
        <v>3</v>
      </c>
      <c r="F623" s="16" t="n">
        <v>0</v>
      </c>
      <c r="G623" s="16" t="s">
        <v>647</v>
      </c>
    </row>
    <row r="624" customFormat="false" ht="15" hidden="false" customHeight="false" outlineLevel="0" collapsed="false">
      <c r="A624" s="16" t="s">
        <v>371</v>
      </c>
      <c r="B624" s="16" t="s">
        <v>87</v>
      </c>
      <c r="C624" s="16" t="n">
        <v>3</v>
      </c>
      <c r="D624" s="16" t="s">
        <v>129</v>
      </c>
      <c r="E624" s="16" t="n">
        <v>3</v>
      </c>
      <c r="F624" s="16" t="n">
        <v>0</v>
      </c>
      <c r="G624" s="16" t="s">
        <v>647</v>
      </c>
    </row>
    <row r="625" customFormat="false" ht="15" hidden="false" customHeight="false" outlineLevel="0" collapsed="false">
      <c r="A625" s="16" t="s">
        <v>371</v>
      </c>
      <c r="B625" s="16" t="s">
        <v>129</v>
      </c>
      <c r="C625" s="16" t="n">
        <v>3</v>
      </c>
      <c r="D625" s="16" t="s">
        <v>137</v>
      </c>
      <c r="E625" s="16" t="n">
        <v>3</v>
      </c>
      <c r="F625" s="16" t="n">
        <v>0</v>
      </c>
      <c r="G625" s="16" t="s">
        <v>647</v>
      </c>
    </row>
    <row r="626" customFormat="false" ht="15" hidden="false" customHeight="false" outlineLevel="0" collapsed="false">
      <c r="A626" s="16" t="s">
        <v>371</v>
      </c>
      <c r="B626" s="16" t="s">
        <v>137</v>
      </c>
      <c r="C626" s="16" t="n">
        <v>3</v>
      </c>
      <c r="D626" s="16" t="s">
        <v>166</v>
      </c>
      <c r="E626" s="16" t="n">
        <v>3</v>
      </c>
      <c r="F626" s="16" t="n">
        <v>0</v>
      </c>
      <c r="G626" s="16" t="s">
        <v>647</v>
      </c>
    </row>
    <row r="627" customFormat="false" ht="15" hidden="false" customHeight="false" outlineLevel="0" collapsed="false">
      <c r="A627" s="16" t="s">
        <v>371</v>
      </c>
      <c r="B627" s="16" t="s">
        <v>166</v>
      </c>
      <c r="C627" s="16" t="n">
        <v>3</v>
      </c>
      <c r="D627" s="16" t="s">
        <v>168</v>
      </c>
      <c r="E627" s="16" t="n">
        <v>3</v>
      </c>
      <c r="F627" s="16" t="n">
        <v>0</v>
      </c>
      <c r="G627" s="16" t="s">
        <v>647</v>
      </c>
    </row>
    <row r="628" customFormat="false" ht="15" hidden="false" customHeight="false" outlineLevel="0" collapsed="false">
      <c r="A628" s="16" t="s">
        <v>371</v>
      </c>
      <c r="B628" s="16" t="s">
        <v>168</v>
      </c>
      <c r="C628" s="16" t="n">
        <v>3</v>
      </c>
      <c r="D628" s="16" t="s">
        <v>184</v>
      </c>
      <c r="E628" s="16" t="n">
        <v>3</v>
      </c>
      <c r="F628" s="16" t="n">
        <v>0</v>
      </c>
      <c r="G628" s="16" t="s">
        <v>647</v>
      </c>
    </row>
    <row r="629" customFormat="false" ht="15" hidden="false" customHeight="false" outlineLevel="0" collapsed="false">
      <c r="A629" s="16" t="s">
        <v>371</v>
      </c>
      <c r="B629" s="16" t="s">
        <v>184</v>
      </c>
      <c r="C629" s="16" t="n">
        <v>3</v>
      </c>
      <c r="D629" s="16" t="s">
        <v>230</v>
      </c>
      <c r="E629" s="16" t="n">
        <v>3</v>
      </c>
      <c r="F629" s="16" t="n">
        <v>0</v>
      </c>
      <c r="G629" s="16" t="s">
        <v>647</v>
      </c>
    </row>
    <row r="630" customFormat="false" ht="15" hidden="false" customHeight="false" outlineLevel="0" collapsed="false">
      <c r="A630" s="16" t="s">
        <v>371</v>
      </c>
      <c r="B630" s="16" t="s">
        <v>230</v>
      </c>
      <c r="C630" s="16" t="n">
        <v>3</v>
      </c>
      <c r="D630" s="16" t="s">
        <v>233</v>
      </c>
      <c r="E630" s="16" t="n">
        <v>3</v>
      </c>
      <c r="F630" s="16" t="n">
        <v>0</v>
      </c>
      <c r="G630" s="16" t="s">
        <v>647</v>
      </c>
    </row>
    <row r="631" customFormat="false" ht="15" hidden="false" customHeight="false" outlineLevel="0" collapsed="false">
      <c r="A631" s="16" t="s">
        <v>371</v>
      </c>
      <c r="B631" s="16" t="s">
        <v>233</v>
      </c>
      <c r="C631" s="16" t="n">
        <v>3</v>
      </c>
      <c r="D631" s="16" t="s">
        <v>236</v>
      </c>
      <c r="E631" s="16" t="n">
        <v>3</v>
      </c>
      <c r="F631" s="16" t="n">
        <v>0</v>
      </c>
      <c r="G631" s="16" t="s">
        <v>647</v>
      </c>
    </row>
    <row r="632" customFormat="false" ht="15" hidden="false" customHeight="false" outlineLevel="0" collapsed="false">
      <c r="A632" s="16" t="s">
        <v>371</v>
      </c>
      <c r="B632" s="16" t="s">
        <v>236</v>
      </c>
      <c r="C632" s="16" t="n">
        <v>3</v>
      </c>
      <c r="D632" s="16" t="s">
        <v>251</v>
      </c>
      <c r="E632" s="16" t="n">
        <v>3</v>
      </c>
      <c r="F632" s="16" t="n">
        <v>0</v>
      </c>
      <c r="G632" s="16" t="s">
        <v>647</v>
      </c>
    </row>
    <row r="633" customFormat="false" ht="15" hidden="false" customHeight="false" outlineLevel="0" collapsed="false">
      <c r="A633" s="16" t="s">
        <v>371</v>
      </c>
      <c r="B633" s="16" t="s">
        <v>251</v>
      </c>
      <c r="C633" s="16" t="n">
        <v>3</v>
      </c>
      <c r="D633" s="16" t="s">
        <v>322</v>
      </c>
      <c r="E633" s="16" t="n">
        <v>3</v>
      </c>
      <c r="F633" s="16" t="n">
        <v>0</v>
      </c>
      <c r="G633" s="16" t="s">
        <v>647</v>
      </c>
    </row>
    <row r="634" customFormat="false" ht="15" hidden="false" customHeight="false" outlineLevel="0" collapsed="false">
      <c r="A634" s="16" t="s">
        <v>371</v>
      </c>
      <c r="B634" s="16" t="s">
        <v>47</v>
      </c>
      <c r="C634" s="16" t="n">
        <v>4</v>
      </c>
      <c r="D634" s="16" t="s">
        <v>93</v>
      </c>
      <c r="E634" s="16" t="n">
        <v>4</v>
      </c>
      <c r="F634" s="16" t="n">
        <v>0</v>
      </c>
      <c r="G634" s="16" t="s">
        <v>647</v>
      </c>
    </row>
    <row r="635" customFormat="false" ht="15" hidden="false" customHeight="false" outlineLevel="0" collapsed="false">
      <c r="A635" s="16" t="s">
        <v>371</v>
      </c>
      <c r="B635" s="16" t="s">
        <v>93</v>
      </c>
      <c r="C635" s="16" t="n">
        <v>4</v>
      </c>
      <c r="D635" s="16" t="s">
        <v>97</v>
      </c>
      <c r="E635" s="16" t="n">
        <v>4</v>
      </c>
      <c r="F635" s="16" t="n">
        <v>0</v>
      </c>
      <c r="G635" s="16" t="s">
        <v>647</v>
      </c>
    </row>
    <row r="636" customFormat="false" ht="15" hidden="false" customHeight="false" outlineLevel="0" collapsed="false">
      <c r="A636" s="16" t="s">
        <v>371</v>
      </c>
      <c r="B636" s="16" t="s">
        <v>97</v>
      </c>
      <c r="C636" s="16" t="n">
        <v>4</v>
      </c>
      <c r="D636" s="16" t="s">
        <v>118</v>
      </c>
      <c r="E636" s="16" t="n">
        <v>4</v>
      </c>
      <c r="F636" s="16" t="n">
        <v>0</v>
      </c>
      <c r="G636" s="16" t="s">
        <v>647</v>
      </c>
    </row>
    <row r="637" customFormat="false" ht="15" hidden="false" customHeight="false" outlineLevel="0" collapsed="false">
      <c r="A637" s="16" t="s">
        <v>371</v>
      </c>
      <c r="B637" s="16" t="s">
        <v>118</v>
      </c>
      <c r="C637" s="16" t="n">
        <v>4</v>
      </c>
      <c r="D637" s="16" t="s">
        <v>122</v>
      </c>
      <c r="E637" s="16" t="n">
        <v>4</v>
      </c>
      <c r="F637" s="16" t="n">
        <v>0</v>
      </c>
      <c r="G637" s="16" t="s">
        <v>647</v>
      </c>
    </row>
    <row r="638" customFormat="false" ht="15" hidden="false" customHeight="false" outlineLevel="0" collapsed="false">
      <c r="A638" s="16" t="s">
        <v>371</v>
      </c>
      <c r="B638" s="16" t="s">
        <v>122</v>
      </c>
      <c r="C638" s="16" t="n">
        <v>4</v>
      </c>
      <c r="D638" s="16" t="s">
        <v>144</v>
      </c>
      <c r="E638" s="16" t="n">
        <v>4</v>
      </c>
      <c r="F638" s="16" t="n">
        <v>0</v>
      </c>
      <c r="G638" s="16" t="s">
        <v>647</v>
      </c>
    </row>
    <row r="639" customFormat="false" ht="15" hidden="false" customHeight="false" outlineLevel="0" collapsed="false">
      <c r="A639" s="16" t="s">
        <v>371</v>
      </c>
      <c r="B639" s="16" t="s">
        <v>144</v>
      </c>
      <c r="C639" s="16" t="n">
        <v>4</v>
      </c>
      <c r="D639" s="16" t="s">
        <v>162</v>
      </c>
      <c r="E639" s="16" t="n">
        <v>4</v>
      </c>
      <c r="F639" s="16" t="n">
        <v>0</v>
      </c>
      <c r="G639" s="16" t="s">
        <v>647</v>
      </c>
    </row>
    <row r="640" customFormat="false" ht="15" hidden="false" customHeight="false" outlineLevel="0" collapsed="false">
      <c r="A640" s="16" t="s">
        <v>371</v>
      </c>
      <c r="B640" s="16" t="s">
        <v>162</v>
      </c>
      <c r="C640" s="16" t="n">
        <v>4</v>
      </c>
      <c r="D640" s="16" t="s">
        <v>192</v>
      </c>
      <c r="E640" s="16" t="n">
        <v>4</v>
      </c>
      <c r="F640" s="16" t="n">
        <v>0</v>
      </c>
      <c r="G640" s="16" t="s">
        <v>647</v>
      </c>
    </row>
    <row r="641" customFormat="false" ht="15" hidden="false" customHeight="false" outlineLevel="0" collapsed="false">
      <c r="A641" s="16" t="s">
        <v>371</v>
      </c>
      <c r="B641" s="16" t="s">
        <v>192</v>
      </c>
      <c r="C641" s="16" t="n">
        <v>4</v>
      </c>
      <c r="D641" s="16" t="s">
        <v>245</v>
      </c>
      <c r="E641" s="16" t="n">
        <v>4</v>
      </c>
      <c r="F641" s="16" t="n">
        <v>0</v>
      </c>
      <c r="G641" s="16" t="s">
        <v>647</v>
      </c>
    </row>
    <row r="642" customFormat="false" ht="15" hidden="false" customHeight="false" outlineLevel="0" collapsed="false">
      <c r="A642" s="16" t="s">
        <v>371</v>
      </c>
      <c r="B642" s="16" t="s">
        <v>245</v>
      </c>
      <c r="C642" s="16" t="n">
        <v>4</v>
      </c>
      <c r="D642" s="16" t="s">
        <v>254</v>
      </c>
      <c r="E642" s="16" t="n">
        <v>4</v>
      </c>
      <c r="F642" s="16" t="n">
        <v>0</v>
      </c>
      <c r="G642" s="16" t="s">
        <v>647</v>
      </c>
    </row>
    <row r="643" customFormat="false" ht="15" hidden="false" customHeight="false" outlineLevel="0" collapsed="false">
      <c r="A643" s="16" t="s">
        <v>371</v>
      </c>
      <c r="B643" s="16" t="s">
        <v>254</v>
      </c>
      <c r="C643" s="16" t="n">
        <v>4</v>
      </c>
      <c r="D643" s="16" t="s">
        <v>310</v>
      </c>
      <c r="E643" s="16" t="n">
        <v>4</v>
      </c>
      <c r="F643" s="16" t="n">
        <v>0</v>
      </c>
      <c r="G643" s="16" t="s">
        <v>647</v>
      </c>
    </row>
    <row r="644" customFormat="false" ht="15" hidden="false" customHeight="false" outlineLevel="0" collapsed="false">
      <c r="A644" s="16" t="s">
        <v>371</v>
      </c>
      <c r="B644" s="16" t="s">
        <v>310</v>
      </c>
      <c r="C644" s="16" t="n">
        <v>4</v>
      </c>
      <c r="D644" s="16" t="s">
        <v>317</v>
      </c>
      <c r="E644" s="16" t="n">
        <v>4</v>
      </c>
      <c r="F644" s="16" t="n">
        <v>0</v>
      </c>
      <c r="G644" s="16" t="s">
        <v>647</v>
      </c>
    </row>
    <row r="645" customFormat="false" ht="15" hidden="false" customHeight="false" outlineLevel="0" collapsed="false">
      <c r="A645" s="16" t="s">
        <v>371</v>
      </c>
      <c r="B645" s="16" t="s">
        <v>317</v>
      </c>
      <c r="C645" s="16" t="n">
        <v>4</v>
      </c>
      <c r="D645" s="16" t="s">
        <v>345</v>
      </c>
      <c r="E645" s="16" t="n">
        <v>4</v>
      </c>
      <c r="F645" s="16" t="n">
        <v>0</v>
      </c>
      <c r="G645" s="16" t="s">
        <v>647</v>
      </c>
    </row>
    <row r="646" customFormat="false" ht="15" hidden="false" customHeight="false" outlineLevel="0" collapsed="false">
      <c r="A646" s="16" t="s">
        <v>371</v>
      </c>
      <c r="B646" s="16" t="s">
        <v>345</v>
      </c>
      <c r="C646" s="16" t="n">
        <v>4</v>
      </c>
      <c r="D646" s="16" t="s">
        <v>358</v>
      </c>
      <c r="E646" s="16" t="n">
        <v>4</v>
      </c>
      <c r="F646" s="16" t="n">
        <v>0</v>
      </c>
      <c r="G646" s="16" t="s">
        <v>647</v>
      </c>
    </row>
    <row r="647" customFormat="false" ht="15" hidden="false" customHeight="false" outlineLevel="0" collapsed="false">
      <c r="A647" s="16" t="s">
        <v>371</v>
      </c>
      <c r="B647" s="16" t="s">
        <v>67</v>
      </c>
      <c r="C647" s="16" t="n">
        <v>5</v>
      </c>
      <c r="D647" s="16" t="s">
        <v>90</v>
      </c>
      <c r="E647" s="16" t="n">
        <v>5</v>
      </c>
      <c r="F647" s="16" t="n">
        <v>0</v>
      </c>
      <c r="G647" s="16" t="s">
        <v>647</v>
      </c>
    </row>
    <row r="648" customFormat="false" ht="15" hidden="false" customHeight="false" outlineLevel="0" collapsed="false">
      <c r="A648" s="16" t="s">
        <v>371</v>
      </c>
      <c r="B648" s="16" t="s">
        <v>90</v>
      </c>
      <c r="C648" s="16" t="n">
        <v>5</v>
      </c>
      <c r="D648" s="16" t="s">
        <v>126</v>
      </c>
      <c r="E648" s="16" t="n">
        <v>5</v>
      </c>
      <c r="F648" s="16" t="n">
        <v>0</v>
      </c>
      <c r="G648" s="16" t="s">
        <v>647</v>
      </c>
    </row>
    <row r="649" customFormat="false" ht="15" hidden="false" customHeight="false" outlineLevel="0" collapsed="false">
      <c r="A649" s="16" t="s">
        <v>371</v>
      </c>
      <c r="B649" s="16" t="s">
        <v>126</v>
      </c>
      <c r="C649" s="16" t="n">
        <v>5</v>
      </c>
      <c r="D649" s="16" t="s">
        <v>140</v>
      </c>
      <c r="E649" s="16" t="n">
        <v>5</v>
      </c>
      <c r="F649" s="16" t="n">
        <v>0</v>
      </c>
      <c r="G649" s="16" t="s">
        <v>647</v>
      </c>
    </row>
    <row r="650" customFormat="false" ht="15" hidden="false" customHeight="false" outlineLevel="0" collapsed="false">
      <c r="A650" s="16" t="s">
        <v>371</v>
      </c>
      <c r="B650" s="16" t="s">
        <v>140</v>
      </c>
      <c r="C650" s="16" t="n">
        <v>5</v>
      </c>
      <c r="D650" s="16" t="s">
        <v>181</v>
      </c>
      <c r="E650" s="16" t="n">
        <v>5</v>
      </c>
      <c r="F650" s="16" t="n">
        <v>0</v>
      </c>
      <c r="G650" s="16" t="s">
        <v>647</v>
      </c>
    </row>
    <row r="651" customFormat="false" ht="15" hidden="false" customHeight="false" outlineLevel="0" collapsed="false">
      <c r="A651" s="16" t="s">
        <v>371</v>
      </c>
      <c r="B651" s="16" t="s">
        <v>181</v>
      </c>
      <c r="C651" s="16" t="n">
        <v>5</v>
      </c>
      <c r="D651" s="16" t="s">
        <v>187</v>
      </c>
      <c r="E651" s="16" t="n">
        <v>5</v>
      </c>
      <c r="F651" s="16" t="n">
        <v>0</v>
      </c>
      <c r="G651" s="16" t="s">
        <v>647</v>
      </c>
    </row>
    <row r="652" customFormat="false" ht="15" hidden="false" customHeight="false" outlineLevel="0" collapsed="false">
      <c r="A652" s="16" t="s">
        <v>371</v>
      </c>
      <c r="B652" s="16" t="s">
        <v>187</v>
      </c>
      <c r="C652" s="16" t="n">
        <v>5</v>
      </c>
      <c r="D652" s="16" t="s">
        <v>189</v>
      </c>
      <c r="E652" s="16" t="n">
        <v>5</v>
      </c>
      <c r="F652" s="16" t="n">
        <v>0</v>
      </c>
      <c r="G652" s="16" t="s">
        <v>647</v>
      </c>
    </row>
    <row r="653" customFormat="false" ht="15" hidden="false" customHeight="false" outlineLevel="0" collapsed="false">
      <c r="A653" s="16" t="s">
        <v>371</v>
      </c>
      <c r="B653" s="16" t="s">
        <v>189</v>
      </c>
      <c r="C653" s="16" t="n">
        <v>5</v>
      </c>
      <c r="D653" s="16" t="s">
        <v>209</v>
      </c>
      <c r="E653" s="16" t="n">
        <v>5</v>
      </c>
      <c r="F653" s="16" t="n">
        <v>0</v>
      </c>
      <c r="G653" s="16" t="s">
        <v>647</v>
      </c>
    </row>
    <row r="654" customFormat="false" ht="15" hidden="false" customHeight="false" outlineLevel="0" collapsed="false">
      <c r="A654" s="16" t="s">
        <v>371</v>
      </c>
      <c r="B654" s="16" t="s">
        <v>209</v>
      </c>
      <c r="C654" s="16" t="n">
        <v>5</v>
      </c>
      <c r="D654" s="16" t="s">
        <v>216</v>
      </c>
      <c r="E654" s="16" t="n">
        <v>5</v>
      </c>
      <c r="F654" s="16" t="n">
        <v>0</v>
      </c>
      <c r="G654" s="16" t="s">
        <v>647</v>
      </c>
    </row>
    <row r="655" customFormat="false" ht="15" hidden="false" customHeight="false" outlineLevel="0" collapsed="false">
      <c r="A655" s="16" t="s">
        <v>371</v>
      </c>
      <c r="B655" s="16" t="s">
        <v>216</v>
      </c>
      <c r="C655" s="16" t="n">
        <v>5</v>
      </c>
      <c r="D655" s="16" t="s">
        <v>257</v>
      </c>
      <c r="E655" s="16" t="n">
        <v>5</v>
      </c>
      <c r="F655" s="16" t="n">
        <v>0</v>
      </c>
      <c r="G655" s="16" t="s">
        <v>647</v>
      </c>
    </row>
    <row r="656" customFormat="false" ht="15" hidden="false" customHeight="false" outlineLevel="0" collapsed="false">
      <c r="A656" s="16" t="s">
        <v>371</v>
      </c>
      <c r="B656" s="16" t="s">
        <v>257</v>
      </c>
      <c r="C656" s="16" t="n">
        <v>5</v>
      </c>
      <c r="D656" s="16" t="s">
        <v>307</v>
      </c>
      <c r="E656" s="16" t="n">
        <v>5</v>
      </c>
      <c r="F656" s="16" t="n">
        <v>0</v>
      </c>
      <c r="G656" s="16" t="s">
        <v>647</v>
      </c>
    </row>
    <row r="657" customFormat="false" ht="15" hidden="false" customHeight="false" outlineLevel="0" collapsed="false">
      <c r="A657" s="16" t="s">
        <v>371</v>
      </c>
      <c r="B657" s="16" t="s">
        <v>307</v>
      </c>
      <c r="C657" s="16" t="n">
        <v>5</v>
      </c>
      <c r="D657" s="16" t="s">
        <v>332</v>
      </c>
      <c r="E657" s="16" t="n">
        <v>5</v>
      </c>
      <c r="F657" s="16" t="n">
        <v>0</v>
      </c>
      <c r="G657" s="16" t="s">
        <v>647</v>
      </c>
    </row>
    <row r="658" customFormat="false" ht="15" hidden="false" customHeight="false" outlineLevel="0" collapsed="false">
      <c r="A658" s="16" t="s">
        <v>371</v>
      </c>
      <c r="B658" s="16" t="s">
        <v>332</v>
      </c>
      <c r="C658" s="16" t="n">
        <v>5</v>
      </c>
      <c r="D658" s="16" t="s">
        <v>342</v>
      </c>
      <c r="E658" s="16" t="n">
        <v>5</v>
      </c>
      <c r="F658" s="16" t="n">
        <v>0</v>
      </c>
      <c r="G658" s="16" t="s">
        <v>647</v>
      </c>
    </row>
    <row r="659" customFormat="false" ht="15" hidden="false" customHeight="false" outlineLevel="0" collapsed="false">
      <c r="A659" s="16" t="s">
        <v>371</v>
      </c>
      <c r="B659" s="16" t="s">
        <v>342</v>
      </c>
      <c r="C659" s="16" t="n">
        <v>5</v>
      </c>
      <c r="D659" s="16" t="s">
        <v>351</v>
      </c>
      <c r="E659" s="16" t="n">
        <v>5</v>
      </c>
      <c r="F659" s="16" t="n">
        <v>0</v>
      </c>
      <c r="G659" s="16" t="s">
        <v>647</v>
      </c>
    </row>
    <row r="660" customFormat="false" ht="15" hidden="false" customHeight="false" outlineLevel="0" collapsed="false">
      <c r="A660" s="16" t="s">
        <v>371</v>
      </c>
      <c r="B660" s="16" t="s">
        <v>79</v>
      </c>
      <c r="C660" s="16" t="n">
        <v>6</v>
      </c>
      <c r="D660" s="16" t="s">
        <v>109</v>
      </c>
      <c r="E660" s="16" t="n">
        <v>6</v>
      </c>
      <c r="F660" s="16" t="n">
        <v>0</v>
      </c>
      <c r="G660" s="16" t="s">
        <v>647</v>
      </c>
    </row>
    <row r="661" customFormat="false" ht="15" hidden="false" customHeight="false" outlineLevel="0" collapsed="false">
      <c r="A661" s="16" t="s">
        <v>371</v>
      </c>
      <c r="B661" s="16" t="s">
        <v>109</v>
      </c>
      <c r="C661" s="16" t="n">
        <v>6</v>
      </c>
      <c r="D661" s="16" t="s">
        <v>115</v>
      </c>
      <c r="E661" s="16" t="n">
        <v>6</v>
      </c>
      <c r="F661" s="16" t="n">
        <v>0</v>
      </c>
      <c r="G661" s="16" t="s">
        <v>647</v>
      </c>
    </row>
    <row r="662" customFormat="false" ht="15" hidden="false" customHeight="false" outlineLevel="0" collapsed="false">
      <c r="A662" s="16" t="s">
        <v>371</v>
      </c>
      <c r="B662" s="16" t="s">
        <v>115</v>
      </c>
      <c r="C662" s="16" t="n">
        <v>6</v>
      </c>
      <c r="D662" s="16" t="s">
        <v>151</v>
      </c>
      <c r="E662" s="16" t="n">
        <v>6</v>
      </c>
      <c r="F662" s="16" t="n">
        <v>0</v>
      </c>
      <c r="G662" s="16" t="s">
        <v>647</v>
      </c>
    </row>
    <row r="663" customFormat="false" ht="15" hidden="false" customHeight="false" outlineLevel="0" collapsed="false">
      <c r="A663" s="16" t="s">
        <v>371</v>
      </c>
      <c r="B663" s="16" t="s">
        <v>151</v>
      </c>
      <c r="C663" s="16" t="n">
        <v>6</v>
      </c>
      <c r="D663" s="16" t="s">
        <v>159</v>
      </c>
      <c r="E663" s="16" t="n">
        <v>6</v>
      </c>
      <c r="F663" s="16" t="n">
        <v>0</v>
      </c>
      <c r="G663" s="16" t="s">
        <v>647</v>
      </c>
    </row>
    <row r="664" customFormat="false" ht="15" hidden="false" customHeight="false" outlineLevel="0" collapsed="false">
      <c r="A664" s="16" t="s">
        <v>371</v>
      </c>
      <c r="B664" s="16" t="s">
        <v>159</v>
      </c>
      <c r="C664" s="16" t="n">
        <v>6</v>
      </c>
      <c r="D664" s="16" t="s">
        <v>213</v>
      </c>
      <c r="E664" s="16" t="n">
        <v>6</v>
      </c>
      <c r="F664" s="16" t="n">
        <v>0</v>
      </c>
      <c r="G664" s="16" t="s">
        <v>647</v>
      </c>
    </row>
    <row r="665" customFormat="false" ht="15" hidden="false" customHeight="false" outlineLevel="0" collapsed="false">
      <c r="A665" s="16" t="s">
        <v>371</v>
      </c>
      <c r="B665" s="16" t="s">
        <v>213</v>
      </c>
      <c r="C665" s="16" t="n">
        <v>6</v>
      </c>
      <c r="D665" s="16" t="s">
        <v>228</v>
      </c>
      <c r="E665" s="16" t="n">
        <v>6</v>
      </c>
      <c r="F665" s="16" t="n">
        <v>0</v>
      </c>
      <c r="G665" s="16" t="s">
        <v>647</v>
      </c>
    </row>
    <row r="666" customFormat="false" ht="15" hidden="false" customHeight="false" outlineLevel="0" collapsed="false">
      <c r="A666" s="16" t="s">
        <v>371</v>
      </c>
      <c r="B666" s="16" t="s">
        <v>228</v>
      </c>
      <c r="C666" s="16" t="n">
        <v>6</v>
      </c>
      <c r="D666" s="16" t="s">
        <v>248</v>
      </c>
      <c r="E666" s="16" t="n">
        <v>6</v>
      </c>
      <c r="F666" s="16" t="n">
        <v>0</v>
      </c>
      <c r="G666" s="16" t="s">
        <v>647</v>
      </c>
    </row>
    <row r="667" customFormat="false" ht="15" hidden="false" customHeight="false" outlineLevel="0" collapsed="false">
      <c r="A667" s="16" t="s">
        <v>371</v>
      </c>
      <c r="B667" s="16" t="s">
        <v>248</v>
      </c>
      <c r="C667" s="16" t="n">
        <v>6</v>
      </c>
      <c r="D667" s="16" t="s">
        <v>273</v>
      </c>
      <c r="E667" s="16" t="n">
        <v>6</v>
      </c>
      <c r="F667" s="16" t="n">
        <v>0</v>
      </c>
      <c r="G667" s="16" t="s">
        <v>647</v>
      </c>
    </row>
    <row r="668" customFormat="false" ht="15" hidden="false" customHeight="false" outlineLevel="0" collapsed="false">
      <c r="A668" s="16" t="s">
        <v>371</v>
      </c>
      <c r="B668" s="16" t="s">
        <v>273</v>
      </c>
      <c r="C668" s="16" t="n">
        <v>6</v>
      </c>
      <c r="D668" s="16" t="s">
        <v>279</v>
      </c>
      <c r="E668" s="16" t="n">
        <v>6</v>
      </c>
      <c r="F668" s="16" t="n">
        <v>0</v>
      </c>
      <c r="G668" s="16" t="s">
        <v>647</v>
      </c>
    </row>
    <row r="669" customFormat="false" ht="15" hidden="false" customHeight="false" outlineLevel="0" collapsed="false">
      <c r="A669" s="16" t="s">
        <v>371</v>
      </c>
      <c r="B669" s="16" t="s">
        <v>279</v>
      </c>
      <c r="C669" s="16" t="n">
        <v>6</v>
      </c>
      <c r="D669" s="16" t="s">
        <v>286</v>
      </c>
      <c r="E669" s="16" t="n">
        <v>6</v>
      </c>
      <c r="F669" s="16" t="n">
        <v>0</v>
      </c>
      <c r="G669" s="16" t="s">
        <v>647</v>
      </c>
    </row>
    <row r="670" customFormat="false" ht="15" hidden="false" customHeight="false" outlineLevel="0" collapsed="false">
      <c r="A670" s="16" t="s">
        <v>371</v>
      </c>
      <c r="B670" s="16" t="s">
        <v>286</v>
      </c>
      <c r="C670" s="16" t="n">
        <v>6</v>
      </c>
      <c r="D670" s="16" t="s">
        <v>335</v>
      </c>
      <c r="E670" s="16" t="n">
        <v>6</v>
      </c>
      <c r="F670" s="16" t="n">
        <v>0</v>
      </c>
      <c r="G670" s="16" t="s">
        <v>647</v>
      </c>
    </row>
    <row r="671" customFormat="false" ht="15" hidden="false" customHeight="false" outlineLevel="0" collapsed="false">
      <c r="A671" s="16" t="s">
        <v>371</v>
      </c>
      <c r="B671" s="16" t="s">
        <v>35</v>
      </c>
      <c r="C671" s="16" t="n">
        <v>7</v>
      </c>
      <c r="D671" s="16" t="s">
        <v>39</v>
      </c>
      <c r="E671" s="16" t="n">
        <v>7</v>
      </c>
      <c r="F671" s="16" t="n">
        <v>0</v>
      </c>
      <c r="G671" s="16" t="s">
        <v>647</v>
      </c>
    </row>
    <row r="672" customFormat="false" ht="15" hidden="false" customHeight="false" outlineLevel="0" collapsed="false">
      <c r="A672" s="16" t="s">
        <v>371</v>
      </c>
      <c r="B672" s="16" t="s">
        <v>39</v>
      </c>
      <c r="C672" s="16" t="n">
        <v>7</v>
      </c>
      <c r="D672" s="16" t="s">
        <v>43</v>
      </c>
      <c r="E672" s="16" t="n">
        <v>7</v>
      </c>
      <c r="F672" s="16" t="n">
        <v>0</v>
      </c>
      <c r="G672" s="16" t="s">
        <v>647</v>
      </c>
    </row>
    <row r="673" customFormat="false" ht="15" hidden="false" customHeight="false" outlineLevel="0" collapsed="false">
      <c r="A673" s="16" t="s">
        <v>371</v>
      </c>
      <c r="B673" s="16" t="s">
        <v>43</v>
      </c>
      <c r="C673" s="16" t="n">
        <v>7</v>
      </c>
      <c r="D673" s="16" t="s">
        <v>63</v>
      </c>
      <c r="E673" s="16" t="n">
        <v>7</v>
      </c>
      <c r="F673" s="16" t="n">
        <v>0</v>
      </c>
      <c r="G673" s="16" t="s">
        <v>647</v>
      </c>
    </row>
    <row r="674" customFormat="false" ht="15" hidden="false" customHeight="false" outlineLevel="0" collapsed="false">
      <c r="A674" s="16" t="s">
        <v>371</v>
      </c>
      <c r="B674" s="16" t="s">
        <v>63</v>
      </c>
      <c r="C674" s="16" t="n">
        <v>7</v>
      </c>
      <c r="D674" s="16" t="s">
        <v>104</v>
      </c>
      <c r="E674" s="16" t="n">
        <v>7</v>
      </c>
      <c r="F674" s="16" t="n">
        <v>0</v>
      </c>
      <c r="G674" s="16" t="s">
        <v>647</v>
      </c>
    </row>
    <row r="675" customFormat="false" ht="15" hidden="false" customHeight="false" outlineLevel="0" collapsed="false">
      <c r="A675" s="16" t="s">
        <v>371</v>
      </c>
      <c r="B675" s="16" t="s">
        <v>104</v>
      </c>
      <c r="C675" s="16" t="n">
        <v>7</v>
      </c>
      <c r="D675" s="16" t="s">
        <v>112</v>
      </c>
      <c r="E675" s="16" t="n">
        <v>7</v>
      </c>
      <c r="F675" s="16" t="n">
        <v>0</v>
      </c>
      <c r="G675" s="16" t="s">
        <v>647</v>
      </c>
    </row>
    <row r="676" customFormat="false" ht="15" hidden="false" customHeight="false" outlineLevel="0" collapsed="false">
      <c r="A676" s="16" t="s">
        <v>371</v>
      </c>
      <c r="B676" s="16" t="s">
        <v>112</v>
      </c>
      <c r="C676" s="16" t="n">
        <v>7</v>
      </c>
      <c r="D676" s="16" t="s">
        <v>155</v>
      </c>
      <c r="E676" s="16" t="n">
        <v>7</v>
      </c>
      <c r="F676" s="16" t="n">
        <v>0</v>
      </c>
      <c r="G676" s="16" t="s">
        <v>647</v>
      </c>
    </row>
    <row r="677" customFormat="false" ht="15" hidden="false" customHeight="false" outlineLevel="0" collapsed="false">
      <c r="A677" s="16" t="s">
        <v>371</v>
      </c>
      <c r="B677" s="16" t="s">
        <v>155</v>
      </c>
      <c r="C677" s="16" t="n">
        <v>7</v>
      </c>
      <c r="D677" s="16" t="s">
        <v>195</v>
      </c>
      <c r="E677" s="16" t="n">
        <v>7</v>
      </c>
      <c r="F677" s="16" t="n">
        <v>0</v>
      </c>
      <c r="G677" s="16" t="s">
        <v>647</v>
      </c>
    </row>
    <row r="678" customFormat="false" ht="15" hidden="false" customHeight="false" outlineLevel="0" collapsed="false">
      <c r="A678" s="16" t="s">
        <v>371</v>
      </c>
      <c r="B678" s="16" t="s">
        <v>195</v>
      </c>
      <c r="C678" s="16" t="n">
        <v>7</v>
      </c>
      <c r="D678" s="16" t="s">
        <v>219</v>
      </c>
      <c r="E678" s="16" t="n">
        <v>7</v>
      </c>
      <c r="F678" s="16" t="n">
        <v>0</v>
      </c>
      <c r="G678" s="16" t="s">
        <v>647</v>
      </c>
    </row>
    <row r="679" customFormat="false" ht="15" hidden="false" customHeight="false" outlineLevel="0" collapsed="false">
      <c r="A679" s="16" t="s">
        <v>371</v>
      </c>
      <c r="B679" s="16" t="s">
        <v>219</v>
      </c>
      <c r="C679" s="16" t="n">
        <v>7</v>
      </c>
      <c r="D679" s="16" t="s">
        <v>266</v>
      </c>
      <c r="E679" s="16" t="n">
        <v>7</v>
      </c>
      <c r="F679" s="16" t="n">
        <v>0</v>
      </c>
      <c r="G679" s="16" t="s">
        <v>647</v>
      </c>
    </row>
    <row r="680" customFormat="false" ht="15" hidden="false" customHeight="false" outlineLevel="0" collapsed="false">
      <c r="A680" s="16" t="s">
        <v>371</v>
      </c>
      <c r="B680" s="16" t="s">
        <v>266</v>
      </c>
      <c r="C680" s="16" t="n">
        <v>7</v>
      </c>
      <c r="D680" s="16" t="s">
        <v>276</v>
      </c>
      <c r="E680" s="16" t="n">
        <v>7</v>
      </c>
      <c r="F680" s="16" t="n">
        <v>0</v>
      </c>
      <c r="G680" s="16" t="s">
        <v>647</v>
      </c>
    </row>
    <row r="681" customFormat="false" ht="15" hidden="false" customHeight="false" outlineLevel="0" collapsed="false">
      <c r="A681" s="16" t="s">
        <v>371</v>
      </c>
      <c r="B681" s="16" t="s">
        <v>148</v>
      </c>
      <c r="C681" s="16" t="n">
        <v>8</v>
      </c>
      <c r="D681" s="16" t="s">
        <v>222</v>
      </c>
      <c r="E681" s="16" t="n">
        <v>8</v>
      </c>
      <c r="F681" s="16" t="n">
        <v>0</v>
      </c>
      <c r="G681" s="16" t="s">
        <v>647</v>
      </c>
    </row>
    <row r="682" customFormat="false" ht="15" hidden="false" customHeight="false" outlineLevel="0" collapsed="false">
      <c r="A682" s="16" t="s">
        <v>371</v>
      </c>
      <c r="B682" s="16" t="s">
        <v>222</v>
      </c>
      <c r="C682" s="16" t="n">
        <v>8</v>
      </c>
      <c r="D682" s="16" t="s">
        <v>302</v>
      </c>
      <c r="E682" s="16" t="n">
        <v>8</v>
      </c>
      <c r="F682" s="16" t="n">
        <v>0</v>
      </c>
      <c r="G682" s="16" t="s">
        <v>647</v>
      </c>
    </row>
    <row r="683" customFormat="false" ht="15" hidden="false" customHeight="false" outlineLevel="0" collapsed="false">
      <c r="A683" s="16" t="s">
        <v>371</v>
      </c>
      <c r="B683" s="16" t="s">
        <v>302</v>
      </c>
      <c r="C683" s="16" t="n">
        <v>8</v>
      </c>
      <c r="D683" s="16" t="s">
        <v>304</v>
      </c>
      <c r="E683" s="16" t="n">
        <v>8</v>
      </c>
      <c r="F683" s="16" t="n">
        <v>0</v>
      </c>
      <c r="G683" s="16" t="s">
        <v>647</v>
      </c>
    </row>
    <row r="684" customFormat="false" ht="15" hidden="false" customHeight="false" outlineLevel="0" collapsed="false">
      <c r="A684" s="16" t="s">
        <v>371</v>
      </c>
      <c r="B684" s="16" t="s">
        <v>304</v>
      </c>
      <c r="C684" s="16" t="n">
        <v>8</v>
      </c>
      <c r="D684" s="16" t="s">
        <v>325</v>
      </c>
      <c r="E684" s="16" t="n">
        <v>8</v>
      </c>
      <c r="F684" s="16" t="n">
        <v>0</v>
      </c>
      <c r="G684" s="16" t="s">
        <v>647</v>
      </c>
    </row>
    <row r="685" customFormat="false" ht="15" hidden="false" customHeight="false" outlineLevel="0" collapsed="false">
      <c r="A685" s="16" t="s">
        <v>371</v>
      </c>
      <c r="B685" s="16" t="s">
        <v>27</v>
      </c>
      <c r="C685" s="16" t="n">
        <v>9</v>
      </c>
      <c r="D685" s="16" t="s">
        <v>31</v>
      </c>
      <c r="E685" s="16" t="n">
        <v>9</v>
      </c>
      <c r="F685" s="16" t="n">
        <v>0</v>
      </c>
      <c r="G685" s="16" t="s">
        <v>647</v>
      </c>
    </row>
    <row r="686" customFormat="false" ht="15" hidden="false" customHeight="false" outlineLevel="0" collapsed="false">
      <c r="A686" s="16" t="s">
        <v>371</v>
      </c>
      <c r="B686" s="16" t="s">
        <v>31</v>
      </c>
      <c r="C686" s="16" t="n">
        <v>9</v>
      </c>
      <c r="D686" s="16" t="s">
        <v>282</v>
      </c>
      <c r="E686" s="16" t="n">
        <v>9</v>
      </c>
      <c r="F686" s="16" t="n">
        <v>0</v>
      </c>
      <c r="G686" s="16" t="s">
        <v>647</v>
      </c>
    </row>
    <row r="687" customFormat="false" ht="15" hidden="false" customHeight="false" outlineLevel="0" collapsed="false">
      <c r="A687" s="16" t="s">
        <v>371</v>
      </c>
      <c r="B687" s="16" t="s">
        <v>282</v>
      </c>
      <c r="C687" s="16" t="n">
        <v>9</v>
      </c>
      <c r="D687" s="16" t="s">
        <v>328</v>
      </c>
      <c r="E687" s="16" t="n">
        <v>9</v>
      </c>
      <c r="F687" s="16" t="n">
        <v>0</v>
      </c>
      <c r="G687" s="16" t="s">
        <v>647</v>
      </c>
    </row>
    <row r="688" customFormat="false" ht="15" hidden="false" customHeight="false" outlineLevel="0" collapsed="false">
      <c r="A688" s="16" t="s">
        <v>371</v>
      </c>
      <c r="B688" s="16" t="s">
        <v>328</v>
      </c>
      <c r="C688" s="16" t="n">
        <v>9</v>
      </c>
      <c r="D688" s="16" t="s">
        <v>355</v>
      </c>
      <c r="E688" s="16" t="n">
        <v>9</v>
      </c>
      <c r="F688" s="16" t="n">
        <v>0</v>
      </c>
      <c r="G688" s="16" t="s">
        <v>647</v>
      </c>
    </row>
    <row r="689" customFormat="false" ht="15" hidden="false" customHeight="false" outlineLevel="0" collapsed="false">
      <c r="A689" s="16" t="s">
        <v>371</v>
      </c>
      <c r="B689" s="16" t="s">
        <v>22</v>
      </c>
      <c r="C689" s="16" t="n">
        <v>10</v>
      </c>
      <c r="D689" s="16" t="s">
        <v>133</v>
      </c>
      <c r="E689" s="16" t="n">
        <v>10</v>
      </c>
      <c r="F689" s="16" t="n">
        <v>0</v>
      </c>
      <c r="G689" s="16" t="s">
        <v>647</v>
      </c>
    </row>
    <row r="690" customFormat="false" ht="15" hidden="false" customHeight="false" outlineLevel="0" collapsed="false">
      <c r="A690" s="16" t="s">
        <v>371</v>
      </c>
      <c r="B690" s="16" t="s">
        <v>133</v>
      </c>
      <c r="C690" s="16" t="n">
        <v>10</v>
      </c>
      <c r="D690" s="16" t="s">
        <v>290</v>
      </c>
      <c r="E690" s="16" t="n">
        <v>10</v>
      </c>
      <c r="F690" s="16" t="n">
        <v>0</v>
      </c>
      <c r="G690" s="16" t="s">
        <v>647</v>
      </c>
    </row>
    <row r="691" customFormat="false" ht="15" hidden="false" customHeight="false" outlineLevel="0" collapsed="false">
      <c r="A691" s="16" t="s">
        <v>371</v>
      </c>
      <c r="B691" s="16" t="s">
        <v>290</v>
      </c>
      <c r="C691" s="16" t="n">
        <v>10</v>
      </c>
      <c r="D691" s="16" t="s">
        <v>295</v>
      </c>
      <c r="E691" s="16" t="n">
        <v>10</v>
      </c>
      <c r="F691" s="16" t="n">
        <v>0</v>
      </c>
      <c r="G691" s="16" t="s">
        <v>647</v>
      </c>
    </row>
    <row r="692" customFormat="false" ht="15" hidden="false" customHeight="false" outlineLevel="0" collapsed="false">
      <c r="A692" s="16" t="s">
        <v>371</v>
      </c>
      <c r="B692" s="16" t="s">
        <v>75</v>
      </c>
      <c r="C692" s="16" t="n">
        <v>11</v>
      </c>
      <c r="D692" s="16" t="s">
        <v>313</v>
      </c>
      <c r="E692" s="16" t="n">
        <v>11</v>
      </c>
      <c r="F692" s="16" t="n">
        <v>0</v>
      </c>
      <c r="G692" s="16" t="s">
        <v>647</v>
      </c>
    </row>
    <row r="693" customFormat="false" ht="15" hidden="false" customHeight="false" outlineLevel="0" collapsed="false">
      <c r="A693" s="16" t="s">
        <v>372</v>
      </c>
      <c r="B693" s="16" t="s">
        <v>55</v>
      </c>
      <c r="C693" s="16" t="n">
        <v>0</v>
      </c>
      <c r="D693" s="16" t="s">
        <v>59</v>
      </c>
      <c r="E693" s="16" t="n">
        <v>0</v>
      </c>
      <c r="F693" s="16" t="n">
        <v>0</v>
      </c>
      <c r="G693" s="16" t="s">
        <v>647</v>
      </c>
    </row>
    <row r="694" customFormat="false" ht="15" hidden="false" customHeight="false" outlineLevel="0" collapsed="false">
      <c r="A694" s="16" t="s">
        <v>372</v>
      </c>
      <c r="B694" s="16" t="s">
        <v>59</v>
      </c>
      <c r="C694" s="16" t="n">
        <v>0</v>
      </c>
      <c r="D694" s="16" t="s">
        <v>63</v>
      </c>
      <c r="E694" s="16" t="n">
        <v>0</v>
      </c>
      <c r="F694" s="16" t="n">
        <v>0</v>
      </c>
      <c r="G694" s="16" t="s">
        <v>647</v>
      </c>
    </row>
    <row r="695" customFormat="false" ht="15" hidden="false" customHeight="false" outlineLevel="0" collapsed="false">
      <c r="A695" s="16" t="s">
        <v>372</v>
      </c>
      <c r="B695" s="16" t="s">
        <v>63</v>
      </c>
      <c r="C695" s="16" t="n">
        <v>0</v>
      </c>
      <c r="D695" s="16" t="s">
        <v>71</v>
      </c>
      <c r="E695" s="16" t="n">
        <v>0</v>
      </c>
      <c r="F695" s="16" t="n">
        <v>0</v>
      </c>
      <c r="G695" s="16" t="s">
        <v>647</v>
      </c>
    </row>
    <row r="696" customFormat="false" ht="15" hidden="false" customHeight="false" outlineLevel="0" collapsed="false">
      <c r="A696" s="16" t="s">
        <v>372</v>
      </c>
      <c r="B696" s="16" t="s">
        <v>71</v>
      </c>
      <c r="C696" s="16" t="n">
        <v>0</v>
      </c>
      <c r="D696" s="16" t="s">
        <v>100</v>
      </c>
      <c r="E696" s="16" t="n">
        <v>0</v>
      </c>
      <c r="F696" s="16" t="n">
        <v>0</v>
      </c>
      <c r="G696" s="16" t="s">
        <v>647</v>
      </c>
    </row>
    <row r="697" customFormat="false" ht="15" hidden="false" customHeight="false" outlineLevel="0" collapsed="false">
      <c r="A697" s="16" t="s">
        <v>372</v>
      </c>
      <c r="B697" s="16" t="s">
        <v>100</v>
      </c>
      <c r="C697" s="16" t="n">
        <v>0</v>
      </c>
      <c r="D697" s="16" t="s">
        <v>162</v>
      </c>
      <c r="E697" s="16" t="n">
        <v>0</v>
      </c>
      <c r="F697" s="16" t="n">
        <v>0</v>
      </c>
      <c r="G697" s="16" t="s">
        <v>647</v>
      </c>
    </row>
    <row r="698" customFormat="false" ht="15" hidden="false" customHeight="false" outlineLevel="0" collapsed="false">
      <c r="A698" s="16" t="s">
        <v>372</v>
      </c>
      <c r="B698" s="16" t="s">
        <v>162</v>
      </c>
      <c r="C698" s="16" t="n">
        <v>0</v>
      </c>
      <c r="D698" s="16" t="s">
        <v>166</v>
      </c>
      <c r="E698" s="16" t="n">
        <v>0</v>
      </c>
      <c r="F698" s="16" t="n">
        <v>0</v>
      </c>
      <c r="G698" s="16" t="s">
        <v>647</v>
      </c>
    </row>
    <row r="699" customFormat="false" ht="15" hidden="false" customHeight="false" outlineLevel="0" collapsed="false">
      <c r="A699" s="16" t="s">
        <v>372</v>
      </c>
      <c r="B699" s="16" t="s">
        <v>166</v>
      </c>
      <c r="C699" s="16" t="n">
        <v>0</v>
      </c>
      <c r="D699" s="16" t="s">
        <v>168</v>
      </c>
      <c r="E699" s="16" t="n">
        <v>0</v>
      </c>
      <c r="F699" s="16" t="n">
        <v>0</v>
      </c>
      <c r="G699" s="16" t="s">
        <v>647</v>
      </c>
    </row>
    <row r="700" customFormat="false" ht="15" hidden="false" customHeight="false" outlineLevel="0" collapsed="false">
      <c r="A700" s="16" t="s">
        <v>372</v>
      </c>
      <c r="B700" s="16" t="s">
        <v>168</v>
      </c>
      <c r="C700" s="16" t="n">
        <v>0</v>
      </c>
      <c r="D700" s="16" t="s">
        <v>174</v>
      </c>
      <c r="E700" s="16" t="n">
        <v>0</v>
      </c>
      <c r="F700" s="16" t="n">
        <v>0</v>
      </c>
      <c r="G700" s="16" t="s">
        <v>647</v>
      </c>
    </row>
    <row r="701" customFormat="false" ht="15" hidden="false" customHeight="false" outlineLevel="0" collapsed="false">
      <c r="A701" s="16" t="s">
        <v>372</v>
      </c>
      <c r="B701" s="16" t="s">
        <v>174</v>
      </c>
      <c r="C701" s="16" t="n">
        <v>0</v>
      </c>
      <c r="D701" s="16" t="s">
        <v>178</v>
      </c>
      <c r="E701" s="16" t="n">
        <v>0</v>
      </c>
      <c r="F701" s="16" t="n">
        <v>0</v>
      </c>
      <c r="G701" s="16" t="s">
        <v>647</v>
      </c>
    </row>
    <row r="702" customFormat="false" ht="15" hidden="false" customHeight="false" outlineLevel="0" collapsed="false">
      <c r="A702" s="16" t="s">
        <v>372</v>
      </c>
      <c r="B702" s="16" t="s">
        <v>178</v>
      </c>
      <c r="C702" s="16" t="n">
        <v>0</v>
      </c>
      <c r="D702" s="16" t="s">
        <v>181</v>
      </c>
      <c r="E702" s="16" t="n">
        <v>0</v>
      </c>
      <c r="F702" s="16" t="n">
        <v>0</v>
      </c>
      <c r="G702" s="16" t="s">
        <v>647</v>
      </c>
    </row>
    <row r="703" customFormat="false" ht="15" hidden="false" customHeight="false" outlineLevel="0" collapsed="false">
      <c r="A703" s="16" t="s">
        <v>372</v>
      </c>
      <c r="B703" s="16" t="s">
        <v>181</v>
      </c>
      <c r="C703" s="16" t="n">
        <v>0</v>
      </c>
      <c r="D703" s="16" t="s">
        <v>192</v>
      </c>
      <c r="E703" s="16" t="n">
        <v>0</v>
      </c>
      <c r="F703" s="16" t="n">
        <v>0</v>
      </c>
      <c r="G703" s="16" t="s">
        <v>647</v>
      </c>
    </row>
    <row r="704" customFormat="false" ht="15" hidden="false" customHeight="false" outlineLevel="0" collapsed="false">
      <c r="A704" s="16" t="s">
        <v>372</v>
      </c>
      <c r="B704" s="16" t="s">
        <v>192</v>
      </c>
      <c r="C704" s="16" t="n">
        <v>0</v>
      </c>
      <c r="D704" s="16" t="s">
        <v>199</v>
      </c>
      <c r="E704" s="16" t="n">
        <v>0</v>
      </c>
      <c r="F704" s="16" t="n">
        <v>0</v>
      </c>
      <c r="G704" s="16" t="s">
        <v>647</v>
      </c>
    </row>
    <row r="705" customFormat="false" ht="15" hidden="false" customHeight="false" outlineLevel="0" collapsed="false">
      <c r="A705" s="16" t="s">
        <v>372</v>
      </c>
      <c r="B705" s="16" t="s">
        <v>199</v>
      </c>
      <c r="C705" s="16" t="n">
        <v>0</v>
      </c>
      <c r="D705" s="16" t="s">
        <v>216</v>
      </c>
      <c r="E705" s="16" t="n">
        <v>0</v>
      </c>
      <c r="F705" s="16" t="n">
        <v>0</v>
      </c>
      <c r="G705" s="16" t="s">
        <v>647</v>
      </c>
    </row>
    <row r="706" customFormat="false" ht="15" hidden="false" customHeight="false" outlineLevel="0" collapsed="false">
      <c r="A706" s="16" t="s">
        <v>372</v>
      </c>
      <c r="B706" s="16" t="s">
        <v>216</v>
      </c>
      <c r="C706" s="16" t="n">
        <v>0</v>
      </c>
      <c r="D706" s="16" t="s">
        <v>219</v>
      </c>
      <c r="E706" s="16" t="n">
        <v>0</v>
      </c>
      <c r="F706" s="16" t="n">
        <v>0</v>
      </c>
      <c r="G706" s="16" t="s">
        <v>647</v>
      </c>
    </row>
    <row r="707" customFormat="false" ht="15" hidden="false" customHeight="false" outlineLevel="0" collapsed="false">
      <c r="A707" s="16" t="s">
        <v>372</v>
      </c>
      <c r="B707" s="16" t="s">
        <v>219</v>
      </c>
      <c r="C707" s="16" t="n">
        <v>0</v>
      </c>
      <c r="D707" s="16" t="s">
        <v>230</v>
      </c>
      <c r="E707" s="16" t="n">
        <v>0</v>
      </c>
      <c r="F707" s="16" t="n">
        <v>0</v>
      </c>
      <c r="G707" s="16" t="s">
        <v>647</v>
      </c>
    </row>
    <row r="708" customFormat="false" ht="15" hidden="false" customHeight="false" outlineLevel="0" collapsed="false">
      <c r="A708" s="16" t="s">
        <v>372</v>
      </c>
      <c r="B708" s="16" t="s">
        <v>230</v>
      </c>
      <c r="C708" s="16" t="n">
        <v>0</v>
      </c>
      <c r="D708" s="16" t="s">
        <v>233</v>
      </c>
      <c r="E708" s="16" t="n">
        <v>0</v>
      </c>
      <c r="F708" s="16" t="n">
        <v>0</v>
      </c>
      <c r="G708" s="16" t="s">
        <v>647</v>
      </c>
    </row>
    <row r="709" customFormat="false" ht="15" hidden="false" customHeight="false" outlineLevel="0" collapsed="false">
      <c r="A709" s="16" t="s">
        <v>372</v>
      </c>
      <c r="B709" s="16" t="s">
        <v>233</v>
      </c>
      <c r="C709" s="16" t="n">
        <v>0</v>
      </c>
      <c r="D709" s="16" t="s">
        <v>236</v>
      </c>
      <c r="E709" s="16" t="n">
        <v>0</v>
      </c>
      <c r="F709" s="16" t="n">
        <v>0</v>
      </c>
      <c r="G709" s="16" t="s">
        <v>647</v>
      </c>
    </row>
    <row r="710" customFormat="false" ht="15" hidden="false" customHeight="false" outlineLevel="0" collapsed="false">
      <c r="A710" s="16" t="s">
        <v>372</v>
      </c>
      <c r="B710" s="16" t="s">
        <v>236</v>
      </c>
      <c r="C710" s="16" t="n">
        <v>0</v>
      </c>
      <c r="D710" s="16" t="s">
        <v>238</v>
      </c>
      <c r="E710" s="16" t="n">
        <v>0</v>
      </c>
      <c r="F710" s="16" t="n">
        <v>0</v>
      </c>
      <c r="G710" s="16" t="s">
        <v>647</v>
      </c>
    </row>
    <row r="711" customFormat="false" ht="15" hidden="false" customHeight="false" outlineLevel="0" collapsed="false">
      <c r="A711" s="16" t="s">
        <v>372</v>
      </c>
      <c r="B711" s="16" t="s">
        <v>238</v>
      </c>
      <c r="C711" s="16" t="n">
        <v>0</v>
      </c>
      <c r="D711" s="16" t="s">
        <v>242</v>
      </c>
      <c r="E711" s="16" t="n">
        <v>0</v>
      </c>
      <c r="F711" s="16" t="n">
        <v>0</v>
      </c>
      <c r="G711" s="16" t="s">
        <v>647</v>
      </c>
    </row>
    <row r="712" customFormat="false" ht="15" hidden="false" customHeight="false" outlineLevel="0" collapsed="false">
      <c r="A712" s="16" t="s">
        <v>372</v>
      </c>
      <c r="B712" s="16" t="s">
        <v>242</v>
      </c>
      <c r="C712" s="16" t="n">
        <v>0</v>
      </c>
      <c r="D712" s="16" t="s">
        <v>248</v>
      </c>
      <c r="E712" s="16" t="n">
        <v>0</v>
      </c>
      <c r="F712" s="16" t="n">
        <v>0</v>
      </c>
      <c r="G712" s="16" t="s">
        <v>647</v>
      </c>
    </row>
    <row r="713" customFormat="false" ht="15" hidden="false" customHeight="false" outlineLevel="0" collapsed="false">
      <c r="A713" s="16" t="s">
        <v>372</v>
      </c>
      <c r="B713" s="16" t="s">
        <v>248</v>
      </c>
      <c r="C713" s="16" t="n">
        <v>0</v>
      </c>
      <c r="D713" s="16" t="s">
        <v>251</v>
      </c>
      <c r="E713" s="16" t="n">
        <v>0</v>
      </c>
      <c r="F713" s="16" t="n">
        <v>0</v>
      </c>
      <c r="G713" s="16" t="s">
        <v>647</v>
      </c>
    </row>
    <row r="714" customFormat="false" ht="15" hidden="false" customHeight="false" outlineLevel="0" collapsed="false">
      <c r="A714" s="16" t="s">
        <v>372</v>
      </c>
      <c r="B714" s="16" t="s">
        <v>251</v>
      </c>
      <c r="C714" s="16" t="n">
        <v>0</v>
      </c>
      <c r="D714" s="16" t="s">
        <v>260</v>
      </c>
      <c r="E714" s="16" t="n">
        <v>0</v>
      </c>
      <c r="F714" s="16" t="n">
        <v>0</v>
      </c>
      <c r="G714" s="16" t="s">
        <v>647</v>
      </c>
    </row>
    <row r="715" customFormat="false" ht="15" hidden="false" customHeight="false" outlineLevel="0" collapsed="false">
      <c r="A715" s="16" t="s">
        <v>372</v>
      </c>
      <c r="B715" s="16" t="s">
        <v>260</v>
      </c>
      <c r="C715" s="16" t="n">
        <v>0</v>
      </c>
      <c r="D715" s="16" t="s">
        <v>263</v>
      </c>
      <c r="E715" s="16" t="n">
        <v>0</v>
      </c>
      <c r="F715" s="16" t="n">
        <v>0</v>
      </c>
      <c r="G715" s="16" t="s">
        <v>647</v>
      </c>
    </row>
    <row r="716" customFormat="false" ht="15" hidden="false" customHeight="false" outlineLevel="0" collapsed="false">
      <c r="A716" s="16" t="s">
        <v>372</v>
      </c>
      <c r="B716" s="16" t="s">
        <v>263</v>
      </c>
      <c r="C716" s="16" t="n">
        <v>0</v>
      </c>
      <c r="D716" s="16" t="s">
        <v>320</v>
      </c>
      <c r="E716" s="16" t="n">
        <v>0</v>
      </c>
      <c r="F716" s="16" t="n">
        <v>0</v>
      </c>
      <c r="G716" s="16" t="s">
        <v>647</v>
      </c>
    </row>
    <row r="717" customFormat="false" ht="15" hidden="false" customHeight="false" outlineLevel="0" collapsed="false">
      <c r="A717" s="16" t="s">
        <v>372</v>
      </c>
      <c r="B717" s="16" t="s">
        <v>320</v>
      </c>
      <c r="C717" s="16" t="n">
        <v>0</v>
      </c>
      <c r="D717" s="16" t="s">
        <v>322</v>
      </c>
      <c r="E717" s="16" t="n">
        <v>0</v>
      </c>
      <c r="F717" s="16" t="n">
        <v>0</v>
      </c>
      <c r="G717" s="16" t="s">
        <v>647</v>
      </c>
    </row>
    <row r="718" customFormat="false" ht="15" hidden="false" customHeight="false" outlineLevel="0" collapsed="false">
      <c r="A718" s="16" t="s">
        <v>372</v>
      </c>
      <c r="B718" s="16" t="s">
        <v>43</v>
      </c>
      <c r="C718" s="16" t="n">
        <v>1</v>
      </c>
      <c r="D718" s="16" t="s">
        <v>47</v>
      </c>
      <c r="E718" s="16" t="n">
        <v>1</v>
      </c>
      <c r="F718" s="16" t="n">
        <v>0</v>
      </c>
      <c r="G718" s="16" t="s">
        <v>647</v>
      </c>
    </row>
    <row r="719" customFormat="false" ht="15" hidden="false" customHeight="false" outlineLevel="0" collapsed="false">
      <c r="A719" s="16" t="s">
        <v>372</v>
      </c>
      <c r="B719" s="16" t="s">
        <v>47</v>
      </c>
      <c r="C719" s="16" t="n">
        <v>1</v>
      </c>
      <c r="D719" s="16" t="s">
        <v>51</v>
      </c>
      <c r="E719" s="16" t="n">
        <v>1</v>
      </c>
      <c r="F719" s="16" t="n">
        <v>0</v>
      </c>
      <c r="G719" s="16" t="s">
        <v>647</v>
      </c>
    </row>
    <row r="720" customFormat="false" ht="15" hidden="false" customHeight="false" outlineLevel="0" collapsed="false">
      <c r="A720" s="16" t="s">
        <v>372</v>
      </c>
      <c r="B720" s="16" t="s">
        <v>51</v>
      </c>
      <c r="C720" s="16" t="n">
        <v>1</v>
      </c>
      <c r="D720" s="16" t="s">
        <v>67</v>
      </c>
      <c r="E720" s="16" t="n">
        <v>1</v>
      </c>
      <c r="F720" s="16" t="n">
        <v>0</v>
      </c>
      <c r="G720" s="16" t="s">
        <v>647</v>
      </c>
    </row>
    <row r="721" customFormat="false" ht="15" hidden="false" customHeight="false" outlineLevel="0" collapsed="false">
      <c r="A721" s="16" t="s">
        <v>372</v>
      </c>
      <c r="B721" s="16" t="s">
        <v>67</v>
      </c>
      <c r="C721" s="16" t="n">
        <v>1</v>
      </c>
      <c r="D721" s="16" t="s">
        <v>93</v>
      </c>
      <c r="E721" s="16" t="n">
        <v>1</v>
      </c>
      <c r="F721" s="16" t="n">
        <v>0</v>
      </c>
      <c r="G721" s="16" t="s">
        <v>647</v>
      </c>
    </row>
    <row r="722" customFormat="false" ht="15" hidden="false" customHeight="false" outlineLevel="0" collapsed="false">
      <c r="A722" s="16" t="s">
        <v>372</v>
      </c>
      <c r="B722" s="16" t="s">
        <v>93</v>
      </c>
      <c r="C722" s="16" t="n">
        <v>1</v>
      </c>
      <c r="D722" s="16" t="s">
        <v>118</v>
      </c>
      <c r="E722" s="16" t="n">
        <v>1</v>
      </c>
      <c r="F722" s="16" t="n">
        <v>0</v>
      </c>
      <c r="G722" s="16" t="s">
        <v>647</v>
      </c>
    </row>
    <row r="723" customFormat="false" ht="15" hidden="false" customHeight="false" outlineLevel="0" collapsed="false">
      <c r="A723" s="16" t="s">
        <v>372</v>
      </c>
      <c r="B723" s="16" t="s">
        <v>118</v>
      </c>
      <c r="C723" s="16" t="n">
        <v>1</v>
      </c>
      <c r="D723" s="16" t="s">
        <v>122</v>
      </c>
      <c r="E723" s="16" t="n">
        <v>1</v>
      </c>
      <c r="F723" s="16" t="n">
        <v>0</v>
      </c>
      <c r="G723" s="16" t="s">
        <v>647</v>
      </c>
    </row>
    <row r="724" customFormat="false" ht="15" hidden="false" customHeight="false" outlineLevel="0" collapsed="false">
      <c r="A724" s="16" t="s">
        <v>372</v>
      </c>
      <c r="B724" s="16" t="s">
        <v>122</v>
      </c>
      <c r="C724" s="16" t="n">
        <v>1</v>
      </c>
      <c r="D724" s="16" t="s">
        <v>129</v>
      </c>
      <c r="E724" s="16" t="n">
        <v>1</v>
      </c>
      <c r="F724" s="16" t="n">
        <v>0</v>
      </c>
      <c r="G724" s="16" t="s">
        <v>647</v>
      </c>
    </row>
    <row r="725" customFormat="false" ht="15" hidden="false" customHeight="false" outlineLevel="0" collapsed="false">
      <c r="A725" s="16" t="s">
        <v>372</v>
      </c>
      <c r="B725" s="16" t="s">
        <v>129</v>
      </c>
      <c r="C725" s="16" t="n">
        <v>1</v>
      </c>
      <c r="D725" s="16" t="s">
        <v>137</v>
      </c>
      <c r="E725" s="16" t="n">
        <v>1</v>
      </c>
      <c r="F725" s="16" t="n">
        <v>0</v>
      </c>
      <c r="G725" s="16" t="s">
        <v>647</v>
      </c>
    </row>
    <row r="726" customFormat="false" ht="15" hidden="false" customHeight="false" outlineLevel="0" collapsed="false">
      <c r="A726" s="16" t="s">
        <v>372</v>
      </c>
      <c r="B726" s="16" t="s">
        <v>137</v>
      </c>
      <c r="C726" s="16" t="n">
        <v>1</v>
      </c>
      <c r="D726" s="16" t="s">
        <v>140</v>
      </c>
      <c r="E726" s="16" t="n">
        <v>1</v>
      </c>
      <c r="F726" s="16" t="n">
        <v>0</v>
      </c>
      <c r="G726" s="16" t="s">
        <v>647</v>
      </c>
    </row>
    <row r="727" customFormat="false" ht="15" hidden="false" customHeight="false" outlineLevel="0" collapsed="false">
      <c r="A727" s="16" t="s">
        <v>372</v>
      </c>
      <c r="B727" s="16" t="s">
        <v>140</v>
      </c>
      <c r="C727" s="16" t="n">
        <v>1</v>
      </c>
      <c r="D727" s="16" t="s">
        <v>144</v>
      </c>
      <c r="E727" s="16" t="n">
        <v>1</v>
      </c>
      <c r="F727" s="16" t="n">
        <v>0</v>
      </c>
      <c r="G727" s="16" t="s">
        <v>647</v>
      </c>
    </row>
    <row r="728" customFormat="false" ht="15" hidden="false" customHeight="false" outlineLevel="0" collapsed="false">
      <c r="A728" s="16" t="s">
        <v>372</v>
      </c>
      <c r="B728" s="16" t="s">
        <v>144</v>
      </c>
      <c r="C728" s="16" t="n">
        <v>1</v>
      </c>
      <c r="D728" s="16" t="s">
        <v>151</v>
      </c>
      <c r="E728" s="16" t="n">
        <v>1</v>
      </c>
      <c r="F728" s="16" t="n">
        <v>0</v>
      </c>
      <c r="G728" s="16" t="s">
        <v>647</v>
      </c>
    </row>
    <row r="729" customFormat="false" ht="15" hidden="false" customHeight="false" outlineLevel="0" collapsed="false">
      <c r="A729" s="16" t="s">
        <v>372</v>
      </c>
      <c r="B729" s="16" t="s">
        <v>151</v>
      </c>
      <c r="C729" s="16" t="n">
        <v>1</v>
      </c>
      <c r="D729" s="16" t="s">
        <v>155</v>
      </c>
      <c r="E729" s="16" t="n">
        <v>1</v>
      </c>
      <c r="F729" s="16" t="n">
        <v>0</v>
      </c>
      <c r="G729" s="16" t="s">
        <v>647</v>
      </c>
    </row>
    <row r="730" customFormat="false" ht="15" hidden="false" customHeight="false" outlineLevel="0" collapsed="false">
      <c r="A730" s="16" t="s">
        <v>372</v>
      </c>
      <c r="B730" s="16" t="s">
        <v>155</v>
      </c>
      <c r="C730" s="16" t="n">
        <v>1</v>
      </c>
      <c r="D730" s="16" t="s">
        <v>171</v>
      </c>
      <c r="E730" s="16" t="n">
        <v>1</v>
      </c>
      <c r="F730" s="16" t="n">
        <v>0</v>
      </c>
      <c r="G730" s="16" t="s">
        <v>647</v>
      </c>
    </row>
    <row r="731" customFormat="false" ht="15" hidden="false" customHeight="false" outlineLevel="0" collapsed="false">
      <c r="A731" s="16" t="s">
        <v>372</v>
      </c>
      <c r="B731" s="16" t="s">
        <v>171</v>
      </c>
      <c r="C731" s="16" t="n">
        <v>1</v>
      </c>
      <c r="D731" s="16" t="s">
        <v>189</v>
      </c>
      <c r="E731" s="16" t="n">
        <v>1</v>
      </c>
      <c r="F731" s="16" t="n">
        <v>0</v>
      </c>
      <c r="G731" s="16" t="s">
        <v>647</v>
      </c>
    </row>
    <row r="732" customFormat="false" ht="15" hidden="false" customHeight="false" outlineLevel="0" collapsed="false">
      <c r="A732" s="16" t="s">
        <v>372</v>
      </c>
      <c r="B732" s="16" t="s">
        <v>189</v>
      </c>
      <c r="C732" s="16" t="n">
        <v>1</v>
      </c>
      <c r="D732" s="16" t="s">
        <v>195</v>
      </c>
      <c r="E732" s="16" t="n">
        <v>1</v>
      </c>
      <c r="F732" s="16" t="n">
        <v>0</v>
      </c>
      <c r="G732" s="16" t="s">
        <v>647</v>
      </c>
    </row>
    <row r="733" customFormat="false" ht="15" hidden="false" customHeight="false" outlineLevel="0" collapsed="false">
      <c r="A733" s="16" t="s">
        <v>372</v>
      </c>
      <c r="B733" s="16" t="s">
        <v>195</v>
      </c>
      <c r="C733" s="16" t="n">
        <v>1</v>
      </c>
      <c r="D733" s="16" t="s">
        <v>209</v>
      </c>
      <c r="E733" s="16" t="n">
        <v>1</v>
      </c>
      <c r="F733" s="16" t="n">
        <v>0</v>
      </c>
      <c r="G733" s="16" t="s">
        <v>647</v>
      </c>
    </row>
    <row r="734" customFormat="false" ht="15" hidden="false" customHeight="false" outlineLevel="0" collapsed="false">
      <c r="A734" s="16" t="s">
        <v>372</v>
      </c>
      <c r="B734" s="16" t="s">
        <v>209</v>
      </c>
      <c r="C734" s="16" t="n">
        <v>1</v>
      </c>
      <c r="D734" s="16" t="s">
        <v>213</v>
      </c>
      <c r="E734" s="16" t="n">
        <v>1</v>
      </c>
      <c r="F734" s="16" t="n">
        <v>0</v>
      </c>
      <c r="G734" s="16" t="s">
        <v>647</v>
      </c>
    </row>
    <row r="735" customFormat="false" ht="15" hidden="false" customHeight="false" outlineLevel="0" collapsed="false">
      <c r="A735" s="16" t="s">
        <v>372</v>
      </c>
      <c r="B735" s="16" t="s">
        <v>213</v>
      </c>
      <c r="C735" s="16" t="n">
        <v>1</v>
      </c>
      <c r="D735" s="16" t="s">
        <v>228</v>
      </c>
      <c r="E735" s="16" t="n">
        <v>1</v>
      </c>
      <c r="F735" s="16" t="n">
        <v>0</v>
      </c>
      <c r="G735" s="16" t="s">
        <v>647</v>
      </c>
    </row>
    <row r="736" customFormat="false" ht="15" hidden="false" customHeight="false" outlineLevel="0" collapsed="false">
      <c r="A736" s="16" t="s">
        <v>372</v>
      </c>
      <c r="B736" s="16" t="s">
        <v>228</v>
      </c>
      <c r="C736" s="16" t="n">
        <v>1</v>
      </c>
      <c r="D736" s="16" t="s">
        <v>245</v>
      </c>
      <c r="E736" s="16" t="n">
        <v>1</v>
      </c>
      <c r="F736" s="16" t="n">
        <v>0</v>
      </c>
      <c r="G736" s="16" t="s">
        <v>647</v>
      </c>
    </row>
    <row r="737" customFormat="false" ht="15" hidden="false" customHeight="false" outlineLevel="0" collapsed="false">
      <c r="A737" s="16" t="s">
        <v>372</v>
      </c>
      <c r="B737" s="16" t="s">
        <v>245</v>
      </c>
      <c r="C737" s="16" t="n">
        <v>1</v>
      </c>
      <c r="D737" s="16" t="s">
        <v>254</v>
      </c>
      <c r="E737" s="16" t="n">
        <v>1</v>
      </c>
      <c r="F737" s="16" t="n">
        <v>0</v>
      </c>
      <c r="G737" s="16" t="s">
        <v>647</v>
      </c>
    </row>
    <row r="738" customFormat="false" ht="15" hidden="false" customHeight="false" outlineLevel="0" collapsed="false">
      <c r="A738" s="16" t="s">
        <v>372</v>
      </c>
      <c r="B738" s="16" t="s">
        <v>254</v>
      </c>
      <c r="C738" s="16" t="n">
        <v>1</v>
      </c>
      <c r="D738" s="16" t="s">
        <v>307</v>
      </c>
      <c r="E738" s="16" t="n">
        <v>1</v>
      </c>
      <c r="F738" s="16" t="n">
        <v>0</v>
      </c>
      <c r="G738" s="16" t="s">
        <v>647</v>
      </c>
    </row>
    <row r="739" customFormat="false" ht="15" hidden="false" customHeight="false" outlineLevel="0" collapsed="false">
      <c r="A739" s="16" t="s">
        <v>372</v>
      </c>
      <c r="B739" s="16" t="s">
        <v>307</v>
      </c>
      <c r="C739" s="16" t="n">
        <v>1</v>
      </c>
      <c r="D739" s="16" t="s">
        <v>310</v>
      </c>
      <c r="E739" s="16" t="n">
        <v>1</v>
      </c>
      <c r="F739" s="16" t="n">
        <v>0</v>
      </c>
      <c r="G739" s="16" t="s">
        <v>647</v>
      </c>
    </row>
    <row r="740" customFormat="false" ht="15" hidden="false" customHeight="false" outlineLevel="0" collapsed="false">
      <c r="A740" s="16" t="s">
        <v>372</v>
      </c>
      <c r="B740" s="16" t="s">
        <v>310</v>
      </c>
      <c r="C740" s="16" t="n">
        <v>1</v>
      </c>
      <c r="D740" s="16" t="s">
        <v>317</v>
      </c>
      <c r="E740" s="16" t="n">
        <v>1</v>
      </c>
      <c r="F740" s="16" t="n">
        <v>0</v>
      </c>
      <c r="G740" s="16" t="s">
        <v>647</v>
      </c>
    </row>
    <row r="741" customFormat="false" ht="15" hidden="false" customHeight="false" outlineLevel="0" collapsed="false">
      <c r="A741" s="16" t="s">
        <v>372</v>
      </c>
      <c r="B741" s="16" t="s">
        <v>317</v>
      </c>
      <c r="C741" s="16" t="n">
        <v>1</v>
      </c>
      <c r="D741" s="16" t="s">
        <v>342</v>
      </c>
      <c r="E741" s="16" t="n">
        <v>1</v>
      </c>
      <c r="F741" s="16" t="n">
        <v>0</v>
      </c>
      <c r="G741" s="16" t="s">
        <v>647</v>
      </c>
    </row>
    <row r="742" customFormat="false" ht="15" hidden="false" customHeight="false" outlineLevel="0" collapsed="false">
      <c r="A742" s="16" t="s">
        <v>372</v>
      </c>
      <c r="B742" s="16" t="s">
        <v>342</v>
      </c>
      <c r="C742" s="16" t="n">
        <v>1</v>
      </c>
      <c r="D742" s="16" t="s">
        <v>345</v>
      </c>
      <c r="E742" s="16" t="n">
        <v>1</v>
      </c>
      <c r="F742" s="16" t="n">
        <v>0</v>
      </c>
      <c r="G742" s="16" t="s">
        <v>647</v>
      </c>
    </row>
    <row r="743" customFormat="false" ht="15" hidden="false" customHeight="false" outlineLevel="0" collapsed="false">
      <c r="A743" s="16" t="s">
        <v>372</v>
      </c>
      <c r="B743" s="16" t="s">
        <v>345</v>
      </c>
      <c r="C743" s="16" t="n">
        <v>1</v>
      </c>
      <c r="D743" s="16" t="s">
        <v>358</v>
      </c>
      <c r="E743" s="16" t="n">
        <v>1</v>
      </c>
      <c r="F743" s="16" t="n">
        <v>0</v>
      </c>
      <c r="G743" s="16" t="s">
        <v>647</v>
      </c>
    </row>
    <row r="744" customFormat="false" ht="15" hidden="false" customHeight="false" outlineLevel="0" collapsed="false">
      <c r="A744" s="16" t="s">
        <v>372</v>
      </c>
      <c r="B744" s="16" t="s">
        <v>35</v>
      </c>
      <c r="C744" s="16" t="n">
        <v>2</v>
      </c>
      <c r="D744" s="16" t="s">
        <v>39</v>
      </c>
      <c r="E744" s="16" t="n">
        <v>2</v>
      </c>
      <c r="F744" s="16" t="n">
        <v>0</v>
      </c>
      <c r="G744" s="16" t="s">
        <v>647</v>
      </c>
    </row>
    <row r="745" customFormat="false" ht="15" hidden="false" customHeight="false" outlineLevel="0" collapsed="false">
      <c r="A745" s="16" t="s">
        <v>372</v>
      </c>
      <c r="B745" s="16" t="s">
        <v>39</v>
      </c>
      <c r="C745" s="16" t="n">
        <v>2</v>
      </c>
      <c r="D745" s="16" t="s">
        <v>97</v>
      </c>
      <c r="E745" s="16" t="n">
        <v>2</v>
      </c>
      <c r="F745" s="16" t="n">
        <v>0</v>
      </c>
      <c r="G745" s="16" t="s">
        <v>647</v>
      </c>
    </row>
    <row r="746" customFormat="false" ht="15" hidden="false" customHeight="false" outlineLevel="0" collapsed="false">
      <c r="A746" s="16" t="s">
        <v>372</v>
      </c>
      <c r="B746" s="16" t="s">
        <v>97</v>
      </c>
      <c r="C746" s="16" t="n">
        <v>2</v>
      </c>
      <c r="D746" s="16" t="s">
        <v>148</v>
      </c>
      <c r="E746" s="16" t="n">
        <v>2</v>
      </c>
      <c r="F746" s="16" t="n">
        <v>0</v>
      </c>
      <c r="G746" s="16" t="s">
        <v>647</v>
      </c>
    </row>
    <row r="747" customFormat="false" ht="15" hidden="false" customHeight="false" outlineLevel="0" collapsed="false">
      <c r="A747" s="16" t="s">
        <v>372</v>
      </c>
      <c r="B747" s="16" t="s">
        <v>148</v>
      </c>
      <c r="C747" s="16" t="n">
        <v>2</v>
      </c>
      <c r="D747" s="16" t="s">
        <v>159</v>
      </c>
      <c r="E747" s="16" t="n">
        <v>2</v>
      </c>
      <c r="F747" s="16" t="n">
        <v>0</v>
      </c>
      <c r="G747" s="16" t="s">
        <v>647</v>
      </c>
    </row>
    <row r="748" customFormat="false" ht="15" hidden="false" customHeight="false" outlineLevel="0" collapsed="false">
      <c r="A748" s="16" t="s">
        <v>372</v>
      </c>
      <c r="B748" s="16" t="s">
        <v>159</v>
      </c>
      <c r="C748" s="16" t="n">
        <v>2</v>
      </c>
      <c r="D748" s="16" t="s">
        <v>187</v>
      </c>
      <c r="E748" s="16" t="n">
        <v>2</v>
      </c>
      <c r="F748" s="16" t="n">
        <v>0</v>
      </c>
      <c r="G748" s="16" t="s">
        <v>647</v>
      </c>
    </row>
    <row r="749" customFormat="false" ht="15" hidden="false" customHeight="false" outlineLevel="0" collapsed="false">
      <c r="A749" s="16" t="s">
        <v>372</v>
      </c>
      <c r="B749" s="16" t="s">
        <v>187</v>
      </c>
      <c r="C749" s="16" t="n">
        <v>2</v>
      </c>
      <c r="D749" s="16" t="s">
        <v>205</v>
      </c>
      <c r="E749" s="16" t="n">
        <v>2</v>
      </c>
      <c r="F749" s="16" t="n">
        <v>0</v>
      </c>
      <c r="G749" s="16" t="s">
        <v>647</v>
      </c>
    </row>
    <row r="750" customFormat="false" ht="15" hidden="false" customHeight="false" outlineLevel="0" collapsed="false">
      <c r="A750" s="16" t="s">
        <v>372</v>
      </c>
      <c r="B750" s="16" t="s">
        <v>205</v>
      </c>
      <c r="C750" s="16" t="n">
        <v>2</v>
      </c>
      <c r="D750" s="16" t="s">
        <v>222</v>
      </c>
      <c r="E750" s="16" t="n">
        <v>2</v>
      </c>
      <c r="F750" s="16" t="n">
        <v>0</v>
      </c>
      <c r="G750" s="16" t="s">
        <v>647</v>
      </c>
    </row>
    <row r="751" customFormat="false" ht="15" hidden="false" customHeight="false" outlineLevel="0" collapsed="false">
      <c r="A751" s="16" t="s">
        <v>372</v>
      </c>
      <c r="B751" s="16" t="s">
        <v>222</v>
      </c>
      <c r="C751" s="16" t="n">
        <v>2</v>
      </c>
      <c r="D751" s="16" t="s">
        <v>257</v>
      </c>
      <c r="E751" s="16" t="n">
        <v>2</v>
      </c>
      <c r="F751" s="16" t="n">
        <v>0</v>
      </c>
      <c r="G751" s="16" t="s">
        <v>647</v>
      </c>
    </row>
    <row r="752" customFormat="false" ht="15" hidden="false" customHeight="false" outlineLevel="0" collapsed="false">
      <c r="A752" s="16" t="s">
        <v>372</v>
      </c>
      <c r="B752" s="16" t="s">
        <v>257</v>
      </c>
      <c r="C752" s="16" t="n">
        <v>2</v>
      </c>
      <c r="D752" s="16" t="s">
        <v>279</v>
      </c>
      <c r="E752" s="16" t="n">
        <v>2</v>
      </c>
      <c r="F752" s="16" t="n">
        <v>0</v>
      </c>
      <c r="G752" s="16" t="s">
        <v>647</v>
      </c>
    </row>
    <row r="753" customFormat="false" ht="15" hidden="false" customHeight="false" outlineLevel="0" collapsed="false">
      <c r="A753" s="16" t="s">
        <v>372</v>
      </c>
      <c r="B753" s="16" t="s">
        <v>279</v>
      </c>
      <c r="C753" s="16" t="n">
        <v>2</v>
      </c>
      <c r="D753" s="16" t="s">
        <v>351</v>
      </c>
      <c r="E753" s="16" t="n">
        <v>2</v>
      </c>
      <c r="F753" s="16" t="n">
        <v>0</v>
      </c>
      <c r="G753" s="16" t="s">
        <v>647</v>
      </c>
    </row>
    <row r="754" customFormat="false" ht="15" hidden="false" customHeight="false" outlineLevel="0" collapsed="false">
      <c r="A754" s="16" t="s">
        <v>372</v>
      </c>
      <c r="B754" s="16" t="s">
        <v>75</v>
      </c>
      <c r="C754" s="16" t="n">
        <v>3</v>
      </c>
      <c r="D754" s="16" t="s">
        <v>83</v>
      </c>
      <c r="E754" s="16" t="n">
        <v>3</v>
      </c>
      <c r="F754" s="16" t="n">
        <v>0</v>
      </c>
      <c r="G754" s="16" t="s">
        <v>647</v>
      </c>
    </row>
    <row r="755" customFormat="false" ht="15" hidden="false" customHeight="false" outlineLevel="0" collapsed="false">
      <c r="A755" s="16" t="s">
        <v>372</v>
      </c>
      <c r="B755" s="16" t="s">
        <v>83</v>
      </c>
      <c r="C755" s="16" t="n">
        <v>3</v>
      </c>
      <c r="D755" s="16" t="s">
        <v>90</v>
      </c>
      <c r="E755" s="16" t="n">
        <v>3</v>
      </c>
      <c r="F755" s="16" t="n">
        <v>0</v>
      </c>
      <c r="G755" s="16" t="s">
        <v>647</v>
      </c>
    </row>
    <row r="756" customFormat="false" ht="15" hidden="false" customHeight="false" outlineLevel="0" collapsed="false">
      <c r="A756" s="16" t="s">
        <v>372</v>
      </c>
      <c r="B756" s="16" t="s">
        <v>90</v>
      </c>
      <c r="C756" s="16" t="n">
        <v>3</v>
      </c>
      <c r="D756" s="16" t="s">
        <v>115</v>
      </c>
      <c r="E756" s="16" t="n">
        <v>3</v>
      </c>
      <c r="F756" s="16" t="n">
        <v>0</v>
      </c>
      <c r="G756" s="16" t="s">
        <v>647</v>
      </c>
    </row>
    <row r="757" customFormat="false" ht="15" hidden="false" customHeight="false" outlineLevel="0" collapsed="false">
      <c r="A757" s="16" t="s">
        <v>372</v>
      </c>
      <c r="B757" s="16" t="s">
        <v>115</v>
      </c>
      <c r="C757" s="16" t="n">
        <v>3</v>
      </c>
      <c r="D757" s="16" t="s">
        <v>184</v>
      </c>
      <c r="E757" s="16" t="n">
        <v>3</v>
      </c>
      <c r="F757" s="16" t="n">
        <v>0</v>
      </c>
      <c r="G757" s="16" t="s">
        <v>647</v>
      </c>
    </row>
    <row r="758" customFormat="false" ht="15" hidden="false" customHeight="false" outlineLevel="0" collapsed="false">
      <c r="A758" s="16" t="s">
        <v>372</v>
      </c>
      <c r="B758" s="16" t="s">
        <v>184</v>
      </c>
      <c r="C758" s="16" t="n">
        <v>3</v>
      </c>
      <c r="D758" s="16" t="s">
        <v>273</v>
      </c>
      <c r="E758" s="16" t="n">
        <v>3</v>
      </c>
      <c r="F758" s="16" t="n">
        <v>0</v>
      </c>
      <c r="G758" s="16" t="s">
        <v>647</v>
      </c>
    </row>
    <row r="759" customFormat="false" ht="15" hidden="false" customHeight="false" outlineLevel="0" collapsed="false">
      <c r="A759" s="16" t="s">
        <v>372</v>
      </c>
      <c r="B759" s="16" t="s">
        <v>273</v>
      </c>
      <c r="C759" s="16" t="n">
        <v>3</v>
      </c>
      <c r="D759" s="16" t="s">
        <v>286</v>
      </c>
      <c r="E759" s="16" t="n">
        <v>3</v>
      </c>
      <c r="F759" s="16" t="n">
        <v>0</v>
      </c>
      <c r="G759" s="16" t="s">
        <v>647</v>
      </c>
    </row>
    <row r="760" customFormat="false" ht="15" hidden="false" customHeight="false" outlineLevel="0" collapsed="false">
      <c r="A760" s="16" t="s">
        <v>372</v>
      </c>
      <c r="B760" s="16" t="s">
        <v>286</v>
      </c>
      <c r="C760" s="16" t="n">
        <v>3</v>
      </c>
      <c r="D760" s="16" t="s">
        <v>325</v>
      </c>
      <c r="E760" s="16" t="n">
        <v>3</v>
      </c>
      <c r="F760" s="16" t="n">
        <v>0</v>
      </c>
      <c r="G760" s="16" t="s">
        <v>647</v>
      </c>
    </row>
    <row r="761" customFormat="false" ht="15" hidden="false" customHeight="false" outlineLevel="0" collapsed="false">
      <c r="A761" s="16" t="s">
        <v>372</v>
      </c>
      <c r="B761" s="16" t="s">
        <v>325</v>
      </c>
      <c r="C761" s="16" t="n">
        <v>3</v>
      </c>
      <c r="D761" s="16" t="s">
        <v>332</v>
      </c>
      <c r="E761" s="16" t="n">
        <v>3</v>
      </c>
      <c r="F761" s="16" t="n">
        <v>0</v>
      </c>
      <c r="G761" s="16" t="s">
        <v>647</v>
      </c>
    </row>
    <row r="762" customFormat="false" ht="15" hidden="false" customHeight="false" outlineLevel="0" collapsed="false">
      <c r="A762" s="16" t="s">
        <v>372</v>
      </c>
      <c r="B762" s="16" t="s">
        <v>332</v>
      </c>
      <c r="C762" s="16" t="n">
        <v>3</v>
      </c>
      <c r="D762" s="16" t="s">
        <v>335</v>
      </c>
      <c r="E762" s="16" t="n">
        <v>3</v>
      </c>
      <c r="F762" s="16" t="n">
        <v>0</v>
      </c>
      <c r="G762" s="16" t="s">
        <v>647</v>
      </c>
    </row>
    <row r="763" customFormat="false" ht="15" hidden="false" customHeight="false" outlineLevel="0" collapsed="false">
      <c r="A763" s="16" t="s">
        <v>372</v>
      </c>
      <c r="B763" s="16" t="s">
        <v>335</v>
      </c>
      <c r="C763" s="16" t="n">
        <v>3</v>
      </c>
      <c r="D763" s="16" t="s">
        <v>339</v>
      </c>
      <c r="E763" s="16" t="n">
        <v>3</v>
      </c>
      <c r="F763" s="16" t="n">
        <v>0</v>
      </c>
      <c r="G763" s="16" t="s">
        <v>647</v>
      </c>
    </row>
    <row r="764" customFormat="false" ht="15" hidden="false" customHeight="false" outlineLevel="0" collapsed="false">
      <c r="A764" s="16" t="s">
        <v>372</v>
      </c>
      <c r="B764" s="16" t="s">
        <v>27</v>
      </c>
      <c r="C764" s="16" t="n">
        <v>4</v>
      </c>
      <c r="D764" s="16" t="s">
        <v>31</v>
      </c>
      <c r="E764" s="16" t="n">
        <v>4</v>
      </c>
      <c r="F764" s="16" t="n">
        <v>0</v>
      </c>
      <c r="G764" s="16" t="s">
        <v>647</v>
      </c>
    </row>
    <row r="765" customFormat="false" ht="15" hidden="false" customHeight="false" outlineLevel="0" collapsed="false">
      <c r="A765" s="16" t="s">
        <v>372</v>
      </c>
      <c r="B765" s="16" t="s">
        <v>31</v>
      </c>
      <c r="C765" s="16" t="n">
        <v>4</v>
      </c>
      <c r="D765" s="16" t="s">
        <v>79</v>
      </c>
      <c r="E765" s="16" t="n">
        <v>4</v>
      </c>
      <c r="F765" s="16" t="n">
        <v>0</v>
      </c>
      <c r="G765" s="16" t="s">
        <v>647</v>
      </c>
    </row>
    <row r="766" customFormat="false" ht="15" hidden="false" customHeight="false" outlineLevel="0" collapsed="false">
      <c r="A766" s="16" t="s">
        <v>372</v>
      </c>
      <c r="B766" s="16" t="s">
        <v>79</v>
      </c>
      <c r="C766" s="16" t="n">
        <v>4</v>
      </c>
      <c r="D766" s="16" t="s">
        <v>104</v>
      </c>
      <c r="E766" s="16" t="n">
        <v>4</v>
      </c>
      <c r="F766" s="16" t="n">
        <v>0</v>
      </c>
      <c r="G766" s="16" t="s">
        <v>647</v>
      </c>
    </row>
    <row r="767" customFormat="false" ht="15" hidden="false" customHeight="false" outlineLevel="0" collapsed="false">
      <c r="A767" s="16" t="s">
        <v>372</v>
      </c>
      <c r="B767" s="16" t="s">
        <v>104</v>
      </c>
      <c r="C767" s="16" t="n">
        <v>4</v>
      </c>
      <c r="D767" s="16" t="s">
        <v>109</v>
      </c>
      <c r="E767" s="16" t="n">
        <v>4</v>
      </c>
      <c r="F767" s="16" t="n">
        <v>0</v>
      </c>
      <c r="G767" s="16" t="s">
        <v>647</v>
      </c>
    </row>
    <row r="768" customFormat="false" ht="15" hidden="false" customHeight="false" outlineLevel="0" collapsed="false">
      <c r="A768" s="16" t="s">
        <v>372</v>
      </c>
      <c r="B768" s="16" t="s">
        <v>109</v>
      </c>
      <c r="C768" s="16" t="n">
        <v>4</v>
      </c>
      <c r="D768" s="16" t="s">
        <v>112</v>
      </c>
      <c r="E768" s="16" t="n">
        <v>4</v>
      </c>
      <c r="F768" s="16" t="n">
        <v>0</v>
      </c>
      <c r="G768" s="16" t="s">
        <v>647</v>
      </c>
    </row>
    <row r="769" customFormat="false" ht="15" hidden="false" customHeight="false" outlineLevel="0" collapsed="false">
      <c r="A769" s="16" t="s">
        <v>372</v>
      </c>
      <c r="B769" s="16" t="s">
        <v>112</v>
      </c>
      <c r="C769" s="16" t="n">
        <v>4</v>
      </c>
      <c r="D769" s="16" t="s">
        <v>126</v>
      </c>
      <c r="E769" s="16" t="n">
        <v>4</v>
      </c>
      <c r="F769" s="16" t="n">
        <v>0</v>
      </c>
      <c r="G769" s="16" t="s">
        <v>647</v>
      </c>
    </row>
    <row r="770" customFormat="false" ht="15" hidden="false" customHeight="false" outlineLevel="0" collapsed="false">
      <c r="A770" s="16" t="s">
        <v>372</v>
      </c>
      <c r="B770" s="16" t="s">
        <v>126</v>
      </c>
      <c r="C770" s="16" t="n">
        <v>4</v>
      </c>
      <c r="D770" s="16" t="s">
        <v>276</v>
      </c>
      <c r="E770" s="16" t="n">
        <v>4</v>
      </c>
      <c r="F770" s="16" t="n">
        <v>0</v>
      </c>
      <c r="G770" s="16" t="s">
        <v>647</v>
      </c>
    </row>
    <row r="771" customFormat="false" ht="15" hidden="false" customHeight="false" outlineLevel="0" collapsed="false">
      <c r="A771" s="16" t="s">
        <v>372</v>
      </c>
      <c r="B771" s="16" t="s">
        <v>276</v>
      </c>
      <c r="C771" s="16" t="n">
        <v>4</v>
      </c>
      <c r="D771" s="16" t="s">
        <v>299</v>
      </c>
      <c r="E771" s="16" t="n">
        <v>4</v>
      </c>
      <c r="F771" s="16" t="n">
        <v>0</v>
      </c>
      <c r="G771" s="16" t="s">
        <v>647</v>
      </c>
    </row>
    <row r="772" customFormat="false" ht="15" hidden="false" customHeight="false" outlineLevel="0" collapsed="false">
      <c r="A772" s="16" t="s">
        <v>372</v>
      </c>
      <c r="B772" s="16" t="s">
        <v>299</v>
      </c>
      <c r="C772" s="16" t="n">
        <v>4</v>
      </c>
      <c r="D772" s="16" t="s">
        <v>302</v>
      </c>
      <c r="E772" s="16" t="n">
        <v>4</v>
      </c>
      <c r="F772" s="16" t="n">
        <v>0</v>
      </c>
      <c r="G772" s="16" t="s">
        <v>647</v>
      </c>
    </row>
    <row r="773" customFormat="false" ht="15" hidden="false" customHeight="false" outlineLevel="0" collapsed="false">
      <c r="A773" s="16" t="s">
        <v>372</v>
      </c>
      <c r="B773" s="16" t="s">
        <v>302</v>
      </c>
      <c r="C773" s="16" t="n">
        <v>4</v>
      </c>
      <c r="D773" s="16" t="s">
        <v>304</v>
      </c>
      <c r="E773" s="16" t="n">
        <v>4</v>
      </c>
      <c r="F773" s="16" t="n">
        <v>0</v>
      </c>
      <c r="G773" s="16" t="s">
        <v>647</v>
      </c>
    </row>
    <row r="774" customFormat="false" ht="15" hidden="false" customHeight="false" outlineLevel="0" collapsed="false">
      <c r="A774" s="16" t="s">
        <v>372</v>
      </c>
      <c r="B774" s="16" t="s">
        <v>304</v>
      </c>
      <c r="C774" s="16" t="n">
        <v>4</v>
      </c>
      <c r="D774" s="16" t="s">
        <v>328</v>
      </c>
      <c r="E774" s="16" t="n">
        <v>4</v>
      </c>
      <c r="F774" s="16" t="n">
        <v>0</v>
      </c>
      <c r="G774" s="16" t="s">
        <v>647</v>
      </c>
    </row>
    <row r="775" customFormat="false" ht="15" hidden="false" customHeight="false" outlineLevel="0" collapsed="false">
      <c r="A775" s="16" t="s">
        <v>372</v>
      </c>
      <c r="B775" s="16" t="s">
        <v>328</v>
      </c>
      <c r="C775" s="16" t="n">
        <v>4</v>
      </c>
      <c r="D775" s="16" t="s">
        <v>355</v>
      </c>
      <c r="E775" s="16" t="n">
        <v>4</v>
      </c>
      <c r="F775" s="16" t="n">
        <v>0</v>
      </c>
      <c r="G775" s="16" t="s">
        <v>647</v>
      </c>
    </row>
    <row r="776" customFormat="false" ht="15" hidden="false" customHeight="false" outlineLevel="0" collapsed="false">
      <c r="A776" s="16" t="s">
        <v>372</v>
      </c>
      <c r="B776" s="16" t="s">
        <v>87</v>
      </c>
      <c r="C776" s="16" t="n">
        <v>5</v>
      </c>
      <c r="D776" s="16" t="s">
        <v>225</v>
      </c>
      <c r="E776" s="16" t="n">
        <v>5</v>
      </c>
      <c r="F776" s="16" t="n">
        <v>0</v>
      </c>
      <c r="G776" s="16" t="s">
        <v>647</v>
      </c>
    </row>
    <row r="777" customFormat="false" ht="15" hidden="false" customHeight="false" outlineLevel="0" collapsed="false">
      <c r="A777" s="16" t="s">
        <v>372</v>
      </c>
      <c r="B777" s="16" t="s">
        <v>22</v>
      </c>
      <c r="C777" s="16" t="n">
        <v>6</v>
      </c>
      <c r="D777" s="16" t="s">
        <v>133</v>
      </c>
      <c r="E777" s="16" t="n">
        <v>6</v>
      </c>
      <c r="F777" s="16" t="n">
        <v>0</v>
      </c>
      <c r="G777" s="16" t="s">
        <v>647</v>
      </c>
    </row>
    <row r="778" customFormat="false" ht="15" hidden="false" customHeight="false" outlineLevel="0" collapsed="false">
      <c r="A778" s="16" t="s">
        <v>372</v>
      </c>
      <c r="B778" s="16" t="s">
        <v>133</v>
      </c>
      <c r="C778" s="16" t="n">
        <v>6</v>
      </c>
      <c r="D778" s="16" t="s">
        <v>202</v>
      </c>
      <c r="E778" s="16" t="n">
        <v>6</v>
      </c>
      <c r="F778" s="16" t="n">
        <v>0</v>
      </c>
      <c r="G778" s="16" t="s">
        <v>647</v>
      </c>
    </row>
    <row r="779" customFormat="false" ht="15" hidden="false" customHeight="false" outlineLevel="0" collapsed="false">
      <c r="A779" s="16" t="s">
        <v>372</v>
      </c>
      <c r="B779" s="16" t="s">
        <v>202</v>
      </c>
      <c r="C779" s="16" t="n">
        <v>6</v>
      </c>
      <c r="D779" s="16" t="s">
        <v>270</v>
      </c>
      <c r="E779" s="16" t="n">
        <v>6</v>
      </c>
      <c r="F779" s="16" t="n">
        <v>0</v>
      </c>
      <c r="G779" s="16" t="s">
        <v>647</v>
      </c>
    </row>
    <row r="780" customFormat="false" ht="15" hidden="false" customHeight="false" outlineLevel="0" collapsed="false">
      <c r="A780" s="16" t="s">
        <v>372</v>
      </c>
      <c r="B780" s="16" t="s">
        <v>270</v>
      </c>
      <c r="C780" s="16" t="n">
        <v>6</v>
      </c>
      <c r="D780" s="16" t="s">
        <v>290</v>
      </c>
      <c r="E780" s="16" t="n">
        <v>6</v>
      </c>
      <c r="F780" s="16" t="n">
        <v>0</v>
      </c>
      <c r="G780" s="16" t="s">
        <v>647</v>
      </c>
    </row>
    <row r="781" customFormat="false" ht="15" hidden="false" customHeight="false" outlineLevel="0" collapsed="false">
      <c r="A781" s="16" t="s">
        <v>372</v>
      </c>
      <c r="B781" s="16" t="s">
        <v>290</v>
      </c>
      <c r="C781" s="16" t="n">
        <v>6</v>
      </c>
      <c r="D781" s="16" t="s">
        <v>313</v>
      </c>
      <c r="E781" s="16" t="n">
        <v>6</v>
      </c>
      <c r="F781" s="16" t="n">
        <v>0</v>
      </c>
      <c r="G781" s="16" t="s">
        <v>647</v>
      </c>
    </row>
    <row r="782" customFormat="false" ht="15" hidden="false" customHeight="false" outlineLevel="0" collapsed="false">
      <c r="A782" s="16" t="s">
        <v>372</v>
      </c>
      <c r="B782" s="16" t="s">
        <v>282</v>
      </c>
      <c r="C782" s="16" t="n">
        <v>7</v>
      </c>
      <c r="D782" s="16" t="s">
        <v>295</v>
      </c>
      <c r="E782" s="16" t="n">
        <v>7</v>
      </c>
      <c r="F782" s="16" t="n">
        <v>0</v>
      </c>
      <c r="G782" s="16" t="s">
        <v>647</v>
      </c>
    </row>
    <row r="783" customFormat="false" ht="15" hidden="false" customHeight="false" outlineLevel="0" collapsed="false">
      <c r="A783" s="16" t="s">
        <v>372</v>
      </c>
      <c r="B783" s="16" t="s">
        <v>295</v>
      </c>
      <c r="C783" s="16" t="n">
        <v>7</v>
      </c>
      <c r="D783" s="16" t="s">
        <v>348</v>
      </c>
      <c r="E783" s="16" t="n">
        <v>7</v>
      </c>
      <c r="F783" s="16" t="n">
        <v>0</v>
      </c>
      <c r="G783" s="16" t="s">
        <v>647</v>
      </c>
    </row>
    <row r="784" customFormat="false" ht="15" hidden="false" customHeight="false" outlineLevel="0" collapsed="false">
      <c r="A784" s="16" t="s">
        <v>373</v>
      </c>
      <c r="B784" s="16" t="s">
        <v>35</v>
      </c>
      <c r="C784" s="16" t="n">
        <v>0</v>
      </c>
      <c r="D784" s="16" t="s">
        <v>39</v>
      </c>
      <c r="E784" s="16" t="n">
        <v>0</v>
      </c>
      <c r="F784" s="16" t="n">
        <v>0</v>
      </c>
      <c r="G784" s="16" t="s">
        <v>647</v>
      </c>
    </row>
    <row r="785" customFormat="false" ht="15" hidden="false" customHeight="false" outlineLevel="0" collapsed="false">
      <c r="A785" s="16" t="s">
        <v>373</v>
      </c>
      <c r="B785" s="16" t="s">
        <v>39</v>
      </c>
      <c r="C785" s="16" t="n">
        <v>0</v>
      </c>
      <c r="D785" s="16" t="s">
        <v>43</v>
      </c>
      <c r="E785" s="16" t="n">
        <v>0</v>
      </c>
      <c r="F785" s="16" t="n">
        <v>0</v>
      </c>
      <c r="G785" s="16" t="s">
        <v>647</v>
      </c>
    </row>
    <row r="786" customFormat="false" ht="15" hidden="false" customHeight="false" outlineLevel="0" collapsed="false">
      <c r="A786" s="16" t="s">
        <v>373</v>
      </c>
      <c r="B786" s="16" t="s">
        <v>43</v>
      </c>
      <c r="C786" s="16" t="n">
        <v>0</v>
      </c>
      <c r="D786" s="16" t="s">
        <v>47</v>
      </c>
      <c r="E786" s="16" t="n">
        <v>0</v>
      </c>
      <c r="F786" s="16" t="n">
        <v>0</v>
      </c>
      <c r="G786" s="16" t="s">
        <v>647</v>
      </c>
    </row>
    <row r="787" customFormat="false" ht="15" hidden="false" customHeight="false" outlineLevel="0" collapsed="false">
      <c r="A787" s="16" t="s">
        <v>373</v>
      </c>
      <c r="B787" s="16" t="s">
        <v>47</v>
      </c>
      <c r="C787" s="16" t="n">
        <v>0</v>
      </c>
      <c r="D787" s="16" t="s">
        <v>51</v>
      </c>
      <c r="E787" s="16" t="n">
        <v>0</v>
      </c>
      <c r="F787" s="16" t="n">
        <v>0</v>
      </c>
      <c r="G787" s="16" t="s">
        <v>647</v>
      </c>
    </row>
    <row r="788" customFormat="false" ht="15" hidden="false" customHeight="false" outlineLevel="0" collapsed="false">
      <c r="A788" s="16" t="s">
        <v>373</v>
      </c>
      <c r="B788" s="16" t="s">
        <v>51</v>
      </c>
      <c r="C788" s="16" t="n">
        <v>0</v>
      </c>
      <c r="D788" s="16" t="s">
        <v>55</v>
      </c>
      <c r="E788" s="16" t="n">
        <v>0</v>
      </c>
      <c r="F788" s="16" t="n">
        <v>0</v>
      </c>
      <c r="G788" s="16" t="s">
        <v>647</v>
      </c>
    </row>
    <row r="789" customFormat="false" ht="15" hidden="false" customHeight="false" outlineLevel="0" collapsed="false">
      <c r="A789" s="16" t="s">
        <v>373</v>
      </c>
      <c r="B789" s="16" t="s">
        <v>55</v>
      </c>
      <c r="C789" s="16" t="n">
        <v>0</v>
      </c>
      <c r="D789" s="16" t="s">
        <v>59</v>
      </c>
      <c r="E789" s="16" t="n">
        <v>0</v>
      </c>
      <c r="F789" s="16" t="n">
        <v>0</v>
      </c>
      <c r="G789" s="16" t="s">
        <v>647</v>
      </c>
    </row>
    <row r="790" customFormat="false" ht="15" hidden="false" customHeight="false" outlineLevel="0" collapsed="false">
      <c r="A790" s="16" t="s">
        <v>373</v>
      </c>
      <c r="B790" s="16" t="s">
        <v>59</v>
      </c>
      <c r="C790" s="16" t="n">
        <v>0</v>
      </c>
      <c r="D790" s="16" t="s">
        <v>63</v>
      </c>
      <c r="E790" s="16" t="n">
        <v>0</v>
      </c>
      <c r="F790" s="16" t="n">
        <v>0</v>
      </c>
      <c r="G790" s="16" t="s">
        <v>647</v>
      </c>
    </row>
    <row r="791" customFormat="false" ht="15" hidden="false" customHeight="false" outlineLevel="0" collapsed="false">
      <c r="A791" s="16" t="s">
        <v>373</v>
      </c>
      <c r="B791" s="16" t="s">
        <v>63</v>
      </c>
      <c r="C791" s="16" t="n">
        <v>0</v>
      </c>
      <c r="D791" s="16" t="s">
        <v>67</v>
      </c>
      <c r="E791" s="16" t="n">
        <v>0</v>
      </c>
      <c r="F791" s="16" t="n">
        <v>0</v>
      </c>
      <c r="G791" s="16" t="s">
        <v>647</v>
      </c>
    </row>
    <row r="792" customFormat="false" ht="15" hidden="false" customHeight="false" outlineLevel="0" collapsed="false">
      <c r="A792" s="16" t="s">
        <v>373</v>
      </c>
      <c r="B792" s="16" t="s">
        <v>67</v>
      </c>
      <c r="C792" s="16" t="n">
        <v>0</v>
      </c>
      <c r="D792" s="16" t="s">
        <v>71</v>
      </c>
      <c r="E792" s="16" t="n">
        <v>0</v>
      </c>
      <c r="F792" s="16" t="n">
        <v>0</v>
      </c>
      <c r="G792" s="16" t="s">
        <v>647</v>
      </c>
    </row>
    <row r="793" customFormat="false" ht="15" hidden="false" customHeight="false" outlineLevel="0" collapsed="false">
      <c r="A793" s="16" t="s">
        <v>373</v>
      </c>
      <c r="B793" s="16" t="s">
        <v>71</v>
      </c>
      <c r="C793" s="16" t="n">
        <v>0</v>
      </c>
      <c r="D793" s="16" t="s">
        <v>75</v>
      </c>
      <c r="E793" s="16" t="n">
        <v>0</v>
      </c>
      <c r="F793" s="16" t="n">
        <v>0</v>
      </c>
      <c r="G793" s="16" t="s">
        <v>647</v>
      </c>
    </row>
    <row r="794" customFormat="false" ht="15" hidden="false" customHeight="false" outlineLevel="0" collapsed="false">
      <c r="A794" s="16" t="s">
        <v>373</v>
      </c>
      <c r="B794" s="16" t="s">
        <v>75</v>
      </c>
      <c r="C794" s="16" t="n">
        <v>0</v>
      </c>
      <c r="D794" s="16" t="s">
        <v>79</v>
      </c>
      <c r="E794" s="16" t="n">
        <v>0</v>
      </c>
      <c r="F794" s="16" t="n">
        <v>0</v>
      </c>
      <c r="G794" s="16" t="s">
        <v>647</v>
      </c>
    </row>
    <row r="795" customFormat="false" ht="15" hidden="false" customHeight="false" outlineLevel="0" collapsed="false">
      <c r="A795" s="16" t="s">
        <v>373</v>
      </c>
      <c r="B795" s="16" t="s">
        <v>79</v>
      </c>
      <c r="C795" s="16" t="n">
        <v>0</v>
      </c>
      <c r="D795" s="16" t="s">
        <v>97</v>
      </c>
      <c r="E795" s="16" t="n">
        <v>0</v>
      </c>
      <c r="F795" s="16" t="n">
        <v>0</v>
      </c>
      <c r="G795" s="16" t="s">
        <v>647</v>
      </c>
    </row>
    <row r="796" customFormat="false" ht="15" hidden="false" customHeight="false" outlineLevel="0" collapsed="false">
      <c r="A796" s="16" t="s">
        <v>373</v>
      </c>
      <c r="B796" s="16" t="s">
        <v>97</v>
      </c>
      <c r="C796" s="16" t="n">
        <v>0</v>
      </c>
      <c r="D796" s="16" t="s">
        <v>100</v>
      </c>
      <c r="E796" s="16" t="n">
        <v>0</v>
      </c>
      <c r="F796" s="16" t="n">
        <v>0</v>
      </c>
      <c r="G796" s="16" t="s">
        <v>647</v>
      </c>
    </row>
    <row r="797" customFormat="false" ht="15" hidden="false" customHeight="false" outlineLevel="0" collapsed="false">
      <c r="A797" s="16" t="s">
        <v>373</v>
      </c>
      <c r="B797" s="16" t="s">
        <v>100</v>
      </c>
      <c r="C797" s="16" t="n">
        <v>0</v>
      </c>
      <c r="D797" s="16" t="s">
        <v>118</v>
      </c>
      <c r="E797" s="16" t="n">
        <v>0</v>
      </c>
      <c r="F797" s="16" t="n">
        <v>0</v>
      </c>
      <c r="G797" s="16" t="s">
        <v>647</v>
      </c>
    </row>
    <row r="798" customFormat="false" ht="15" hidden="false" customHeight="false" outlineLevel="0" collapsed="false">
      <c r="A798" s="16" t="s">
        <v>373</v>
      </c>
      <c r="B798" s="16" t="s">
        <v>118</v>
      </c>
      <c r="C798" s="16" t="n">
        <v>0</v>
      </c>
      <c r="D798" s="16" t="s">
        <v>122</v>
      </c>
      <c r="E798" s="16" t="n">
        <v>0</v>
      </c>
      <c r="F798" s="16" t="n">
        <v>0</v>
      </c>
      <c r="G798" s="16" t="s">
        <v>647</v>
      </c>
    </row>
    <row r="799" customFormat="false" ht="15" hidden="false" customHeight="false" outlineLevel="0" collapsed="false">
      <c r="A799" s="16" t="s">
        <v>373</v>
      </c>
      <c r="B799" s="16" t="s">
        <v>122</v>
      </c>
      <c r="C799" s="16" t="n">
        <v>0</v>
      </c>
      <c r="D799" s="16" t="s">
        <v>126</v>
      </c>
      <c r="E799" s="16" t="n">
        <v>0</v>
      </c>
      <c r="F799" s="16" t="n">
        <v>0</v>
      </c>
      <c r="G799" s="16" t="s">
        <v>647</v>
      </c>
    </row>
    <row r="800" customFormat="false" ht="15" hidden="false" customHeight="false" outlineLevel="0" collapsed="false">
      <c r="A800" s="16" t="s">
        <v>373</v>
      </c>
      <c r="B800" s="16" t="s">
        <v>126</v>
      </c>
      <c r="C800" s="16" t="n">
        <v>0</v>
      </c>
      <c r="D800" s="16" t="s">
        <v>129</v>
      </c>
      <c r="E800" s="16" t="n">
        <v>0</v>
      </c>
      <c r="F800" s="16" t="n">
        <v>0</v>
      </c>
      <c r="G800" s="16" t="s">
        <v>647</v>
      </c>
    </row>
    <row r="801" customFormat="false" ht="15" hidden="false" customHeight="false" outlineLevel="0" collapsed="false">
      <c r="A801" s="16" t="s">
        <v>373</v>
      </c>
      <c r="B801" s="16" t="s">
        <v>129</v>
      </c>
      <c r="C801" s="16" t="n">
        <v>0</v>
      </c>
      <c r="D801" s="16" t="s">
        <v>140</v>
      </c>
      <c r="E801" s="16" t="n">
        <v>0</v>
      </c>
      <c r="F801" s="16" t="n">
        <v>0</v>
      </c>
      <c r="G801" s="16" t="s">
        <v>647</v>
      </c>
    </row>
    <row r="802" customFormat="false" ht="15" hidden="false" customHeight="false" outlineLevel="0" collapsed="false">
      <c r="A802" s="16" t="s">
        <v>373</v>
      </c>
      <c r="B802" s="16" t="s">
        <v>140</v>
      </c>
      <c r="C802" s="16" t="n">
        <v>0</v>
      </c>
      <c r="D802" s="16" t="s">
        <v>144</v>
      </c>
      <c r="E802" s="16" t="n">
        <v>0</v>
      </c>
      <c r="F802" s="16" t="n">
        <v>0</v>
      </c>
      <c r="G802" s="16" t="s">
        <v>647</v>
      </c>
    </row>
    <row r="803" customFormat="false" ht="15" hidden="false" customHeight="false" outlineLevel="0" collapsed="false">
      <c r="A803" s="16" t="s">
        <v>373</v>
      </c>
      <c r="B803" s="16" t="s">
        <v>144</v>
      </c>
      <c r="C803" s="16" t="n">
        <v>0</v>
      </c>
      <c r="D803" s="16" t="s">
        <v>148</v>
      </c>
      <c r="E803" s="16" t="n">
        <v>0</v>
      </c>
      <c r="F803" s="16" t="n">
        <v>0</v>
      </c>
      <c r="G803" s="16" t="s">
        <v>647</v>
      </c>
    </row>
    <row r="804" customFormat="false" ht="15" hidden="false" customHeight="false" outlineLevel="0" collapsed="false">
      <c r="A804" s="16" t="s">
        <v>373</v>
      </c>
      <c r="B804" s="16" t="s">
        <v>148</v>
      </c>
      <c r="C804" s="16" t="n">
        <v>0</v>
      </c>
      <c r="D804" s="16" t="s">
        <v>151</v>
      </c>
      <c r="E804" s="16" t="n">
        <v>0</v>
      </c>
      <c r="F804" s="16" t="n">
        <v>0</v>
      </c>
      <c r="G804" s="16" t="s">
        <v>647</v>
      </c>
    </row>
    <row r="805" customFormat="false" ht="15" hidden="false" customHeight="false" outlineLevel="0" collapsed="false">
      <c r="A805" s="16" t="s">
        <v>373</v>
      </c>
      <c r="B805" s="16" t="s">
        <v>151</v>
      </c>
      <c r="C805" s="16" t="n">
        <v>0</v>
      </c>
      <c r="D805" s="16" t="s">
        <v>155</v>
      </c>
      <c r="E805" s="16" t="n">
        <v>0</v>
      </c>
      <c r="F805" s="16" t="n">
        <v>0</v>
      </c>
      <c r="G805" s="16" t="s">
        <v>647</v>
      </c>
    </row>
    <row r="806" customFormat="false" ht="15" hidden="false" customHeight="false" outlineLevel="0" collapsed="false">
      <c r="A806" s="16" t="s">
        <v>373</v>
      </c>
      <c r="B806" s="16" t="s">
        <v>155</v>
      </c>
      <c r="C806" s="16" t="n">
        <v>0</v>
      </c>
      <c r="D806" s="16" t="s">
        <v>159</v>
      </c>
      <c r="E806" s="16" t="n">
        <v>0</v>
      </c>
      <c r="F806" s="16" t="n">
        <v>0</v>
      </c>
      <c r="G806" s="16" t="s">
        <v>647</v>
      </c>
    </row>
    <row r="807" customFormat="false" ht="15" hidden="false" customHeight="false" outlineLevel="0" collapsed="false">
      <c r="A807" s="16" t="s">
        <v>373</v>
      </c>
      <c r="B807" s="16" t="s">
        <v>159</v>
      </c>
      <c r="C807" s="16" t="n">
        <v>0</v>
      </c>
      <c r="D807" s="16" t="s">
        <v>162</v>
      </c>
      <c r="E807" s="16" t="n">
        <v>0</v>
      </c>
      <c r="F807" s="16" t="n">
        <v>0</v>
      </c>
      <c r="G807" s="16" t="s">
        <v>647</v>
      </c>
    </row>
    <row r="808" customFormat="false" ht="15" hidden="false" customHeight="false" outlineLevel="0" collapsed="false">
      <c r="A808" s="16" t="s">
        <v>373</v>
      </c>
      <c r="B808" s="16" t="s">
        <v>162</v>
      </c>
      <c r="C808" s="16" t="n">
        <v>0</v>
      </c>
      <c r="D808" s="16" t="s">
        <v>166</v>
      </c>
      <c r="E808" s="16" t="n">
        <v>0</v>
      </c>
      <c r="F808" s="16" t="n">
        <v>0</v>
      </c>
      <c r="G808" s="16" t="s">
        <v>647</v>
      </c>
    </row>
    <row r="809" customFormat="false" ht="15" hidden="false" customHeight="false" outlineLevel="0" collapsed="false">
      <c r="A809" s="16" t="s">
        <v>373</v>
      </c>
      <c r="B809" s="16" t="s">
        <v>166</v>
      </c>
      <c r="C809" s="16" t="n">
        <v>0</v>
      </c>
      <c r="D809" s="16" t="s">
        <v>168</v>
      </c>
      <c r="E809" s="16" t="n">
        <v>0</v>
      </c>
      <c r="F809" s="16" t="n">
        <v>0</v>
      </c>
      <c r="G809" s="16" t="s">
        <v>647</v>
      </c>
    </row>
    <row r="810" customFormat="false" ht="15" hidden="false" customHeight="false" outlineLevel="0" collapsed="false">
      <c r="A810" s="16" t="s">
        <v>373</v>
      </c>
      <c r="B810" s="16" t="s">
        <v>168</v>
      </c>
      <c r="C810" s="16" t="n">
        <v>0</v>
      </c>
      <c r="D810" s="16" t="s">
        <v>171</v>
      </c>
      <c r="E810" s="16" t="n">
        <v>0</v>
      </c>
      <c r="F810" s="16" t="n">
        <v>0</v>
      </c>
      <c r="G810" s="16" t="s">
        <v>647</v>
      </c>
    </row>
    <row r="811" customFormat="false" ht="15" hidden="false" customHeight="false" outlineLevel="0" collapsed="false">
      <c r="A811" s="16" t="s">
        <v>373</v>
      </c>
      <c r="B811" s="16" t="s">
        <v>171</v>
      </c>
      <c r="C811" s="16" t="n">
        <v>0</v>
      </c>
      <c r="D811" s="16" t="s">
        <v>174</v>
      </c>
      <c r="E811" s="16" t="n">
        <v>0</v>
      </c>
      <c r="F811" s="16" t="n">
        <v>0</v>
      </c>
      <c r="G811" s="16" t="s">
        <v>647</v>
      </c>
    </row>
    <row r="812" customFormat="false" ht="15" hidden="false" customHeight="false" outlineLevel="0" collapsed="false">
      <c r="A812" s="16" t="s">
        <v>373</v>
      </c>
      <c r="B812" s="16" t="s">
        <v>174</v>
      </c>
      <c r="C812" s="16" t="n">
        <v>0</v>
      </c>
      <c r="D812" s="16" t="s">
        <v>178</v>
      </c>
      <c r="E812" s="16" t="n">
        <v>0</v>
      </c>
      <c r="F812" s="16" t="n">
        <v>0</v>
      </c>
      <c r="G812" s="16" t="s">
        <v>647</v>
      </c>
    </row>
    <row r="813" customFormat="false" ht="15" hidden="false" customHeight="false" outlineLevel="0" collapsed="false">
      <c r="A813" s="16" t="s">
        <v>373</v>
      </c>
      <c r="B813" s="16" t="s">
        <v>178</v>
      </c>
      <c r="C813" s="16" t="n">
        <v>0</v>
      </c>
      <c r="D813" s="16" t="s">
        <v>181</v>
      </c>
      <c r="E813" s="16" t="n">
        <v>0</v>
      </c>
      <c r="F813" s="16" t="n">
        <v>0</v>
      </c>
      <c r="G813" s="16" t="s">
        <v>647</v>
      </c>
    </row>
    <row r="814" customFormat="false" ht="15" hidden="false" customHeight="false" outlineLevel="0" collapsed="false">
      <c r="A814" s="16" t="s">
        <v>373</v>
      </c>
      <c r="B814" s="16" t="s">
        <v>181</v>
      </c>
      <c r="C814" s="16" t="n">
        <v>0</v>
      </c>
      <c r="D814" s="16" t="s">
        <v>187</v>
      </c>
      <c r="E814" s="16" t="n">
        <v>0</v>
      </c>
      <c r="F814" s="16" t="n">
        <v>0</v>
      </c>
      <c r="G814" s="16" t="s">
        <v>647</v>
      </c>
    </row>
    <row r="815" customFormat="false" ht="15" hidden="false" customHeight="false" outlineLevel="0" collapsed="false">
      <c r="A815" s="16" t="s">
        <v>373</v>
      </c>
      <c r="B815" s="16" t="s">
        <v>187</v>
      </c>
      <c r="C815" s="16" t="n">
        <v>0</v>
      </c>
      <c r="D815" s="16" t="s">
        <v>189</v>
      </c>
      <c r="E815" s="16" t="n">
        <v>0</v>
      </c>
      <c r="F815" s="16" t="n">
        <v>0</v>
      </c>
      <c r="G815" s="16" t="s">
        <v>647</v>
      </c>
    </row>
    <row r="816" customFormat="false" ht="15" hidden="false" customHeight="false" outlineLevel="0" collapsed="false">
      <c r="A816" s="16" t="s">
        <v>373</v>
      </c>
      <c r="B816" s="16" t="s">
        <v>189</v>
      </c>
      <c r="C816" s="16" t="n">
        <v>0</v>
      </c>
      <c r="D816" s="16" t="s">
        <v>192</v>
      </c>
      <c r="E816" s="16" t="n">
        <v>0</v>
      </c>
      <c r="F816" s="16" t="n">
        <v>0</v>
      </c>
      <c r="G816" s="16" t="s">
        <v>647</v>
      </c>
    </row>
    <row r="817" customFormat="false" ht="15" hidden="false" customHeight="false" outlineLevel="0" collapsed="false">
      <c r="A817" s="16" t="s">
        <v>373</v>
      </c>
      <c r="B817" s="16" t="s">
        <v>192</v>
      </c>
      <c r="C817" s="16" t="n">
        <v>0</v>
      </c>
      <c r="D817" s="16" t="s">
        <v>199</v>
      </c>
      <c r="E817" s="16" t="n">
        <v>0</v>
      </c>
      <c r="F817" s="16" t="n">
        <v>0</v>
      </c>
      <c r="G817" s="16" t="s">
        <v>647</v>
      </c>
    </row>
    <row r="818" customFormat="false" ht="15" hidden="false" customHeight="false" outlineLevel="0" collapsed="false">
      <c r="A818" s="16" t="s">
        <v>373</v>
      </c>
      <c r="B818" s="16" t="s">
        <v>199</v>
      </c>
      <c r="C818" s="16" t="n">
        <v>0</v>
      </c>
      <c r="D818" s="16" t="s">
        <v>205</v>
      </c>
      <c r="E818" s="16" t="n">
        <v>0</v>
      </c>
      <c r="F818" s="16" t="n">
        <v>0</v>
      </c>
      <c r="G818" s="16" t="s">
        <v>647</v>
      </c>
    </row>
    <row r="819" customFormat="false" ht="15" hidden="false" customHeight="false" outlineLevel="0" collapsed="false">
      <c r="A819" s="16" t="s">
        <v>373</v>
      </c>
      <c r="B819" s="16" t="s">
        <v>205</v>
      </c>
      <c r="C819" s="16" t="n">
        <v>0</v>
      </c>
      <c r="D819" s="16" t="s">
        <v>209</v>
      </c>
      <c r="E819" s="16" t="n">
        <v>0</v>
      </c>
      <c r="F819" s="16" t="n">
        <v>0</v>
      </c>
      <c r="G819" s="16" t="s">
        <v>647</v>
      </c>
    </row>
    <row r="820" customFormat="false" ht="15" hidden="false" customHeight="false" outlineLevel="0" collapsed="false">
      <c r="A820" s="16" t="s">
        <v>373</v>
      </c>
      <c r="B820" s="16" t="s">
        <v>209</v>
      </c>
      <c r="C820" s="16" t="n">
        <v>0</v>
      </c>
      <c r="D820" s="16" t="s">
        <v>213</v>
      </c>
      <c r="E820" s="16" t="n">
        <v>0</v>
      </c>
      <c r="F820" s="16" t="n">
        <v>0</v>
      </c>
      <c r="G820" s="16" t="s">
        <v>647</v>
      </c>
    </row>
    <row r="821" customFormat="false" ht="15" hidden="false" customHeight="false" outlineLevel="0" collapsed="false">
      <c r="A821" s="16" t="s">
        <v>373</v>
      </c>
      <c r="B821" s="16" t="s">
        <v>213</v>
      </c>
      <c r="C821" s="16" t="n">
        <v>0</v>
      </c>
      <c r="D821" s="16" t="s">
        <v>216</v>
      </c>
      <c r="E821" s="16" t="n">
        <v>0</v>
      </c>
      <c r="F821" s="16" t="n">
        <v>0</v>
      </c>
      <c r="G821" s="16" t="s">
        <v>647</v>
      </c>
    </row>
    <row r="822" customFormat="false" ht="15" hidden="false" customHeight="false" outlineLevel="0" collapsed="false">
      <c r="A822" s="16" t="s">
        <v>373</v>
      </c>
      <c r="B822" s="16" t="s">
        <v>216</v>
      </c>
      <c r="C822" s="16" t="n">
        <v>0</v>
      </c>
      <c r="D822" s="16" t="s">
        <v>219</v>
      </c>
      <c r="E822" s="16" t="n">
        <v>0</v>
      </c>
      <c r="F822" s="16" t="n">
        <v>0</v>
      </c>
      <c r="G822" s="16" t="s">
        <v>647</v>
      </c>
    </row>
    <row r="823" customFormat="false" ht="15" hidden="false" customHeight="false" outlineLevel="0" collapsed="false">
      <c r="A823" s="16" t="s">
        <v>373</v>
      </c>
      <c r="B823" s="16" t="s">
        <v>219</v>
      </c>
      <c r="C823" s="16" t="n">
        <v>0</v>
      </c>
      <c r="D823" s="16" t="s">
        <v>222</v>
      </c>
      <c r="E823" s="16" t="n">
        <v>0</v>
      </c>
      <c r="F823" s="16" t="n">
        <v>0</v>
      </c>
      <c r="G823" s="16" t="s">
        <v>647</v>
      </c>
    </row>
    <row r="824" customFormat="false" ht="15" hidden="false" customHeight="false" outlineLevel="0" collapsed="false">
      <c r="A824" s="16" t="s">
        <v>373</v>
      </c>
      <c r="B824" s="16" t="s">
        <v>222</v>
      </c>
      <c r="C824" s="16" t="n">
        <v>0</v>
      </c>
      <c r="D824" s="16" t="s">
        <v>225</v>
      </c>
      <c r="E824" s="16" t="n">
        <v>0</v>
      </c>
      <c r="F824" s="16" t="n">
        <v>0</v>
      </c>
      <c r="G824" s="16" t="s">
        <v>647</v>
      </c>
    </row>
    <row r="825" customFormat="false" ht="15" hidden="false" customHeight="false" outlineLevel="0" collapsed="false">
      <c r="A825" s="16" t="s">
        <v>373</v>
      </c>
      <c r="B825" s="16" t="s">
        <v>225</v>
      </c>
      <c r="C825" s="16" t="n">
        <v>0</v>
      </c>
      <c r="D825" s="16" t="s">
        <v>228</v>
      </c>
      <c r="E825" s="16" t="n">
        <v>0</v>
      </c>
      <c r="F825" s="16" t="n">
        <v>0</v>
      </c>
      <c r="G825" s="16" t="s">
        <v>647</v>
      </c>
    </row>
    <row r="826" customFormat="false" ht="15" hidden="false" customHeight="false" outlineLevel="0" collapsed="false">
      <c r="A826" s="16" t="s">
        <v>373</v>
      </c>
      <c r="B826" s="16" t="s">
        <v>228</v>
      </c>
      <c r="C826" s="16" t="n">
        <v>0</v>
      </c>
      <c r="D826" s="16" t="s">
        <v>230</v>
      </c>
      <c r="E826" s="16" t="n">
        <v>0</v>
      </c>
      <c r="F826" s="16" t="n">
        <v>0</v>
      </c>
      <c r="G826" s="16" t="s">
        <v>647</v>
      </c>
    </row>
    <row r="827" customFormat="false" ht="15" hidden="false" customHeight="false" outlineLevel="0" collapsed="false">
      <c r="A827" s="16" t="s">
        <v>373</v>
      </c>
      <c r="B827" s="16" t="s">
        <v>230</v>
      </c>
      <c r="C827" s="16" t="n">
        <v>0</v>
      </c>
      <c r="D827" s="16" t="s">
        <v>233</v>
      </c>
      <c r="E827" s="16" t="n">
        <v>0</v>
      </c>
      <c r="F827" s="16" t="n">
        <v>0</v>
      </c>
      <c r="G827" s="16" t="s">
        <v>647</v>
      </c>
    </row>
    <row r="828" customFormat="false" ht="15" hidden="false" customHeight="false" outlineLevel="0" collapsed="false">
      <c r="A828" s="16" t="s">
        <v>373</v>
      </c>
      <c r="B828" s="16" t="s">
        <v>233</v>
      </c>
      <c r="C828" s="16" t="n">
        <v>0</v>
      </c>
      <c r="D828" s="16" t="s">
        <v>236</v>
      </c>
      <c r="E828" s="16" t="n">
        <v>0</v>
      </c>
      <c r="F828" s="16" t="n">
        <v>0</v>
      </c>
      <c r="G828" s="16" t="s">
        <v>647</v>
      </c>
    </row>
    <row r="829" customFormat="false" ht="15" hidden="false" customHeight="false" outlineLevel="0" collapsed="false">
      <c r="A829" s="16" t="s">
        <v>373</v>
      </c>
      <c r="B829" s="16" t="s">
        <v>236</v>
      </c>
      <c r="C829" s="16" t="n">
        <v>0</v>
      </c>
      <c r="D829" s="16" t="s">
        <v>238</v>
      </c>
      <c r="E829" s="16" t="n">
        <v>0</v>
      </c>
      <c r="F829" s="16" t="n">
        <v>0</v>
      </c>
      <c r="G829" s="16" t="s">
        <v>647</v>
      </c>
    </row>
    <row r="830" customFormat="false" ht="15" hidden="false" customHeight="false" outlineLevel="0" collapsed="false">
      <c r="A830" s="16" t="s">
        <v>373</v>
      </c>
      <c r="B830" s="16" t="s">
        <v>238</v>
      </c>
      <c r="C830" s="16" t="n">
        <v>0</v>
      </c>
      <c r="D830" s="16" t="s">
        <v>242</v>
      </c>
      <c r="E830" s="16" t="n">
        <v>0</v>
      </c>
      <c r="F830" s="16" t="n">
        <v>0</v>
      </c>
      <c r="G830" s="16" t="s">
        <v>647</v>
      </c>
    </row>
    <row r="831" customFormat="false" ht="15" hidden="false" customHeight="false" outlineLevel="0" collapsed="false">
      <c r="A831" s="16" t="s">
        <v>373</v>
      </c>
      <c r="B831" s="16" t="s">
        <v>242</v>
      </c>
      <c r="C831" s="16" t="n">
        <v>0</v>
      </c>
      <c r="D831" s="16" t="s">
        <v>245</v>
      </c>
      <c r="E831" s="16" t="n">
        <v>0</v>
      </c>
      <c r="F831" s="16" t="n">
        <v>0</v>
      </c>
      <c r="G831" s="16" t="s">
        <v>647</v>
      </c>
    </row>
    <row r="832" customFormat="false" ht="15" hidden="false" customHeight="false" outlineLevel="0" collapsed="false">
      <c r="A832" s="16" t="s">
        <v>373</v>
      </c>
      <c r="B832" s="16" t="s">
        <v>245</v>
      </c>
      <c r="C832" s="16" t="n">
        <v>0</v>
      </c>
      <c r="D832" s="16" t="s">
        <v>248</v>
      </c>
      <c r="E832" s="16" t="n">
        <v>0</v>
      </c>
      <c r="F832" s="16" t="n">
        <v>0</v>
      </c>
      <c r="G832" s="16" t="s">
        <v>647</v>
      </c>
    </row>
    <row r="833" customFormat="false" ht="15" hidden="false" customHeight="false" outlineLevel="0" collapsed="false">
      <c r="A833" s="16" t="s">
        <v>373</v>
      </c>
      <c r="B833" s="16" t="s">
        <v>248</v>
      </c>
      <c r="C833" s="16" t="n">
        <v>0</v>
      </c>
      <c r="D833" s="16" t="s">
        <v>251</v>
      </c>
      <c r="E833" s="16" t="n">
        <v>0</v>
      </c>
      <c r="F833" s="16" t="n">
        <v>0</v>
      </c>
      <c r="G833" s="16" t="s">
        <v>647</v>
      </c>
    </row>
    <row r="834" customFormat="false" ht="15" hidden="false" customHeight="false" outlineLevel="0" collapsed="false">
      <c r="A834" s="16" t="s">
        <v>373</v>
      </c>
      <c r="B834" s="16" t="s">
        <v>251</v>
      </c>
      <c r="C834" s="16" t="n">
        <v>0</v>
      </c>
      <c r="D834" s="16" t="s">
        <v>254</v>
      </c>
      <c r="E834" s="16" t="n">
        <v>0</v>
      </c>
      <c r="F834" s="16" t="n">
        <v>0</v>
      </c>
      <c r="G834" s="16" t="s">
        <v>647</v>
      </c>
    </row>
    <row r="835" customFormat="false" ht="15" hidden="false" customHeight="false" outlineLevel="0" collapsed="false">
      <c r="A835" s="16" t="s">
        <v>373</v>
      </c>
      <c r="B835" s="16" t="s">
        <v>254</v>
      </c>
      <c r="C835" s="16" t="n">
        <v>0</v>
      </c>
      <c r="D835" s="16" t="s">
        <v>257</v>
      </c>
      <c r="E835" s="16" t="n">
        <v>0</v>
      </c>
      <c r="F835" s="16" t="n">
        <v>0</v>
      </c>
      <c r="G835" s="16" t="s">
        <v>647</v>
      </c>
    </row>
    <row r="836" customFormat="false" ht="15" hidden="false" customHeight="false" outlineLevel="0" collapsed="false">
      <c r="A836" s="16" t="s">
        <v>373</v>
      </c>
      <c r="B836" s="16" t="s">
        <v>257</v>
      </c>
      <c r="C836" s="16" t="n">
        <v>0</v>
      </c>
      <c r="D836" s="16" t="s">
        <v>260</v>
      </c>
      <c r="E836" s="16" t="n">
        <v>0</v>
      </c>
      <c r="F836" s="16" t="n">
        <v>0</v>
      </c>
      <c r="G836" s="16" t="s">
        <v>647</v>
      </c>
    </row>
    <row r="837" customFormat="false" ht="15" hidden="false" customHeight="false" outlineLevel="0" collapsed="false">
      <c r="A837" s="16" t="s">
        <v>373</v>
      </c>
      <c r="B837" s="16" t="s">
        <v>260</v>
      </c>
      <c r="C837" s="16" t="n">
        <v>0</v>
      </c>
      <c r="D837" s="16" t="s">
        <v>263</v>
      </c>
      <c r="E837" s="16" t="n">
        <v>0</v>
      </c>
      <c r="F837" s="16" t="n">
        <v>0</v>
      </c>
      <c r="G837" s="16" t="s">
        <v>647</v>
      </c>
    </row>
    <row r="838" customFormat="false" ht="15" hidden="false" customHeight="false" outlineLevel="0" collapsed="false">
      <c r="A838" s="16" t="s">
        <v>373</v>
      </c>
      <c r="B838" s="16" t="s">
        <v>263</v>
      </c>
      <c r="C838" s="16" t="n">
        <v>0</v>
      </c>
      <c r="D838" s="16" t="s">
        <v>279</v>
      </c>
      <c r="E838" s="16" t="n">
        <v>0</v>
      </c>
      <c r="F838" s="16" t="n">
        <v>0</v>
      </c>
      <c r="G838" s="16" t="s">
        <v>647</v>
      </c>
    </row>
    <row r="839" customFormat="false" ht="15" hidden="false" customHeight="false" outlineLevel="0" collapsed="false">
      <c r="A839" s="16" t="s">
        <v>373</v>
      </c>
      <c r="B839" s="16" t="s">
        <v>279</v>
      </c>
      <c r="C839" s="16" t="n">
        <v>0</v>
      </c>
      <c r="D839" s="16" t="s">
        <v>304</v>
      </c>
      <c r="E839" s="16" t="n">
        <v>0</v>
      </c>
      <c r="F839" s="16" t="n">
        <v>0</v>
      </c>
      <c r="G839" s="16" t="s">
        <v>647</v>
      </c>
    </row>
    <row r="840" customFormat="false" ht="15" hidden="false" customHeight="false" outlineLevel="0" collapsed="false">
      <c r="A840" s="16" t="s">
        <v>373</v>
      </c>
      <c r="B840" s="16" t="s">
        <v>304</v>
      </c>
      <c r="C840" s="16" t="n">
        <v>0</v>
      </c>
      <c r="D840" s="16" t="s">
        <v>307</v>
      </c>
      <c r="E840" s="16" t="n">
        <v>0</v>
      </c>
      <c r="F840" s="16" t="n">
        <v>0</v>
      </c>
      <c r="G840" s="16" t="s">
        <v>647</v>
      </c>
    </row>
    <row r="841" customFormat="false" ht="15" hidden="false" customHeight="false" outlineLevel="0" collapsed="false">
      <c r="A841" s="16" t="s">
        <v>373</v>
      </c>
      <c r="B841" s="16" t="s">
        <v>307</v>
      </c>
      <c r="C841" s="16" t="n">
        <v>0</v>
      </c>
      <c r="D841" s="16" t="s">
        <v>310</v>
      </c>
      <c r="E841" s="16" t="n">
        <v>0</v>
      </c>
      <c r="F841" s="16" t="n">
        <v>0</v>
      </c>
      <c r="G841" s="16" t="s">
        <v>647</v>
      </c>
    </row>
    <row r="842" customFormat="false" ht="15" hidden="false" customHeight="false" outlineLevel="0" collapsed="false">
      <c r="A842" s="16" t="s">
        <v>373</v>
      </c>
      <c r="B842" s="16" t="s">
        <v>310</v>
      </c>
      <c r="C842" s="16" t="n">
        <v>0</v>
      </c>
      <c r="D842" s="16" t="s">
        <v>317</v>
      </c>
      <c r="E842" s="16" t="n">
        <v>0</v>
      </c>
      <c r="F842" s="16" t="n">
        <v>0</v>
      </c>
      <c r="G842" s="16" t="s">
        <v>647</v>
      </c>
    </row>
    <row r="843" customFormat="false" ht="15" hidden="false" customHeight="false" outlineLevel="0" collapsed="false">
      <c r="A843" s="16" t="s">
        <v>373</v>
      </c>
      <c r="B843" s="16" t="s">
        <v>317</v>
      </c>
      <c r="C843" s="16" t="n">
        <v>0</v>
      </c>
      <c r="D843" s="16" t="s">
        <v>320</v>
      </c>
      <c r="E843" s="16" t="n">
        <v>0</v>
      </c>
      <c r="F843" s="16" t="n">
        <v>0</v>
      </c>
      <c r="G843" s="16" t="s">
        <v>647</v>
      </c>
    </row>
    <row r="844" customFormat="false" ht="15" hidden="false" customHeight="false" outlineLevel="0" collapsed="false">
      <c r="A844" s="16" t="s">
        <v>373</v>
      </c>
      <c r="B844" s="16" t="s">
        <v>320</v>
      </c>
      <c r="C844" s="16" t="n">
        <v>0</v>
      </c>
      <c r="D844" s="16" t="s">
        <v>322</v>
      </c>
      <c r="E844" s="16" t="n">
        <v>0</v>
      </c>
      <c r="F844" s="16" t="n">
        <v>0</v>
      </c>
      <c r="G844" s="16" t="s">
        <v>647</v>
      </c>
    </row>
    <row r="845" customFormat="false" ht="15" hidden="false" customHeight="false" outlineLevel="0" collapsed="false">
      <c r="A845" s="16" t="s">
        <v>373</v>
      </c>
      <c r="B845" s="16" t="s">
        <v>322</v>
      </c>
      <c r="C845" s="16" t="n">
        <v>0</v>
      </c>
      <c r="D845" s="16" t="s">
        <v>345</v>
      </c>
      <c r="E845" s="16" t="n">
        <v>0</v>
      </c>
      <c r="F845" s="16" t="n">
        <v>0</v>
      </c>
      <c r="G845" s="16" t="s">
        <v>647</v>
      </c>
    </row>
    <row r="846" customFormat="false" ht="15" hidden="false" customHeight="false" outlineLevel="0" collapsed="false">
      <c r="A846" s="16" t="s">
        <v>373</v>
      </c>
      <c r="B846" s="16" t="s">
        <v>345</v>
      </c>
      <c r="C846" s="16" t="n">
        <v>0</v>
      </c>
      <c r="D846" s="16" t="s">
        <v>358</v>
      </c>
      <c r="E846" s="16" t="n">
        <v>0</v>
      </c>
      <c r="F846" s="16" t="n">
        <v>0</v>
      </c>
      <c r="G846" s="16" t="s">
        <v>647</v>
      </c>
    </row>
    <row r="847" customFormat="false" ht="15" hidden="false" customHeight="false" outlineLevel="0" collapsed="false">
      <c r="A847" s="16" t="s">
        <v>373</v>
      </c>
      <c r="B847" s="16" t="s">
        <v>27</v>
      </c>
      <c r="C847" s="16" t="n">
        <v>1</v>
      </c>
      <c r="D847" s="16" t="s">
        <v>83</v>
      </c>
      <c r="E847" s="16" t="n">
        <v>1</v>
      </c>
      <c r="F847" s="16" t="n">
        <v>0</v>
      </c>
      <c r="G847" s="16" t="s">
        <v>647</v>
      </c>
    </row>
    <row r="848" customFormat="false" ht="15" hidden="false" customHeight="false" outlineLevel="0" collapsed="false">
      <c r="A848" s="16" t="s">
        <v>373</v>
      </c>
      <c r="B848" s="16" t="s">
        <v>83</v>
      </c>
      <c r="C848" s="16" t="n">
        <v>1</v>
      </c>
      <c r="D848" s="16" t="s">
        <v>93</v>
      </c>
      <c r="E848" s="16" t="n">
        <v>1</v>
      </c>
      <c r="F848" s="16" t="n">
        <v>0</v>
      </c>
      <c r="G848" s="16" t="s">
        <v>647</v>
      </c>
    </row>
    <row r="849" customFormat="false" ht="15" hidden="false" customHeight="false" outlineLevel="0" collapsed="false">
      <c r="A849" s="16" t="s">
        <v>373</v>
      </c>
      <c r="B849" s="16" t="s">
        <v>93</v>
      </c>
      <c r="C849" s="16" t="n">
        <v>1</v>
      </c>
      <c r="D849" s="16" t="s">
        <v>109</v>
      </c>
      <c r="E849" s="16" t="n">
        <v>1</v>
      </c>
      <c r="F849" s="16" t="n">
        <v>0</v>
      </c>
      <c r="G849" s="16" t="s">
        <v>647</v>
      </c>
    </row>
    <row r="850" customFormat="false" ht="15" hidden="false" customHeight="false" outlineLevel="0" collapsed="false">
      <c r="A850" s="16" t="s">
        <v>373</v>
      </c>
      <c r="B850" s="16" t="s">
        <v>109</v>
      </c>
      <c r="C850" s="16" t="n">
        <v>1</v>
      </c>
      <c r="D850" s="16" t="s">
        <v>112</v>
      </c>
      <c r="E850" s="16" t="n">
        <v>1</v>
      </c>
      <c r="F850" s="16" t="n">
        <v>0</v>
      </c>
      <c r="G850" s="16" t="s">
        <v>647</v>
      </c>
    </row>
    <row r="851" customFormat="false" ht="15" hidden="false" customHeight="false" outlineLevel="0" collapsed="false">
      <c r="A851" s="16" t="s">
        <v>373</v>
      </c>
      <c r="B851" s="16" t="s">
        <v>112</v>
      </c>
      <c r="C851" s="16" t="n">
        <v>1</v>
      </c>
      <c r="D851" s="16" t="s">
        <v>115</v>
      </c>
      <c r="E851" s="16" t="n">
        <v>1</v>
      </c>
      <c r="F851" s="16" t="n">
        <v>0</v>
      </c>
      <c r="G851" s="16" t="s">
        <v>647</v>
      </c>
    </row>
    <row r="852" customFormat="false" ht="15" hidden="false" customHeight="false" outlineLevel="0" collapsed="false">
      <c r="A852" s="16" t="s">
        <v>373</v>
      </c>
      <c r="B852" s="16" t="s">
        <v>115</v>
      </c>
      <c r="C852" s="16" t="n">
        <v>1</v>
      </c>
      <c r="D852" s="16" t="s">
        <v>137</v>
      </c>
      <c r="E852" s="16" t="n">
        <v>1</v>
      </c>
      <c r="F852" s="16" t="n">
        <v>0</v>
      </c>
      <c r="G852" s="16" t="s">
        <v>647</v>
      </c>
    </row>
    <row r="853" customFormat="false" ht="15" hidden="false" customHeight="false" outlineLevel="0" collapsed="false">
      <c r="A853" s="16" t="s">
        <v>373</v>
      </c>
      <c r="B853" s="16" t="s">
        <v>137</v>
      </c>
      <c r="C853" s="16" t="n">
        <v>1</v>
      </c>
      <c r="D853" s="16" t="s">
        <v>184</v>
      </c>
      <c r="E853" s="16" t="n">
        <v>1</v>
      </c>
      <c r="F853" s="16" t="n">
        <v>0</v>
      </c>
      <c r="G853" s="16" t="s">
        <v>647</v>
      </c>
    </row>
    <row r="854" customFormat="false" ht="15" hidden="false" customHeight="false" outlineLevel="0" collapsed="false">
      <c r="A854" s="16" t="s">
        <v>373</v>
      </c>
      <c r="B854" s="16" t="s">
        <v>184</v>
      </c>
      <c r="C854" s="16" t="n">
        <v>1</v>
      </c>
      <c r="D854" s="16" t="s">
        <v>195</v>
      </c>
      <c r="E854" s="16" t="n">
        <v>1</v>
      </c>
      <c r="F854" s="16" t="n">
        <v>0</v>
      </c>
      <c r="G854" s="16" t="s">
        <v>647</v>
      </c>
    </row>
    <row r="855" customFormat="false" ht="15" hidden="false" customHeight="false" outlineLevel="0" collapsed="false">
      <c r="A855" s="16" t="s">
        <v>373</v>
      </c>
      <c r="B855" s="16" t="s">
        <v>195</v>
      </c>
      <c r="C855" s="16" t="n">
        <v>1</v>
      </c>
      <c r="D855" s="16" t="s">
        <v>276</v>
      </c>
      <c r="E855" s="16" t="n">
        <v>1</v>
      </c>
      <c r="F855" s="16" t="n">
        <v>0</v>
      </c>
      <c r="G855" s="16" t="s">
        <v>647</v>
      </c>
    </row>
    <row r="856" customFormat="false" ht="15" hidden="false" customHeight="false" outlineLevel="0" collapsed="false">
      <c r="A856" s="16" t="s">
        <v>373</v>
      </c>
      <c r="B856" s="16" t="s">
        <v>276</v>
      </c>
      <c r="C856" s="16" t="n">
        <v>1</v>
      </c>
      <c r="D856" s="16" t="s">
        <v>302</v>
      </c>
      <c r="E856" s="16" t="n">
        <v>1</v>
      </c>
      <c r="F856" s="16" t="n">
        <v>0</v>
      </c>
      <c r="G856" s="16" t="s">
        <v>647</v>
      </c>
    </row>
    <row r="857" customFormat="false" ht="15" hidden="false" customHeight="false" outlineLevel="0" collapsed="false">
      <c r="A857" s="16" t="s">
        <v>373</v>
      </c>
      <c r="B857" s="16" t="s">
        <v>302</v>
      </c>
      <c r="C857" s="16" t="n">
        <v>1</v>
      </c>
      <c r="D857" s="16" t="s">
        <v>325</v>
      </c>
      <c r="E857" s="16" t="n">
        <v>1</v>
      </c>
      <c r="F857" s="16" t="n">
        <v>0</v>
      </c>
      <c r="G857" s="16" t="s">
        <v>647</v>
      </c>
    </row>
    <row r="858" customFormat="false" ht="15" hidden="false" customHeight="false" outlineLevel="0" collapsed="false">
      <c r="A858" s="16" t="s">
        <v>373</v>
      </c>
      <c r="B858" s="16" t="s">
        <v>325</v>
      </c>
      <c r="C858" s="16" t="n">
        <v>1</v>
      </c>
      <c r="D858" s="16" t="s">
        <v>342</v>
      </c>
      <c r="E858" s="16" t="n">
        <v>1</v>
      </c>
      <c r="F858" s="16" t="n">
        <v>0</v>
      </c>
      <c r="G858" s="16" t="s">
        <v>647</v>
      </c>
    </row>
    <row r="859" customFormat="false" ht="15" hidden="false" customHeight="false" outlineLevel="0" collapsed="false">
      <c r="A859" s="16" t="s">
        <v>373</v>
      </c>
      <c r="B859" s="16" t="s">
        <v>342</v>
      </c>
      <c r="C859" s="16" t="n">
        <v>1</v>
      </c>
      <c r="D859" s="16" t="s">
        <v>351</v>
      </c>
      <c r="E859" s="16" t="n">
        <v>1</v>
      </c>
      <c r="F859" s="16" t="n">
        <v>0</v>
      </c>
      <c r="G859" s="16" t="s">
        <v>647</v>
      </c>
    </row>
    <row r="860" customFormat="false" ht="15" hidden="false" customHeight="false" outlineLevel="0" collapsed="false">
      <c r="A860" s="16" t="s">
        <v>373</v>
      </c>
      <c r="B860" s="16" t="s">
        <v>351</v>
      </c>
      <c r="C860" s="16" t="n">
        <v>1</v>
      </c>
      <c r="D860" s="16" t="s">
        <v>355</v>
      </c>
      <c r="E860" s="16" t="n">
        <v>1</v>
      </c>
      <c r="F860" s="16" t="n">
        <v>0</v>
      </c>
      <c r="G860" s="16" t="s">
        <v>647</v>
      </c>
    </row>
    <row r="861" customFormat="false" ht="15" hidden="false" customHeight="false" outlineLevel="0" collapsed="false">
      <c r="A861" s="16" t="s">
        <v>373</v>
      </c>
      <c r="B861" s="16" t="s">
        <v>22</v>
      </c>
      <c r="C861" s="16" t="n">
        <v>2</v>
      </c>
      <c r="D861" s="16" t="s">
        <v>87</v>
      </c>
      <c r="E861" s="16" t="n">
        <v>2</v>
      </c>
      <c r="F861" s="16" t="n">
        <v>0</v>
      </c>
      <c r="G861" s="16" t="s">
        <v>647</v>
      </c>
    </row>
    <row r="862" customFormat="false" ht="15" hidden="false" customHeight="false" outlineLevel="0" collapsed="false">
      <c r="A862" s="16" t="s">
        <v>373</v>
      </c>
      <c r="B862" s="16" t="s">
        <v>87</v>
      </c>
      <c r="C862" s="16" t="n">
        <v>2</v>
      </c>
      <c r="D862" s="16" t="s">
        <v>90</v>
      </c>
      <c r="E862" s="16" t="n">
        <v>2</v>
      </c>
      <c r="F862" s="16" t="n">
        <v>0</v>
      </c>
      <c r="G862" s="16" t="s">
        <v>647</v>
      </c>
    </row>
    <row r="863" customFormat="false" ht="15" hidden="false" customHeight="false" outlineLevel="0" collapsed="false">
      <c r="A863" s="16" t="s">
        <v>373</v>
      </c>
      <c r="B863" s="16" t="s">
        <v>90</v>
      </c>
      <c r="C863" s="16" t="n">
        <v>2</v>
      </c>
      <c r="D863" s="16" t="s">
        <v>104</v>
      </c>
      <c r="E863" s="16" t="n">
        <v>2</v>
      </c>
      <c r="F863" s="16" t="n">
        <v>0</v>
      </c>
      <c r="G863" s="16" t="s">
        <v>647</v>
      </c>
    </row>
    <row r="864" customFormat="false" ht="15" hidden="false" customHeight="false" outlineLevel="0" collapsed="false">
      <c r="A864" s="16" t="s">
        <v>373</v>
      </c>
      <c r="B864" s="16" t="s">
        <v>104</v>
      </c>
      <c r="C864" s="16" t="n">
        <v>2</v>
      </c>
      <c r="D864" s="16" t="s">
        <v>133</v>
      </c>
      <c r="E864" s="16" t="n">
        <v>2</v>
      </c>
      <c r="F864" s="16" t="n">
        <v>0</v>
      </c>
      <c r="G864" s="16" t="s">
        <v>647</v>
      </c>
    </row>
    <row r="865" customFormat="false" ht="15" hidden="false" customHeight="false" outlineLevel="0" collapsed="false">
      <c r="A865" s="16" t="s">
        <v>373</v>
      </c>
      <c r="B865" s="16" t="s">
        <v>133</v>
      </c>
      <c r="C865" s="16" t="n">
        <v>2</v>
      </c>
      <c r="D865" s="16" t="s">
        <v>270</v>
      </c>
      <c r="E865" s="16" t="n">
        <v>2</v>
      </c>
      <c r="F865" s="16" t="n">
        <v>0</v>
      </c>
      <c r="G865" s="16" t="s">
        <v>647</v>
      </c>
    </row>
    <row r="866" customFormat="false" ht="15" hidden="false" customHeight="false" outlineLevel="0" collapsed="false">
      <c r="A866" s="16" t="s">
        <v>373</v>
      </c>
      <c r="B866" s="16" t="s">
        <v>270</v>
      </c>
      <c r="C866" s="16" t="n">
        <v>2</v>
      </c>
      <c r="D866" s="16" t="s">
        <v>273</v>
      </c>
      <c r="E866" s="16" t="n">
        <v>2</v>
      </c>
      <c r="F866" s="16" t="n">
        <v>0</v>
      </c>
      <c r="G866" s="16" t="s">
        <v>647</v>
      </c>
    </row>
    <row r="867" customFormat="false" ht="15" hidden="false" customHeight="false" outlineLevel="0" collapsed="false">
      <c r="A867" s="16" t="s">
        <v>373</v>
      </c>
      <c r="B867" s="16" t="s">
        <v>273</v>
      </c>
      <c r="C867" s="16" t="n">
        <v>2</v>
      </c>
      <c r="D867" s="16" t="s">
        <v>286</v>
      </c>
      <c r="E867" s="16" t="n">
        <v>2</v>
      </c>
      <c r="F867" s="16" t="n">
        <v>0</v>
      </c>
      <c r="G867" s="16" t="s">
        <v>647</v>
      </c>
    </row>
    <row r="868" customFormat="false" ht="15" hidden="false" customHeight="false" outlineLevel="0" collapsed="false">
      <c r="A868" s="16" t="s">
        <v>373</v>
      </c>
      <c r="B868" s="16" t="s">
        <v>286</v>
      </c>
      <c r="C868" s="16" t="n">
        <v>2</v>
      </c>
      <c r="D868" s="16" t="s">
        <v>299</v>
      </c>
      <c r="E868" s="16" t="n">
        <v>2</v>
      </c>
      <c r="F868" s="16" t="n">
        <v>0</v>
      </c>
      <c r="G868" s="16" t="s">
        <v>647</v>
      </c>
    </row>
    <row r="869" customFormat="false" ht="15" hidden="false" customHeight="false" outlineLevel="0" collapsed="false">
      <c r="A869" s="16" t="s">
        <v>373</v>
      </c>
      <c r="B869" s="16" t="s">
        <v>299</v>
      </c>
      <c r="C869" s="16" t="n">
        <v>2</v>
      </c>
      <c r="D869" s="16" t="s">
        <v>313</v>
      </c>
      <c r="E869" s="16" t="n">
        <v>2</v>
      </c>
      <c r="F869" s="16" t="n">
        <v>0</v>
      </c>
      <c r="G869" s="16" t="s">
        <v>647</v>
      </c>
    </row>
    <row r="870" customFormat="false" ht="15" hidden="false" customHeight="false" outlineLevel="0" collapsed="false">
      <c r="A870" s="16" t="s">
        <v>373</v>
      </c>
      <c r="B870" s="16" t="s">
        <v>313</v>
      </c>
      <c r="C870" s="16" t="n">
        <v>2</v>
      </c>
      <c r="D870" s="16" t="s">
        <v>335</v>
      </c>
      <c r="E870" s="16" t="n">
        <v>2</v>
      </c>
      <c r="F870" s="16" t="n">
        <v>0</v>
      </c>
      <c r="G870" s="16" t="s">
        <v>647</v>
      </c>
    </row>
    <row r="871" customFormat="false" ht="15" hidden="false" customHeight="false" outlineLevel="0" collapsed="false">
      <c r="A871" s="16" t="s">
        <v>373</v>
      </c>
      <c r="B871" s="16" t="s">
        <v>335</v>
      </c>
      <c r="C871" s="16" t="n">
        <v>2</v>
      </c>
      <c r="D871" s="16" t="s">
        <v>339</v>
      </c>
      <c r="E871" s="16" t="n">
        <v>2</v>
      </c>
      <c r="F871" s="16" t="n">
        <v>0</v>
      </c>
      <c r="G871" s="16" t="s">
        <v>647</v>
      </c>
    </row>
    <row r="872" customFormat="false" ht="15" hidden="false" customHeight="false" outlineLevel="0" collapsed="false">
      <c r="A872" s="16" t="s">
        <v>373</v>
      </c>
      <c r="B872" s="16" t="s">
        <v>31</v>
      </c>
      <c r="C872" s="16" t="n">
        <v>3</v>
      </c>
      <c r="D872" s="16" t="s">
        <v>202</v>
      </c>
      <c r="E872" s="16" t="n">
        <v>3</v>
      </c>
      <c r="F872" s="16" t="n">
        <v>0</v>
      </c>
      <c r="G872" s="16" t="s">
        <v>647</v>
      </c>
    </row>
    <row r="873" customFormat="false" ht="15" hidden="false" customHeight="false" outlineLevel="0" collapsed="false">
      <c r="A873" s="16" t="s">
        <v>373</v>
      </c>
      <c r="B873" s="16" t="s">
        <v>202</v>
      </c>
      <c r="C873" s="16" t="n">
        <v>3</v>
      </c>
      <c r="D873" s="16" t="s">
        <v>266</v>
      </c>
      <c r="E873" s="16" t="n">
        <v>3</v>
      </c>
      <c r="F873" s="16" t="n">
        <v>0</v>
      </c>
      <c r="G873" s="16" t="s">
        <v>647</v>
      </c>
    </row>
    <row r="874" customFormat="false" ht="15" hidden="false" customHeight="false" outlineLevel="0" collapsed="false">
      <c r="A874" s="16" t="s">
        <v>373</v>
      </c>
      <c r="B874" s="16" t="s">
        <v>266</v>
      </c>
      <c r="C874" s="16" t="n">
        <v>3</v>
      </c>
      <c r="D874" s="16" t="s">
        <v>282</v>
      </c>
      <c r="E874" s="16" t="n">
        <v>3</v>
      </c>
      <c r="F874" s="16" t="n">
        <v>0</v>
      </c>
      <c r="G874" s="16" t="s">
        <v>647</v>
      </c>
    </row>
    <row r="875" customFormat="false" ht="15" hidden="false" customHeight="false" outlineLevel="0" collapsed="false">
      <c r="A875" s="16" t="s">
        <v>373</v>
      </c>
      <c r="B875" s="16" t="s">
        <v>282</v>
      </c>
      <c r="C875" s="16" t="n">
        <v>3</v>
      </c>
      <c r="D875" s="16" t="s">
        <v>328</v>
      </c>
      <c r="E875" s="16" t="n">
        <v>3</v>
      </c>
      <c r="F875" s="16" t="n">
        <v>0</v>
      </c>
      <c r="G875" s="16" t="s">
        <v>647</v>
      </c>
    </row>
    <row r="876" customFormat="false" ht="15" hidden="false" customHeight="false" outlineLevel="0" collapsed="false">
      <c r="A876" s="16" t="s">
        <v>373</v>
      </c>
      <c r="B876" s="16" t="s">
        <v>328</v>
      </c>
      <c r="C876" s="16" t="n">
        <v>3</v>
      </c>
      <c r="D876" s="16" t="s">
        <v>332</v>
      </c>
      <c r="E876" s="16" t="n">
        <v>3</v>
      </c>
      <c r="F876" s="16" t="n">
        <v>0</v>
      </c>
      <c r="G876" s="16" t="s">
        <v>647</v>
      </c>
    </row>
    <row r="877" customFormat="false" ht="15" hidden="false" customHeight="false" outlineLevel="0" collapsed="false">
      <c r="A877" s="16" t="s">
        <v>373</v>
      </c>
      <c r="B877" s="16" t="s">
        <v>332</v>
      </c>
      <c r="C877" s="16" t="n">
        <v>3</v>
      </c>
      <c r="D877" s="16" t="s">
        <v>348</v>
      </c>
      <c r="E877" s="16" t="n">
        <v>3</v>
      </c>
      <c r="F877" s="16" t="n">
        <v>0</v>
      </c>
      <c r="G877" s="16" t="s">
        <v>647</v>
      </c>
    </row>
    <row r="878" customFormat="false" ht="15" hidden="false" customHeight="false" outlineLevel="0" collapsed="false">
      <c r="A878" s="16" t="s">
        <v>373</v>
      </c>
      <c r="B878" s="16" t="s">
        <v>290</v>
      </c>
      <c r="C878" s="16" t="n">
        <v>4</v>
      </c>
      <c r="D878" s="16" t="s">
        <v>295</v>
      </c>
      <c r="E878" s="16" t="n">
        <v>4</v>
      </c>
      <c r="F878" s="16" t="n">
        <v>0</v>
      </c>
      <c r="G878" s="16" t="s">
        <v>647</v>
      </c>
    </row>
    <row r="879" customFormat="false" ht="15" hidden="false" customHeight="false" outlineLevel="0" collapsed="false">
      <c r="A879" s="16" t="s">
        <v>374</v>
      </c>
      <c r="B879" s="16" t="s">
        <v>27</v>
      </c>
      <c r="C879" s="16" t="n">
        <v>0</v>
      </c>
      <c r="D879" s="16" t="s">
        <v>31</v>
      </c>
      <c r="E879" s="16" t="n">
        <v>0</v>
      </c>
      <c r="F879" s="16" t="n">
        <v>0</v>
      </c>
      <c r="G879" s="16" t="s">
        <v>647</v>
      </c>
    </row>
    <row r="880" customFormat="false" ht="15" hidden="false" customHeight="false" outlineLevel="0" collapsed="false">
      <c r="A880" s="16" t="s">
        <v>374</v>
      </c>
      <c r="B880" s="16" t="s">
        <v>31</v>
      </c>
      <c r="C880" s="16" t="n">
        <v>0</v>
      </c>
      <c r="D880" s="16" t="s">
        <v>43</v>
      </c>
      <c r="E880" s="16" t="n">
        <v>0</v>
      </c>
      <c r="F880" s="16" t="n">
        <v>0</v>
      </c>
      <c r="G880" s="16" t="s">
        <v>647</v>
      </c>
    </row>
    <row r="881" customFormat="false" ht="15" hidden="false" customHeight="false" outlineLevel="0" collapsed="false">
      <c r="A881" s="16" t="s">
        <v>374</v>
      </c>
      <c r="B881" s="16" t="s">
        <v>43</v>
      </c>
      <c r="C881" s="16" t="n">
        <v>0</v>
      </c>
      <c r="D881" s="16" t="s">
        <v>47</v>
      </c>
      <c r="E881" s="16" t="n">
        <v>0</v>
      </c>
      <c r="F881" s="16" t="n">
        <v>0</v>
      </c>
      <c r="G881" s="16" t="s">
        <v>647</v>
      </c>
    </row>
    <row r="882" customFormat="false" ht="15" hidden="false" customHeight="false" outlineLevel="0" collapsed="false">
      <c r="A882" s="16" t="s">
        <v>374</v>
      </c>
      <c r="B882" s="16" t="s">
        <v>47</v>
      </c>
      <c r="C882" s="16" t="n">
        <v>0</v>
      </c>
      <c r="D882" s="16" t="s">
        <v>51</v>
      </c>
      <c r="E882" s="16" t="n">
        <v>0</v>
      </c>
      <c r="F882" s="16" t="n">
        <v>0</v>
      </c>
      <c r="G882" s="16" t="s">
        <v>647</v>
      </c>
    </row>
    <row r="883" customFormat="false" ht="15" hidden="false" customHeight="false" outlineLevel="0" collapsed="false">
      <c r="A883" s="16" t="s">
        <v>374</v>
      </c>
      <c r="B883" s="16" t="s">
        <v>51</v>
      </c>
      <c r="C883" s="16" t="n">
        <v>0</v>
      </c>
      <c r="D883" s="16" t="s">
        <v>59</v>
      </c>
      <c r="E883" s="16" t="n">
        <v>0</v>
      </c>
      <c r="F883" s="16" t="n">
        <v>0</v>
      </c>
      <c r="G883" s="16" t="s">
        <v>647</v>
      </c>
    </row>
    <row r="884" customFormat="false" ht="15" hidden="false" customHeight="false" outlineLevel="0" collapsed="false">
      <c r="A884" s="16" t="s">
        <v>374</v>
      </c>
      <c r="B884" s="16" t="s">
        <v>59</v>
      </c>
      <c r="C884" s="16" t="n">
        <v>0</v>
      </c>
      <c r="D884" s="16" t="s">
        <v>63</v>
      </c>
      <c r="E884" s="16" t="n">
        <v>0</v>
      </c>
      <c r="F884" s="16" t="n">
        <v>0</v>
      </c>
      <c r="G884" s="16" t="s">
        <v>647</v>
      </c>
    </row>
    <row r="885" customFormat="false" ht="15" hidden="false" customHeight="false" outlineLevel="0" collapsed="false">
      <c r="A885" s="16" t="s">
        <v>374</v>
      </c>
      <c r="B885" s="16" t="s">
        <v>63</v>
      </c>
      <c r="C885" s="16" t="n">
        <v>0</v>
      </c>
      <c r="D885" s="16" t="s">
        <v>71</v>
      </c>
      <c r="E885" s="16" t="n">
        <v>0</v>
      </c>
      <c r="F885" s="16" t="n">
        <v>0</v>
      </c>
      <c r="G885" s="16" t="s">
        <v>647</v>
      </c>
    </row>
    <row r="886" customFormat="false" ht="15" hidden="false" customHeight="false" outlineLevel="0" collapsed="false">
      <c r="A886" s="16" t="s">
        <v>374</v>
      </c>
      <c r="B886" s="16" t="s">
        <v>71</v>
      </c>
      <c r="C886" s="16" t="n">
        <v>0</v>
      </c>
      <c r="D886" s="16" t="s">
        <v>75</v>
      </c>
      <c r="E886" s="16" t="n">
        <v>0</v>
      </c>
      <c r="F886" s="16" t="n">
        <v>0</v>
      </c>
      <c r="G886" s="16" t="s">
        <v>647</v>
      </c>
    </row>
    <row r="887" customFormat="false" ht="15" hidden="false" customHeight="false" outlineLevel="0" collapsed="false">
      <c r="A887" s="16" t="s">
        <v>374</v>
      </c>
      <c r="B887" s="16" t="s">
        <v>75</v>
      </c>
      <c r="C887" s="16" t="n">
        <v>0</v>
      </c>
      <c r="D887" s="16" t="s">
        <v>87</v>
      </c>
      <c r="E887" s="16" t="n">
        <v>0</v>
      </c>
      <c r="F887" s="16" t="n">
        <v>0</v>
      </c>
      <c r="G887" s="16" t="s">
        <v>647</v>
      </c>
    </row>
    <row r="888" customFormat="false" ht="15" hidden="false" customHeight="false" outlineLevel="0" collapsed="false">
      <c r="A888" s="16" t="s">
        <v>374</v>
      </c>
      <c r="B888" s="16" t="s">
        <v>87</v>
      </c>
      <c r="C888" s="16" t="n">
        <v>0</v>
      </c>
      <c r="D888" s="16" t="s">
        <v>93</v>
      </c>
      <c r="E888" s="16" t="n">
        <v>0</v>
      </c>
      <c r="F888" s="16" t="n">
        <v>0</v>
      </c>
      <c r="G888" s="16" t="s">
        <v>647</v>
      </c>
    </row>
    <row r="889" customFormat="false" ht="15" hidden="false" customHeight="false" outlineLevel="0" collapsed="false">
      <c r="A889" s="16" t="s">
        <v>374</v>
      </c>
      <c r="B889" s="16" t="s">
        <v>93</v>
      </c>
      <c r="C889" s="16" t="n">
        <v>0</v>
      </c>
      <c r="D889" s="16" t="s">
        <v>97</v>
      </c>
      <c r="E889" s="16" t="n">
        <v>0</v>
      </c>
      <c r="F889" s="16" t="n">
        <v>0</v>
      </c>
      <c r="G889" s="16" t="s">
        <v>647</v>
      </c>
    </row>
    <row r="890" customFormat="false" ht="15" hidden="false" customHeight="false" outlineLevel="0" collapsed="false">
      <c r="A890" s="16" t="s">
        <v>374</v>
      </c>
      <c r="B890" s="16" t="s">
        <v>97</v>
      </c>
      <c r="C890" s="16" t="n">
        <v>0</v>
      </c>
      <c r="D890" s="16" t="s">
        <v>100</v>
      </c>
      <c r="E890" s="16" t="n">
        <v>0</v>
      </c>
      <c r="F890" s="16" t="n">
        <v>0</v>
      </c>
      <c r="G890" s="16" t="s">
        <v>647</v>
      </c>
    </row>
    <row r="891" customFormat="false" ht="15" hidden="false" customHeight="false" outlineLevel="0" collapsed="false">
      <c r="A891" s="16" t="s">
        <v>374</v>
      </c>
      <c r="B891" s="16" t="s">
        <v>100</v>
      </c>
      <c r="C891" s="16" t="n">
        <v>0</v>
      </c>
      <c r="D891" s="16" t="s">
        <v>104</v>
      </c>
      <c r="E891" s="16" t="n">
        <v>0</v>
      </c>
      <c r="F891" s="16" t="n">
        <v>0</v>
      </c>
      <c r="G891" s="16" t="s">
        <v>647</v>
      </c>
    </row>
    <row r="892" customFormat="false" ht="15" hidden="false" customHeight="false" outlineLevel="0" collapsed="false">
      <c r="A892" s="16" t="s">
        <v>374</v>
      </c>
      <c r="B892" s="16" t="s">
        <v>104</v>
      </c>
      <c r="C892" s="16" t="n">
        <v>0</v>
      </c>
      <c r="D892" s="16" t="s">
        <v>112</v>
      </c>
      <c r="E892" s="16" t="n">
        <v>0</v>
      </c>
      <c r="F892" s="16" t="n">
        <v>0</v>
      </c>
      <c r="G892" s="16" t="s">
        <v>647</v>
      </c>
    </row>
    <row r="893" customFormat="false" ht="15" hidden="false" customHeight="false" outlineLevel="0" collapsed="false">
      <c r="A893" s="16" t="s">
        <v>374</v>
      </c>
      <c r="B893" s="16" t="s">
        <v>112</v>
      </c>
      <c r="C893" s="16" t="n">
        <v>0</v>
      </c>
      <c r="D893" s="16" t="s">
        <v>115</v>
      </c>
      <c r="E893" s="16" t="n">
        <v>0</v>
      </c>
      <c r="F893" s="16" t="n">
        <v>0</v>
      </c>
      <c r="G893" s="16" t="s">
        <v>647</v>
      </c>
    </row>
    <row r="894" customFormat="false" ht="15" hidden="false" customHeight="false" outlineLevel="0" collapsed="false">
      <c r="A894" s="16" t="s">
        <v>374</v>
      </c>
      <c r="B894" s="16" t="s">
        <v>115</v>
      </c>
      <c r="C894" s="16" t="n">
        <v>0</v>
      </c>
      <c r="D894" s="16" t="s">
        <v>118</v>
      </c>
      <c r="E894" s="16" t="n">
        <v>0</v>
      </c>
      <c r="F894" s="16" t="n">
        <v>0</v>
      </c>
      <c r="G894" s="16" t="s">
        <v>647</v>
      </c>
    </row>
    <row r="895" customFormat="false" ht="15" hidden="false" customHeight="false" outlineLevel="0" collapsed="false">
      <c r="A895" s="16" t="s">
        <v>374</v>
      </c>
      <c r="B895" s="16" t="s">
        <v>118</v>
      </c>
      <c r="C895" s="16" t="n">
        <v>0</v>
      </c>
      <c r="D895" s="16" t="s">
        <v>129</v>
      </c>
      <c r="E895" s="16" t="n">
        <v>0</v>
      </c>
      <c r="F895" s="16" t="n">
        <v>0</v>
      </c>
      <c r="G895" s="16" t="s">
        <v>647</v>
      </c>
    </row>
    <row r="896" customFormat="false" ht="15" hidden="false" customHeight="false" outlineLevel="0" collapsed="false">
      <c r="A896" s="16" t="s">
        <v>374</v>
      </c>
      <c r="B896" s="16" t="s">
        <v>129</v>
      </c>
      <c r="C896" s="16" t="n">
        <v>0</v>
      </c>
      <c r="D896" s="16" t="s">
        <v>137</v>
      </c>
      <c r="E896" s="16" t="n">
        <v>0</v>
      </c>
      <c r="F896" s="16" t="n">
        <v>0</v>
      </c>
      <c r="G896" s="16" t="s">
        <v>647</v>
      </c>
    </row>
    <row r="897" customFormat="false" ht="15" hidden="false" customHeight="false" outlineLevel="0" collapsed="false">
      <c r="A897" s="16" t="s">
        <v>374</v>
      </c>
      <c r="B897" s="16" t="s">
        <v>137</v>
      </c>
      <c r="C897" s="16" t="n">
        <v>0</v>
      </c>
      <c r="D897" s="16" t="s">
        <v>140</v>
      </c>
      <c r="E897" s="16" t="n">
        <v>0</v>
      </c>
      <c r="F897" s="16" t="n">
        <v>0</v>
      </c>
      <c r="G897" s="16" t="s">
        <v>647</v>
      </c>
    </row>
    <row r="898" customFormat="false" ht="15" hidden="false" customHeight="false" outlineLevel="0" collapsed="false">
      <c r="A898" s="16" t="s">
        <v>374</v>
      </c>
      <c r="B898" s="16" t="s">
        <v>140</v>
      </c>
      <c r="C898" s="16" t="n">
        <v>0</v>
      </c>
      <c r="D898" s="16" t="s">
        <v>144</v>
      </c>
      <c r="E898" s="16" t="n">
        <v>0</v>
      </c>
      <c r="F898" s="16" t="n">
        <v>0</v>
      </c>
      <c r="G898" s="16" t="s">
        <v>647</v>
      </c>
    </row>
    <row r="899" customFormat="false" ht="15" hidden="false" customHeight="false" outlineLevel="0" collapsed="false">
      <c r="A899" s="16" t="s">
        <v>374</v>
      </c>
      <c r="B899" s="16" t="s">
        <v>144</v>
      </c>
      <c r="C899" s="16" t="n">
        <v>0</v>
      </c>
      <c r="D899" s="16" t="s">
        <v>148</v>
      </c>
      <c r="E899" s="16" t="n">
        <v>0</v>
      </c>
      <c r="F899" s="16" t="n">
        <v>0</v>
      </c>
      <c r="G899" s="16" t="s">
        <v>647</v>
      </c>
    </row>
    <row r="900" customFormat="false" ht="15" hidden="false" customHeight="false" outlineLevel="0" collapsed="false">
      <c r="A900" s="16" t="s">
        <v>374</v>
      </c>
      <c r="B900" s="16" t="s">
        <v>148</v>
      </c>
      <c r="C900" s="16" t="n">
        <v>0</v>
      </c>
      <c r="D900" s="16" t="s">
        <v>151</v>
      </c>
      <c r="E900" s="16" t="n">
        <v>0</v>
      </c>
      <c r="F900" s="16" t="n">
        <v>0</v>
      </c>
      <c r="G900" s="16" t="s">
        <v>647</v>
      </c>
    </row>
    <row r="901" customFormat="false" ht="15" hidden="false" customHeight="false" outlineLevel="0" collapsed="false">
      <c r="A901" s="16" t="s">
        <v>374</v>
      </c>
      <c r="B901" s="16" t="s">
        <v>151</v>
      </c>
      <c r="C901" s="16" t="n">
        <v>0</v>
      </c>
      <c r="D901" s="16" t="s">
        <v>155</v>
      </c>
      <c r="E901" s="16" t="n">
        <v>0</v>
      </c>
      <c r="F901" s="16" t="n">
        <v>0</v>
      </c>
      <c r="G901" s="16" t="s">
        <v>647</v>
      </c>
    </row>
    <row r="902" customFormat="false" ht="15" hidden="false" customHeight="false" outlineLevel="0" collapsed="false">
      <c r="A902" s="16" t="s">
        <v>374</v>
      </c>
      <c r="B902" s="16" t="s">
        <v>155</v>
      </c>
      <c r="C902" s="16" t="n">
        <v>0</v>
      </c>
      <c r="D902" s="16" t="s">
        <v>162</v>
      </c>
      <c r="E902" s="16" t="n">
        <v>0</v>
      </c>
      <c r="F902" s="16" t="n">
        <v>0</v>
      </c>
      <c r="G902" s="16" t="s">
        <v>647</v>
      </c>
    </row>
    <row r="903" customFormat="false" ht="15" hidden="false" customHeight="false" outlineLevel="0" collapsed="false">
      <c r="A903" s="16" t="s">
        <v>374</v>
      </c>
      <c r="B903" s="16" t="s">
        <v>162</v>
      </c>
      <c r="C903" s="16" t="n">
        <v>0</v>
      </c>
      <c r="D903" s="16" t="s">
        <v>166</v>
      </c>
      <c r="E903" s="16" t="n">
        <v>0</v>
      </c>
      <c r="F903" s="16" t="n">
        <v>0</v>
      </c>
      <c r="G903" s="16" t="s">
        <v>647</v>
      </c>
    </row>
    <row r="904" customFormat="false" ht="15" hidden="false" customHeight="false" outlineLevel="0" collapsed="false">
      <c r="A904" s="16" t="s">
        <v>374</v>
      </c>
      <c r="B904" s="16" t="s">
        <v>166</v>
      </c>
      <c r="C904" s="16" t="n">
        <v>0</v>
      </c>
      <c r="D904" s="16" t="s">
        <v>168</v>
      </c>
      <c r="E904" s="16" t="n">
        <v>0</v>
      </c>
      <c r="F904" s="16" t="n">
        <v>0</v>
      </c>
      <c r="G904" s="16" t="s">
        <v>647</v>
      </c>
    </row>
    <row r="905" customFormat="false" ht="15" hidden="false" customHeight="false" outlineLevel="0" collapsed="false">
      <c r="A905" s="16" t="s">
        <v>374</v>
      </c>
      <c r="B905" s="16" t="s">
        <v>168</v>
      </c>
      <c r="C905" s="16" t="n">
        <v>0</v>
      </c>
      <c r="D905" s="16" t="s">
        <v>174</v>
      </c>
      <c r="E905" s="16" t="n">
        <v>0</v>
      </c>
      <c r="F905" s="16" t="n">
        <v>0</v>
      </c>
      <c r="G905" s="16" t="s">
        <v>647</v>
      </c>
    </row>
    <row r="906" customFormat="false" ht="15" hidden="false" customHeight="false" outlineLevel="0" collapsed="false">
      <c r="A906" s="16" t="s">
        <v>374</v>
      </c>
      <c r="B906" s="16" t="s">
        <v>174</v>
      </c>
      <c r="C906" s="16" t="n">
        <v>0</v>
      </c>
      <c r="D906" s="16" t="s">
        <v>178</v>
      </c>
      <c r="E906" s="16" t="n">
        <v>0</v>
      </c>
      <c r="F906" s="16" t="n">
        <v>0</v>
      </c>
      <c r="G906" s="16" t="s">
        <v>647</v>
      </c>
    </row>
    <row r="907" customFormat="false" ht="15" hidden="false" customHeight="false" outlineLevel="0" collapsed="false">
      <c r="A907" s="16" t="s">
        <v>374</v>
      </c>
      <c r="B907" s="16" t="s">
        <v>178</v>
      </c>
      <c r="C907" s="16" t="n">
        <v>0</v>
      </c>
      <c r="D907" s="16" t="s">
        <v>184</v>
      </c>
      <c r="E907" s="16" t="n">
        <v>0</v>
      </c>
      <c r="F907" s="16" t="n">
        <v>0</v>
      </c>
      <c r="G907" s="16" t="s">
        <v>647</v>
      </c>
    </row>
    <row r="908" customFormat="false" ht="15" hidden="false" customHeight="false" outlineLevel="0" collapsed="false">
      <c r="A908" s="16" t="s">
        <v>374</v>
      </c>
      <c r="B908" s="16" t="s">
        <v>184</v>
      </c>
      <c r="C908" s="16" t="n">
        <v>0</v>
      </c>
      <c r="D908" s="16" t="s">
        <v>187</v>
      </c>
      <c r="E908" s="16" t="n">
        <v>0</v>
      </c>
      <c r="F908" s="16" t="n">
        <v>0</v>
      </c>
      <c r="G908" s="16" t="s">
        <v>647</v>
      </c>
    </row>
    <row r="909" customFormat="false" ht="15" hidden="false" customHeight="false" outlineLevel="0" collapsed="false">
      <c r="A909" s="16" t="s">
        <v>374</v>
      </c>
      <c r="B909" s="16" t="s">
        <v>187</v>
      </c>
      <c r="C909" s="16" t="n">
        <v>0</v>
      </c>
      <c r="D909" s="16" t="s">
        <v>189</v>
      </c>
      <c r="E909" s="16" t="n">
        <v>0</v>
      </c>
      <c r="F909" s="16" t="n">
        <v>0</v>
      </c>
      <c r="G909" s="16" t="s">
        <v>647</v>
      </c>
    </row>
    <row r="910" customFormat="false" ht="15" hidden="false" customHeight="false" outlineLevel="0" collapsed="false">
      <c r="A910" s="16" t="s">
        <v>374</v>
      </c>
      <c r="B910" s="16" t="s">
        <v>189</v>
      </c>
      <c r="C910" s="16" t="n">
        <v>0</v>
      </c>
      <c r="D910" s="16" t="s">
        <v>192</v>
      </c>
      <c r="E910" s="16" t="n">
        <v>0</v>
      </c>
      <c r="F910" s="16" t="n">
        <v>0</v>
      </c>
      <c r="G910" s="16" t="s">
        <v>647</v>
      </c>
    </row>
    <row r="911" customFormat="false" ht="15" hidden="false" customHeight="false" outlineLevel="0" collapsed="false">
      <c r="A911" s="16" t="s">
        <v>374</v>
      </c>
      <c r="B911" s="16" t="s">
        <v>192</v>
      </c>
      <c r="C911" s="16" t="n">
        <v>0</v>
      </c>
      <c r="D911" s="16" t="s">
        <v>195</v>
      </c>
      <c r="E911" s="16" t="n">
        <v>0</v>
      </c>
      <c r="F911" s="16" t="n">
        <v>0</v>
      </c>
      <c r="G911" s="16" t="s">
        <v>647</v>
      </c>
    </row>
    <row r="912" customFormat="false" ht="15" hidden="false" customHeight="false" outlineLevel="0" collapsed="false">
      <c r="A912" s="16" t="s">
        <v>374</v>
      </c>
      <c r="B912" s="16" t="s">
        <v>195</v>
      </c>
      <c r="C912" s="16" t="n">
        <v>0</v>
      </c>
      <c r="D912" s="16" t="s">
        <v>202</v>
      </c>
      <c r="E912" s="16" t="n">
        <v>0</v>
      </c>
      <c r="F912" s="16" t="n">
        <v>0</v>
      </c>
      <c r="G912" s="16" t="s">
        <v>647</v>
      </c>
    </row>
    <row r="913" customFormat="false" ht="15" hidden="false" customHeight="false" outlineLevel="0" collapsed="false">
      <c r="A913" s="16" t="s">
        <v>374</v>
      </c>
      <c r="B913" s="16" t="s">
        <v>202</v>
      </c>
      <c r="C913" s="16" t="n">
        <v>0</v>
      </c>
      <c r="D913" s="16" t="s">
        <v>205</v>
      </c>
      <c r="E913" s="16" t="n">
        <v>0</v>
      </c>
      <c r="F913" s="16" t="n">
        <v>0</v>
      </c>
      <c r="G913" s="16" t="s">
        <v>647</v>
      </c>
    </row>
    <row r="914" customFormat="false" ht="15" hidden="false" customHeight="false" outlineLevel="0" collapsed="false">
      <c r="A914" s="16" t="s">
        <v>374</v>
      </c>
      <c r="B914" s="16" t="s">
        <v>205</v>
      </c>
      <c r="C914" s="16" t="n">
        <v>0</v>
      </c>
      <c r="D914" s="16" t="s">
        <v>209</v>
      </c>
      <c r="E914" s="16" t="n">
        <v>0</v>
      </c>
      <c r="F914" s="16" t="n">
        <v>0</v>
      </c>
      <c r="G914" s="16" t="s">
        <v>647</v>
      </c>
    </row>
    <row r="915" customFormat="false" ht="15" hidden="false" customHeight="false" outlineLevel="0" collapsed="false">
      <c r="A915" s="16" t="s">
        <v>374</v>
      </c>
      <c r="B915" s="16" t="s">
        <v>209</v>
      </c>
      <c r="C915" s="16" t="n">
        <v>0</v>
      </c>
      <c r="D915" s="16" t="s">
        <v>213</v>
      </c>
      <c r="E915" s="16" t="n">
        <v>0</v>
      </c>
      <c r="F915" s="16" t="n">
        <v>0</v>
      </c>
      <c r="G915" s="16" t="s">
        <v>647</v>
      </c>
    </row>
    <row r="916" customFormat="false" ht="15" hidden="false" customHeight="false" outlineLevel="0" collapsed="false">
      <c r="A916" s="16" t="s">
        <v>374</v>
      </c>
      <c r="B916" s="16" t="s">
        <v>213</v>
      </c>
      <c r="C916" s="16" t="n">
        <v>0</v>
      </c>
      <c r="D916" s="16" t="s">
        <v>216</v>
      </c>
      <c r="E916" s="16" t="n">
        <v>0</v>
      </c>
      <c r="F916" s="16" t="n">
        <v>0</v>
      </c>
      <c r="G916" s="16" t="s">
        <v>647</v>
      </c>
    </row>
    <row r="917" customFormat="false" ht="15" hidden="false" customHeight="false" outlineLevel="0" collapsed="false">
      <c r="A917" s="16" t="s">
        <v>374</v>
      </c>
      <c r="B917" s="16" t="s">
        <v>216</v>
      </c>
      <c r="C917" s="16" t="n">
        <v>0</v>
      </c>
      <c r="D917" s="16" t="s">
        <v>222</v>
      </c>
      <c r="E917" s="16" t="n">
        <v>0</v>
      </c>
      <c r="F917" s="16" t="n">
        <v>0</v>
      </c>
      <c r="G917" s="16" t="s">
        <v>647</v>
      </c>
    </row>
    <row r="918" customFormat="false" ht="15" hidden="false" customHeight="false" outlineLevel="0" collapsed="false">
      <c r="A918" s="16" t="s">
        <v>374</v>
      </c>
      <c r="B918" s="16" t="s">
        <v>222</v>
      </c>
      <c r="C918" s="16" t="n">
        <v>0</v>
      </c>
      <c r="D918" s="16" t="s">
        <v>228</v>
      </c>
      <c r="E918" s="16" t="n">
        <v>0</v>
      </c>
      <c r="F918" s="16" t="n">
        <v>0</v>
      </c>
      <c r="G918" s="16" t="s">
        <v>647</v>
      </c>
    </row>
    <row r="919" customFormat="false" ht="15" hidden="false" customHeight="false" outlineLevel="0" collapsed="false">
      <c r="A919" s="16" t="s">
        <v>374</v>
      </c>
      <c r="B919" s="16" t="s">
        <v>228</v>
      </c>
      <c r="C919" s="16" t="n">
        <v>0</v>
      </c>
      <c r="D919" s="16" t="s">
        <v>230</v>
      </c>
      <c r="E919" s="16" t="n">
        <v>0</v>
      </c>
      <c r="F919" s="16" t="n">
        <v>0</v>
      </c>
      <c r="G919" s="16" t="s">
        <v>647</v>
      </c>
    </row>
    <row r="920" customFormat="false" ht="15" hidden="false" customHeight="false" outlineLevel="0" collapsed="false">
      <c r="A920" s="16" t="s">
        <v>374</v>
      </c>
      <c r="B920" s="16" t="s">
        <v>230</v>
      </c>
      <c r="C920" s="16" t="n">
        <v>0</v>
      </c>
      <c r="D920" s="16" t="s">
        <v>233</v>
      </c>
      <c r="E920" s="16" t="n">
        <v>0</v>
      </c>
      <c r="F920" s="16" t="n">
        <v>0</v>
      </c>
      <c r="G920" s="16" t="s">
        <v>647</v>
      </c>
    </row>
    <row r="921" customFormat="false" ht="15" hidden="false" customHeight="false" outlineLevel="0" collapsed="false">
      <c r="A921" s="16" t="s">
        <v>374</v>
      </c>
      <c r="B921" s="16" t="s">
        <v>233</v>
      </c>
      <c r="C921" s="16" t="n">
        <v>0</v>
      </c>
      <c r="D921" s="16" t="s">
        <v>236</v>
      </c>
      <c r="E921" s="16" t="n">
        <v>0</v>
      </c>
      <c r="F921" s="16" t="n">
        <v>0</v>
      </c>
      <c r="G921" s="16" t="s">
        <v>647</v>
      </c>
    </row>
    <row r="922" customFormat="false" ht="15" hidden="false" customHeight="false" outlineLevel="0" collapsed="false">
      <c r="A922" s="16" t="s">
        <v>374</v>
      </c>
      <c r="B922" s="16" t="s">
        <v>236</v>
      </c>
      <c r="C922" s="16" t="n">
        <v>0</v>
      </c>
      <c r="D922" s="16" t="s">
        <v>238</v>
      </c>
      <c r="E922" s="16" t="n">
        <v>0</v>
      </c>
      <c r="F922" s="16" t="n">
        <v>0</v>
      </c>
      <c r="G922" s="16" t="s">
        <v>647</v>
      </c>
    </row>
    <row r="923" customFormat="false" ht="15" hidden="false" customHeight="false" outlineLevel="0" collapsed="false">
      <c r="A923" s="16" t="s">
        <v>374</v>
      </c>
      <c r="B923" s="16" t="s">
        <v>238</v>
      </c>
      <c r="C923" s="16" t="n">
        <v>0</v>
      </c>
      <c r="D923" s="16" t="s">
        <v>242</v>
      </c>
      <c r="E923" s="16" t="n">
        <v>0</v>
      </c>
      <c r="F923" s="16" t="n">
        <v>0</v>
      </c>
      <c r="G923" s="16" t="s">
        <v>647</v>
      </c>
    </row>
    <row r="924" customFormat="false" ht="15" hidden="false" customHeight="false" outlineLevel="0" collapsed="false">
      <c r="A924" s="16" t="s">
        <v>374</v>
      </c>
      <c r="B924" s="16" t="s">
        <v>242</v>
      </c>
      <c r="C924" s="16" t="n">
        <v>0</v>
      </c>
      <c r="D924" s="16" t="s">
        <v>245</v>
      </c>
      <c r="E924" s="16" t="n">
        <v>0</v>
      </c>
      <c r="F924" s="16" t="n">
        <v>0</v>
      </c>
      <c r="G924" s="16" t="s">
        <v>647</v>
      </c>
    </row>
    <row r="925" customFormat="false" ht="15" hidden="false" customHeight="false" outlineLevel="0" collapsed="false">
      <c r="A925" s="16" t="s">
        <v>374</v>
      </c>
      <c r="B925" s="16" t="s">
        <v>245</v>
      </c>
      <c r="C925" s="16" t="n">
        <v>0</v>
      </c>
      <c r="D925" s="16" t="s">
        <v>251</v>
      </c>
      <c r="E925" s="16" t="n">
        <v>0</v>
      </c>
      <c r="F925" s="16" t="n">
        <v>0</v>
      </c>
      <c r="G925" s="16" t="s">
        <v>647</v>
      </c>
    </row>
    <row r="926" customFormat="false" ht="15" hidden="false" customHeight="false" outlineLevel="0" collapsed="false">
      <c r="A926" s="16" t="s">
        <v>374</v>
      </c>
      <c r="B926" s="16" t="s">
        <v>251</v>
      </c>
      <c r="C926" s="16" t="n">
        <v>0</v>
      </c>
      <c r="D926" s="16" t="s">
        <v>254</v>
      </c>
      <c r="E926" s="16" t="n">
        <v>0</v>
      </c>
      <c r="F926" s="16" t="n">
        <v>0</v>
      </c>
      <c r="G926" s="16" t="s">
        <v>647</v>
      </c>
    </row>
    <row r="927" customFormat="false" ht="15" hidden="false" customHeight="false" outlineLevel="0" collapsed="false">
      <c r="A927" s="16" t="s">
        <v>374</v>
      </c>
      <c r="B927" s="16" t="s">
        <v>254</v>
      </c>
      <c r="C927" s="16" t="n">
        <v>0</v>
      </c>
      <c r="D927" s="16" t="s">
        <v>257</v>
      </c>
      <c r="E927" s="16" t="n">
        <v>0</v>
      </c>
      <c r="F927" s="16" t="n">
        <v>0</v>
      </c>
      <c r="G927" s="16" t="s">
        <v>647</v>
      </c>
    </row>
    <row r="928" customFormat="false" ht="15" hidden="false" customHeight="false" outlineLevel="0" collapsed="false">
      <c r="A928" s="16" t="s">
        <v>374</v>
      </c>
      <c r="B928" s="16" t="s">
        <v>257</v>
      </c>
      <c r="C928" s="16" t="n">
        <v>0</v>
      </c>
      <c r="D928" s="16" t="s">
        <v>260</v>
      </c>
      <c r="E928" s="16" t="n">
        <v>0</v>
      </c>
      <c r="F928" s="16" t="n">
        <v>0</v>
      </c>
      <c r="G928" s="16" t="s">
        <v>647</v>
      </c>
    </row>
    <row r="929" customFormat="false" ht="15" hidden="false" customHeight="false" outlineLevel="0" collapsed="false">
      <c r="A929" s="16" t="s">
        <v>374</v>
      </c>
      <c r="B929" s="16" t="s">
        <v>260</v>
      </c>
      <c r="C929" s="16" t="n">
        <v>0</v>
      </c>
      <c r="D929" s="16" t="s">
        <v>263</v>
      </c>
      <c r="E929" s="16" t="n">
        <v>0</v>
      </c>
      <c r="F929" s="16" t="n">
        <v>0</v>
      </c>
      <c r="G929" s="16" t="s">
        <v>647</v>
      </c>
    </row>
    <row r="930" customFormat="false" ht="15" hidden="false" customHeight="false" outlineLevel="0" collapsed="false">
      <c r="A930" s="16" t="s">
        <v>374</v>
      </c>
      <c r="B930" s="16" t="s">
        <v>263</v>
      </c>
      <c r="C930" s="16" t="n">
        <v>0</v>
      </c>
      <c r="D930" s="16" t="s">
        <v>273</v>
      </c>
      <c r="E930" s="16" t="n">
        <v>0</v>
      </c>
      <c r="F930" s="16" t="n">
        <v>0</v>
      </c>
      <c r="G930" s="16" t="s">
        <v>647</v>
      </c>
    </row>
    <row r="931" customFormat="false" ht="15" hidden="false" customHeight="false" outlineLevel="0" collapsed="false">
      <c r="A931" s="16" t="s">
        <v>374</v>
      </c>
      <c r="B931" s="16" t="s">
        <v>273</v>
      </c>
      <c r="C931" s="16" t="n">
        <v>0</v>
      </c>
      <c r="D931" s="16" t="s">
        <v>279</v>
      </c>
      <c r="E931" s="16" t="n">
        <v>0</v>
      </c>
      <c r="F931" s="16" t="n">
        <v>0</v>
      </c>
      <c r="G931" s="16" t="s">
        <v>647</v>
      </c>
    </row>
    <row r="932" customFormat="false" ht="15" hidden="false" customHeight="false" outlineLevel="0" collapsed="false">
      <c r="A932" s="16" t="s">
        <v>374</v>
      </c>
      <c r="B932" s="16" t="s">
        <v>279</v>
      </c>
      <c r="C932" s="16" t="n">
        <v>0</v>
      </c>
      <c r="D932" s="16" t="s">
        <v>282</v>
      </c>
      <c r="E932" s="16" t="n">
        <v>0</v>
      </c>
      <c r="F932" s="16" t="n">
        <v>0</v>
      </c>
      <c r="G932" s="16" t="s">
        <v>647</v>
      </c>
    </row>
    <row r="933" customFormat="false" ht="15" hidden="false" customHeight="false" outlineLevel="0" collapsed="false">
      <c r="A933" s="16" t="s">
        <v>374</v>
      </c>
      <c r="B933" s="16" t="s">
        <v>282</v>
      </c>
      <c r="C933" s="16" t="n">
        <v>0</v>
      </c>
      <c r="D933" s="16" t="s">
        <v>290</v>
      </c>
      <c r="E933" s="16" t="n">
        <v>0</v>
      </c>
      <c r="F933" s="16" t="n">
        <v>0</v>
      </c>
      <c r="G933" s="16" t="s">
        <v>647</v>
      </c>
    </row>
    <row r="934" customFormat="false" ht="15" hidden="false" customHeight="false" outlineLevel="0" collapsed="false">
      <c r="A934" s="16" t="s">
        <v>374</v>
      </c>
      <c r="B934" s="16" t="s">
        <v>290</v>
      </c>
      <c r="C934" s="16" t="n">
        <v>0</v>
      </c>
      <c r="D934" s="16" t="s">
        <v>295</v>
      </c>
      <c r="E934" s="16" t="n">
        <v>0</v>
      </c>
      <c r="F934" s="16" t="n">
        <v>0</v>
      </c>
      <c r="G934" s="16" t="s">
        <v>647</v>
      </c>
    </row>
    <row r="935" customFormat="false" ht="15" hidden="false" customHeight="false" outlineLevel="0" collapsed="false">
      <c r="A935" s="16" t="s">
        <v>374</v>
      </c>
      <c r="B935" s="16" t="s">
        <v>295</v>
      </c>
      <c r="C935" s="16" t="n">
        <v>0</v>
      </c>
      <c r="D935" s="16" t="s">
        <v>299</v>
      </c>
      <c r="E935" s="16" t="n">
        <v>0</v>
      </c>
      <c r="F935" s="16" t="n">
        <v>0</v>
      </c>
      <c r="G935" s="16" t="s">
        <v>647</v>
      </c>
    </row>
    <row r="936" customFormat="false" ht="15" hidden="false" customHeight="false" outlineLevel="0" collapsed="false">
      <c r="A936" s="16" t="s">
        <v>374</v>
      </c>
      <c r="B936" s="16" t="s">
        <v>299</v>
      </c>
      <c r="C936" s="16" t="n">
        <v>0</v>
      </c>
      <c r="D936" s="16" t="s">
        <v>304</v>
      </c>
      <c r="E936" s="16" t="n">
        <v>0</v>
      </c>
      <c r="F936" s="16" t="n">
        <v>0</v>
      </c>
      <c r="G936" s="16" t="s">
        <v>647</v>
      </c>
    </row>
    <row r="937" customFormat="false" ht="15" hidden="false" customHeight="false" outlineLevel="0" collapsed="false">
      <c r="A937" s="16" t="s">
        <v>374</v>
      </c>
      <c r="B937" s="16" t="s">
        <v>304</v>
      </c>
      <c r="C937" s="16" t="n">
        <v>0</v>
      </c>
      <c r="D937" s="16" t="s">
        <v>307</v>
      </c>
      <c r="E937" s="16" t="n">
        <v>0</v>
      </c>
      <c r="F937" s="16" t="n">
        <v>0</v>
      </c>
      <c r="G937" s="16" t="s">
        <v>647</v>
      </c>
    </row>
    <row r="938" customFormat="false" ht="15" hidden="false" customHeight="false" outlineLevel="0" collapsed="false">
      <c r="A938" s="16" t="s">
        <v>374</v>
      </c>
      <c r="B938" s="16" t="s">
        <v>307</v>
      </c>
      <c r="C938" s="16" t="n">
        <v>0</v>
      </c>
      <c r="D938" s="16" t="s">
        <v>310</v>
      </c>
      <c r="E938" s="16" t="n">
        <v>0</v>
      </c>
      <c r="F938" s="16" t="n">
        <v>0</v>
      </c>
      <c r="G938" s="16" t="s">
        <v>647</v>
      </c>
    </row>
    <row r="939" customFormat="false" ht="15" hidden="false" customHeight="false" outlineLevel="0" collapsed="false">
      <c r="A939" s="16" t="s">
        <v>374</v>
      </c>
      <c r="B939" s="16" t="s">
        <v>310</v>
      </c>
      <c r="C939" s="16" t="n">
        <v>0</v>
      </c>
      <c r="D939" s="16" t="s">
        <v>320</v>
      </c>
      <c r="E939" s="16" t="n">
        <v>0</v>
      </c>
      <c r="F939" s="16" t="n">
        <v>0</v>
      </c>
      <c r="G939" s="16" t="s">
        <v>647</v>
      </c>
    </row>
    <row r="940" customFormat="false" ht="15" hidden="false" customHeight="false" outlineLevel="0" collapsed="false">
      <c r="A940" s="16" t="s">
        <v>374</v>
      </c>
      <c r="B940" s="16" t="s">
        <v>320</v>
      </c>
      <c r="C940" s="16" t="n">
        <v>0</v>
      </c>
      <c r="D940" s="16" t="s">
        <v>322</v>
      </c>
      <c r="E940" s="16" t="n">
        <v>0</v>
      </c>
      <c r="F940" s="16" t="n">
        <v>0</v>
      </c>
      <c r="G940" s="16" t="s">
        <v>647</v>
      </c>
    </row>
    <row r="941" customFormat="false" ht="15" hidden="false" customHeight="false" outlineLevel="0" collapsed="false">
      <c r="A941" s="16" t="s">
        <v>374</v>
      </c>
      <c r="B941" s="16" t="s">
        <v>322</v>
      </c>
      <c r="C941" s="16" t="n">
        <v>0</v>
      </c>
      <c r="D941" s="16" t="s">
        <v>325</v>
      </c>
      <c r="E941" s="16" t="n">
        <v>0</v>
      </c>
      <c r="F941" s="16" t="n">
        <v>0</v>
      </c>
      <c r="G941" s="16" t="s">
        <v>647</v>
      </c>
    </row>
    <row r="942" customFormat="false" ht="15" hidden="false" customHeight="false" outlineLevel="0" collapsed="false">
      <c r="A942" s="16" t="s">
        <v>374</v>
      </c>
      <c r="B942" s="16" t="s">
        <v>325</v>
      </c>
      <c r="C942" s="16" t="n">
        <v>0</v>
      </c>
      <c r="D942" s="16" t="s">
        <v>332</v>
      </c>
      <c r="E942" s="16" t="n">
        <v>0</v>
      </c>
      <c r="F942" s="16" t="n">
        <v>0</v>
      </c>
      <c r="G942" s="16" t="s">
        <v>647</v>
      </c>
    </row>
    <row r="943" customFormat="false" ht="15" hidden="false" customHeight="false" outlineLevel="0" collapsed="false">
      <c r="A943" s="16" t="s">
        <v>374</v>
      </c>
      <c r="B943" s="16" t="s">
        <v>332</v>
      </c>
      <c r="C943" s="16" t="n">
        <v>0</v>
      </c>
      <c r="D943" s="16" t="s">
        <v>335</v>
      </c>
      <c r="E943" s="16" t="n">
        <v>0</v>
      </c>
      <c r="F943" s="16" t="n">
        <v>0</v>
      </c>
      <c r="G943" s="16" t="s">
        <v>647</v>
      </c>
    </row>
    <row r="944" customFormat="false" ht="15" hidden="false" customHeight="false" outlineLevel="0" collapsed="false">
      <c r="A944" s="16" t="s">
        <v>374</v>
      </c>
      <c r="B944" s="16" t="s">
        <v>335</v>
      </c>
      <c r="C944" s="16" t="n">
        <v>0</v>
      </c>
      <c r="D944" s="16" t="s">
        <v>339</v>
      </c>
      <c r="E944" s="16" t="n">
        <v>0</v>
      </c>
      <c r="F944" s="16" t="n">
        <v>0</v>
      </c>
      <c r="G944" s="16" t="s">
        <v>647</v>
      </c>
    </row>
    <row r="945" customFormat="false" ht="15" hidden="false" customHeight="false" outlineLevel="0" collapsed="false">
      <c r="A945" s="16" t="s">
        <v>374</v>
      </c>
      <c r="B945" s="16" t="s">
        <v>339</v>
      </c>
      <c r="C945" s="16" t="n">
        <v>0</v>
      </c>
      <c r="D945" s="16" t="s">
        <v>342</v>
      </c>
      <c r="E945" s="16" t="n">
        <v>0</v>
      </c>
      <c r="F945" s="16" t="n">
        <v>0</v>
      </c>
      <c r="G945" s="16" t="s">
        <v>647</v>
      </c>
    </row>
    <row r="946" customFormat="false" ht="15" hidden="false" customHeight="false" outlineLevel="0" collapsed="false">
      <c r="A946" s="16" t="s">
        <v>374</v>
      </c>
      <c r="B946" s="16" t="s">
        <v>342</v>
      </c>
      <c r="C946" s="16" t="n">
        <v>0</v>
      </c>
      <c r="D946" s="16" t="s">
        <v>351</v>
      </c>
      <c r="E946" s="16" t="n">
        <v>0</v>
      </c>
      <c r="F946" s="16" t="n">
        <v>0</v>
      </c>
      <c r="G946" s="16" t="s">
        <v>647</v>
      </c>
    </row>
    <row r="947" customFormat="false" ht="15" hidden="false" customHeight="false" outlineLevel="0" collapsed="false">
      <c r="A947" s="16" t="s">
        <v>374</v>
      </c>
      <c r="B947" s="16" t="s">
        <v>351</v>
      </c>
      <c r="C947" s="16" t="n">
        <v>0</v>
      </c>
      <c r="D947" s="16" t="s">
        <v>355</v>
      </c>
      <c r="E947" s="16" t="n">
        <v>0</v>
      </c>
      <c r="F947" s="16" t="n">
        <v>0</v>
      </c>
      <c r="G947" s="16" t="s">
        <v>647</v>
      </c>
    </row>
    <row r="948" customFormat="false" ht="15" hidden="false" customHeight="false" outlineLevel="0" collapsed="false">
      <c r="A948" s="16" t="s">
        <v>374</v>
      </c>
      <c r="B948" s="16" t="s">
        <v>355</v>
      </c>
      <c r="C948" s="16" t="n">
        <v>0</v>
      </c>
      <c r="D948" s="16" t="s">
        <v>358</v>
      </c>
      <c r="E948" s="16" t="n">
        <v>0</v>
      </c>
      <c r="F948" s="16" t="n">
        <v>0</v>
      </c>
      <c r="G948" s="16" t="s">
        <v>647</v>
      </c>
    </row>
    <row r="949" customFormat="false" ht="15" hidden="false" customHeight="false" outlineLevel="0" collapsed="false">
      <c r="A949" s="16" t="s">
        <v>374</v>
      </c>
      <c r="B949" s="16" t="s">
        <v>35</v>
      </c>
      <c r="C949" s="16" t="n">
        <v>1</v>
      </c>
      <c r="D949" s="16" t="s">
        <v>55</v>
      </c>
      <c r="E949" s="16" t="n">
        <v>1</v>
      </c>
      <c r="F949" s="16" t="n">
        <v>0</v>
      </c>
      <c r="G949" s="16" t="s">
        <v>647</v>
      </c>
    </row>
    <row r="950" customFormat="false" ht="15" hidden="false" customHeight="false" outlineLevel="0" collapsed="false">
      <c r="A950" s="16" t="s">
        <v>374</v>
      </c>
      <c r="B950" s="16" t="s">
        <v>55</v>
      </c>
      <c r="C950" s="16" t="n">
        <v>1</v>
      </c>
      <c r="D950" s="16" t="s">
        <v>67</v>
      </c>
      <c r="E950" s="16" t="n">
        <v>1</v>
      </c>
      <c r="F950" s="16" t="n">
        <v>0</v>
      </c>
      <c r="G950" s="16" t="s">
        <v>647</v>
      </c>
    </row>
    <row r="951" customFormat="false" ht="15" hidden="false" customHeight="false" outlineLevel="0" collapsed="false">
      <c r="A951" s="16" t="s">
        <v>374</v>
      </c>
      <c r="B951" s="16" t="s">
        <v>67</v>
      </c>
      <c r="C951" s="16" t="n">
        <v>1</v>
      </c>
      <c r="D951" s="16" t="s">
        <v>79</v>
      </c>
      <c r="E951" s="16" t="n">
        <v>1</v>
      </c>
      <c r="F951" s="16" t="n">
        <v>0</v>
      </c>
      <c r="G951" s="16" t="s">
        <v>647</v>
      </c>
    </row>
    <row r="952" customFormat="false" ht="15" hidden="false" customHeight="false" outlineLevel="0" collapsed="false">
      <c r="A952" s="16" t="s">
        <v>374</v>
      </c>
      <c r="B952" s="16" t="s">
        <v>79</v>
      </c>
      <c r="C952" s="16" t="n">
        <v>1</v>
      </c>
      <c r="D952" s="16" t="s">
        <v>83</v>
      </c>
      <c r="E952" s="16" t="n">
        <v>1</v>
      </c>
      <c r="F952" s="16" t="n">
        <v>0</v>
      </c>
      <c r="G952" s="16" t="s">
        <v>647</v>
      </c>
    </row>
    <row r="953" customFormat="false" ht="15" hidden="false" customHeight="false" outlineLevel="0" collapsed="false">
      <c r="A953" s="16" t="s">
        <v>374</v>
      </c>
      <c r="B953" s="16" t="s">
        <v>83</v>
      </c>
      <c r="C953" s="16" t="n">
        <v>1</v>
      </c>
      <c r="D953" s="16" t="s">
        <v>90</v>
      </c>
      <c r="E953" s="16" t="n">
        <v>1</v>
      </c>
      <c r="F953" s="16" t="n">
        <v>0</v>
      </c>
      <c r="G953" s="16" t="s">
        <v>647</v>
      </c>
    </row>
    <row r="954" customFormat="false" ht="15" hidden="false" customHeight="false" outlineLevel="0" collapsed="false">
      <c r="A954" s="16" t="s">
        <v>374</v>
      </c>
      <c r="B954" s="16" t="s">
        <v>90</v>
      </c>
      <c r="C954" s="16" t="n">
        <v>1</v>
      </c>
      <c r="D954" s="16" t="s">
        <v>109</v>
      </c>
      <c r="E954" s="16" t="n">
        <v>1</v>
      </c>
      <c r="F954" s="16" t="n">
        <v>0</v>
      </c>
      <c r="G954" s="16" t="s">
        <v>647</v>
      </c>
    </row>
    <row r="955" customFormat="false" ht="15" hidden="false" customHeight="false" outlineLevel="0" collapsed="false">
      <c r="A955" s="16" t="s">
        <v>374</v>
      </c>
      <c r="B955" s="16" t="s">
        <v>109</v>
      </c>
      <c r="C955" s="16" t="n">
        <v>1</v>
      </c>
      <c r="D955" s="16" t="s">
        <v>122</v>
      </c>
      <c r="E955" s="16" t="n">
        <v>1</v>
      </c>
      <c r="F955" s="16" t="n">
        <v>0</v>
      </c>
      <c r="G955" s="16" t="s">
        <v>647</v>
      </c>
    </row>
    <row r="956" customFormat="false" ht="15" hidden="false" customHeight="false" outlineLevel="0" collapsed="false">
      <c r="A956" s="16" t="s">
        <v>374</v>
      </c>
      <c r="B956" s="16" t="s">
        <v>122</v>
      </c>
      <c r="C956" s="16" t="n">
        <v>1</v>
      </c>
      <c r="D956" s="16" t="s">
        <v>159</v>
      </c>
      <c r="E956" s="16" t="n">
        <v>1</v>
      </c>
      <c r="F956" s="16" t="n">
        <v>0</v>
      </c>
      <c r="G956" s="16" t="s">
        <v>647</v>
      </c>
    </row>
    <row r="957" customFormat="false" ht="15" hidden="false" customHeight="false" outlineLevel="0" collapsed="false">
      <c r="A957" s="16" t="s">
        <v>374</v>
      </c>
      <c r="B957" s="16" t="s">
        <v>159</v>
      </c>
      <c r="C957" s="16" t="n">
        <v>1</v>
      </c>
      <c r="D957" s="16" t="s">
        <v>171</v>
      </c>
      <c r="E957" s="16" t="n">
        <v>1</v>
      </c>
      <c r="F957" s="16" t="n">
        <v>0</v>
      </c>
      <c r="G957" s="16" t="s">
        <v>647</v>
      </c>
    </row>
    <row r="958" customFormat="false" ht="15" hidden="false" customHeight="false" outlineLevel="0" collapsed="false">
      <c r="A958" s="16" t="s">
        <v>374</v>
      </c>
      <c r="B958" s="16" t="s">
        <v>171</v>
      </c>
      <c r="C958" s="16" t="n">
        <v>1</v>
      </c>
      <c r="D958" s="16" t="s">
        <v>181</v>
      </c>
      <c r="E958" s="16" t="n">
        <v>1</v>
      </c>
      <c r="F958" s="16" t="n">
        <v>0</v>
      </c>
      <c r="G958" s="16" t="s">
        <v>647</v>
      </c>
    </row>
    <row r="959" customFormat="false" ht="15" hidden="false" customHeight="false" outlineLevel="0" collapsed="false">
      <c r="A959" s="16" t="s">
        <v>374</v>
      </c>
      <c r="B959" s="16" t="s">
        <v>181</v>
      </c>
      <c r="C959" s="16" t="n">
        <v>1</v>
      </c>
      <c r="D959" s="16" t="s">
        <v>199</v>
      </c>
      <c r="E959" s="16" t="n">
        <v>1</v>
      </c>
      <c r="F959" s="16" t="n">
        <v>0</v>
      </c>
      <c r="G959" s="16" t="s">
        <v>647</v>
      </c>
    </row>
    <row r="960" customFormat="false" ht="15" hidden="false" customHeight="false" outlineLevel="0" collapsed="false">
      <c r="A960" s="16" t="s">
        <v>374</v>
      </c>
      <c r="B960" s="16" t="s">
        <v>199</v>
      </c>
      <c r="C960" s="16" t="n">
        <v>1</v>
      </c>
      <c r="D960" s="16" t="s">
        <v>219</v>
      </c>
      <c r="E960" s="16" t="n">
        <v>1</v>
      </c>
      <c r="F960" s="16" t="n">
        <v>0</v>
      </c>
      <c r="G960" s="16" t="s">
        <v>647</v>
      </c>
    </row>
    <row r="961" customFormat="false" ht="15" hidden="false" customHeight="false" outlineLevel="0" collapsed="false">
      <c r="A961" s="16" t="s">
        <v>374</v>
      </c>
      <c r="B961" s="16" t="s">
        <v>219</v>
      </c>
      <c r="C961" s="16" t="n">
        <v>1</v>
      </c>
      <c r="D961" s="16" t="s">
        <v>225</v>
      </c>
      <c r="E961" s="16" t="n">
        <v>1</v>
      </c>
      <c r="F961" s="16" t="n">
        <v>0</v>
      </c>
      <c r="G961" s="16" t="s">
        <v>647</v>
      </c>
    </row>
    <row r="962" customFormat="false" ht="15" hidden="false" customHeight="false" outlineLevel="0" collapsed="false">
      <c r="A962" s="16" t="s">
        <v>374</v>
      </c>
      <c r="B962" s="16" t="s">
        <v>225</v>
      </c>
      <c r="C962" s="16" t="n">
        <v>1</v>
      </c>
      <c r="D962" s="16" t="s">
        <v>266</v>
      </c>
      <c r="E962" s="16" t="n">
        <v>1</v>
      </c>
      <c r="F962" s="16" t="n">
        <v>0</v>
      </c>
      <c r="G962" s="16" t="s">
        <v>647</v>
      </c>
    </row>
    <row r="963" customFormat="false" ht="15" hidden="false" customHeight="false" outlineLevel="0" collapsed="false">
      <c r="A963" s="16" t="s">
        <v>374</v>
      </c>
      <c r="B963" s="16" t="s">
        <v>266</v>
      </c>
      <c r="C963" s="16" t="n">
        <v>1</v>
      </c>
      <c r="D963" s="16" t="s">
        <v>276</v>
      </c>
      <c r="E963" s="16" t="n">
        <v>1</v>
      </c>
      <c r="F963" s="16" t="n">
        <v>0</v>
      </c>
      <c r="G963" s="16" t="s">
        <v>647</v>
      </c>
    </row>
    <row r="964" customFormat="false" ht="15" hidden="false" customHeight="false" outlineLevel="0" collapsed="false">
      <c r="A964" s="16" t="s">
        <v>374</v>
      </c>
      <c r="B964" s="16" t="s">
        <v>276</v>
      </c>
      <c r="C964" s="16" t="n">
        <v>1</v>
      </c>
      <c r="D964" s="16" t="s">
        <v>317</v>
      </c>
      <c r="E964" s="16" t="n">
        <v>1</v>
      </c>
      <c r="F964" s="16" t="n">
        <v>0</v>
      </c>
      <c r="G964" s="16" t="s">
        <v>647</v>
      </c>
    </row>
    <row r="965" customFormat="false" ht="15" hidden="false" customHeight="false" outlineLevel="0" collapsed="false">
      <c r="A965" s="16" t="s">
        <v>374</v>
      </c>
      <c r="B965" s="16" t="s">
        <v>317</v>
      </c>
      <c r="C965" s="16" t="n">
        <v>1</v>
      </c>
      <c r="D965" s="16" t="s">
        <v>345</v>
      </c>
      <c r="E965" s="16" t="n">
        <v>1</v>
      </c>
      <c r="F965" s="16" t="n">
        <v>0</v>
      </c>
      <c r="G965" s="16" t="s">
        <v>647</v>
      </c>
    </row>
    <row r="966" customFormat="false" ht="15" hidden="false" customHeight="false" outlineLevel="0" collapsed="false">
      <c r="A966" s="16" t="s">
        <v>374</v>
      </c>
      <c r="B966" s="16" t="s">
        <v>345</v>
      </c>
      <c r="C966" s="16" t="n">
        <v>1</v>
      </c>
      <c r="D966" s="16" t="s">
        <v>348</v>
      </c>
      <c r="E966" s="16" t="n">
        <v>1</v>
      </c>
      <c r="F966" s="16" t="n">
        <v>0</v>
      </c>
      <c r="G966" s="16" t="s">
        <v>647</v>
      </c>
    </row>
    <row r="967" customFormat="false" ht="15" hidden="false" customHeight="false" outlineLevel="0" collapsed="false">
      <c r="A967" s="16" t="s">
        <v>374</v>
      </c>
      <c r="B967" s="16" t="s">
        <v>39</v>
      </c>
      <c r="C967" s="16" t="n">
        <v>2</v>
      </c>
      <c r="D967" s="16" t="s">
        <v>126</v>
      </c>
      <c r="E967" s="16" t="n">
        <v>2</v>
      </c>
      <c r="F967" s="16" t="n">
        <v>0</v>
      </c>
      <c r="G967" s="16" t="s">
        <v>647</v>
      </c>
    </row>
    <row r="968" customFormat="false" ht="15" hidden="false" customHeight="false" outlineLevel="0" collapsed="false">
      <c r="A968" s="16" t="s">
        <v>374</v>
      </c>
      <c r="B968" s="16" t="s">
        <v>126</v>
      </c>
      <c r="C968" s="16" t="n">
        <v>2</v>
      </c>
      <c r="D968" s="16" t="s">
        <v>133</v>
      </c>
      <c r="E968" s="16" t="n">
        <v>2</v>
      </c>
      <c r="F968" s="16" t="n">
        <v>0</v>
      </c>
      <c r="G968" s="16" t="s">
        <v>647</v>
      </c>
    </row>
    <row r="969" customFormat="false" ht="15" hidden="false" customHeight="false" outlineLevel="0" collapsed="false">
      <c r="A969" s="16" t="s">
        <v>374</v>
      </c>
      <c r="B969" s="16" t="s">
        <v>133</v>
      </c>
      <c r="C969" s="16" t="n">
        <v>2</v>
      </c>
      <c r="D969" s="16" t="s">
        <v>248</v>
      </c>
      <c r="E969" s="16" t="n">
        <v>2</v>
      </c>
      <c r="F969" s="16" t="n">
        <v>0</v>
      </c>
      <c r="G969" s="16" t="s">
        <v>647</v>
      </c>
    </row>
    <row r="970" customFormat="false" ht="15" hidden="false" customHeight="false" outlineLevel="0" collapsed="false">
      <c r="A970" s="16" t="s">
        <v>374</v>
      </c>
      <c r="B970" s="16" t="s">
        <v>248</v>
      </c>
      <c r="C970" s="16" t="n">
        <v>2</v>
      </c>
      <c r="D970" s="16" t="s">
        <v>302</v>
      </c>
      <c r="E970" s="16" t="n">
        <v>2</v>
      </c>
      <c r="F970" s="16" t="n">
        <v>0</v>
      </c>
      <c r="G970" s="16" t="s">
        <v>647</v>
      </c>
    </row>
    <row r="971" customFormat="false" ht="15" hidden="false" customHeight="false" outlineLevel="0" collapsed="false">
      <c r="A971" s="16" t="s">
        <v>374</v>
      </c>
      <c r="B971" s="16" t="s">
        <v>302</v>
      </c>
      <c r="C971" s="16" t="n">
        <v>2</v>
      </c>
      <c r="D971" s="16" t="s">
        <v>328</v>
      </c>
      <c r="E971" s="16" t="n">
        <v>2</v>
      </c>
      <c r="F971" s="16" t="n">
        <v>0</v>
      </c>
      <c r="G971" s="16" t="s">
        <v>647</v>
      </c>
    </row>
    <row r="972" customFormat="false" ht="15" hidden="false" customHeight="false" outlineLevel="0" collapsed="false">
      <c r="A972" s="16" t="s">
        <v>374</v>
      </c>
      <c r="B972" s="16" t="s">
        <v>270</v>
      </c>
      <c r="C972" s="16" t="n">
        <v>3</v>
      </c>
      <c r="D972" s="16" t="s">
        <v>286</v>
      </c>
      <c r="E972" s="16" t="n">
        <v>3</v>
      </c>
      <c r="F972" s="16" t="n">
        <v>0</v>
      </c>
      <c r="G972" s="16" t="s">
        <v>647</v>
      </c>
    </row>
    <row r="973" customFormat="false" ht="15" hidden="false" customHeight="false" outlineLevel="0" collapsed="false">
      <c r="A973" s="16" t="s">
        <v>374</v>
      </c>
      <c r="B973" s="16" t="s">
        <v>22</v>
      </c>
      <c r="C973" s="16" t="n">
        <v>5</v>
      </c>
      <c r="D973" s="16" t="s">
        <v>313</v>
      </c>
      <c r="E973" s="16" t="n">
        <v>5</v>
      </c>
      <c r="F973" s="16" t="n">
        <v>0</v>
      </c>
      <c r="G973" s="16" t="s">
        <v>647</v>
      </c>
    </row>
    <row r="974" customFormat="false" ht="15" hidden="false" customHeight="false" outlineLevel="0" collapsed="false">
      <c r="A974" s="16" t="s">
        <v>375</v>
      </c>
      <c r="B974" s="16" t="s">
        <v>332</v>
      </c>
      <c r="C974" s="16" t="n">
        <v>0</v>
      </c>
      <c r="D974" s="16" t="s">
        <v>39</v>
      </c>
      <c r="E974" s="16" t="n">
        <v>1</v>
      </c>
      <c r="F974" s="16" t="n">
        <v>1</v>
      </c>
      <c r="G974" s="16"/>
    </row>
    <row r="975" customFormat="false" ht="15" hidden="false" customHeight="false" outlineLevel="0" collapsed="false">
      <c r="A975" s="16" t="s">
        <v>375</v>
      </c>
      <c r="B975" s="16" t="s">
        <v>39</v>
      </c>
      <c r="C975" s="16" t="n">
        <v>1</v>
      </c>
      <c r="D975" s="16" t="s">
        <v>109</v>
      </c>
      <c r="E975" s="16" t="n">
        <v>1</v>
      </c>
      <c r="F975" s="16" t="n">
        <v>0</v>
      </c>
      <c r="G975" s="16" t="s">
        <v>647</v>
      </c>
    </row>
    <row r="976" customFormat="false" ht="15" hidden="false" customHeight="false" outlineLevel="0" collapsed="false">
      <c r="A976" s="16" t="s">
        <v>375</v>
      </c>
      <c r="B976" s="16" t="s">
        <v>109</v>
      </c>
      <c r="C976" s="16" t="n">
        <v>1</v>
      </c>
      <c r="D976" s="16" t="s">
        <v>129</v>
      </c>
      <c r="E976" s="16" t="n">
        <v>1</v>
      </c>
      <c r="F976" s="16" t="n">
        <v>0</v>
      </c>
      <c r="G976" s="16" t="s">
        <v>647</v>
      </c>
    </row>
    <row r="977" customFormat="false" ht="15" hidden="false" customHeight="false" outlineLevel="0" collapsed="false">
      <c r="A977" s="16" t="s">
        <v>375</v>
      </c>
      <c r="B977" s="16" t="s">
        <v>129</v>
      </c>
      <c r="C977" s="16" t="n">
        <v>1</v>
      </c>
      <c r="D977" s="16" t="s">
        <v>148</v>
      </c>
      <c r="E977" s="16" t="n">
        <v>1</v>
      </c>
      <c r="F977" s="16" t="n">
        <v>0</v>
      </c>
      <c r="G977" s="16" t="s">
        <v>647</v>
      </c>
    </row>
    <row r="978" customFormat="false" ht="15" hidden="false" customHeight="false" outlineLevel="0" collapsed="false">
      <c r="A978" s="16" t="s">
        <v>375</v>
      </c>
      <c r="B978" s="16" t="s">
        <v>148</v>
      </c>
      <c r="C978" s="16" t="n">
        <v>1</v>
      </c>
      <c r="D978" s="16" t="s">
        <v>155</v>
      </c>
      <c r="E978" s="16" t="n">
        <v>1</v>
      </c>
      <c r="F978" s="16" t="n">
        <v>0</v>
      </c>
      <c r="G978" s="16" t="s">
        <v>647</v>
      </c>
    </row>
    <row r="979" customFormat="false" ht="15" hidden="false" customHeight="false" outlineLevel="0" collapsed="false">
      <c r="A979" s="16" t="s">
        <v>375</v>
      </c>
      <c r="B979" s="16" t="s">
        <v>155</v>
      </c>
      <c r="C979" s="16" t="n">
        <v>1</v>
      </c>
      <c r="D979" s="16" t="s">
        <v>174</v>
      </c>
      <c r="E979" s="16" t="n">
        <v>1</v>
      </c>
      <c r="F979" s="16" t="n">
        <v>0</v>
      </c>
      <c r="G979" s="16" t="s">
        <v>647</v>
      </c>
    </row>
    <row r="980" customFormat="false" ht="15" hidden="false" customHeight="false" outlineLevel="0" collapsed="false">
      <c r="A980" s="16" t="s">
        <v>375</v>
      </c>
      <c r="B980" s="16" t="s">
        <v>174</v>
      </c>
      <c r="C980" s="16" t="n">
        <v>1</v>
      </c>
      <c r="D980" s="16" t="s">
        <v>299</v>
      </c>
      <c r="E980" s="16" t="n">
        <v>1</v>
      </c>
      <c r="F980" s="16" t="n">
        <v>0</v>
      </c>
      <c r="G980" s="16" t="s">
        <v>647</v>
      </c>
    </row>
    <row r="981" customFormat="false" ht="15" hidden="false" customHeight="false" outlineLevel="0" collapsed="false">
      <c r="A981" s="16" t="s">
        <v>375</v>
      </c>
      <c r="B981" s="16" t="s">
        <v>299</v>
      </c>
      <c r="C981" s="16" t="n">
        <v>1</v>
      </c>
      <c r="D981" s="16" t="s">
        <v>339</v>
      </c>
      <c r="E981" s="16" t="n">
        <v>1</v>
      </c>
      <c r="F981" s="16" t="n">
        <v>0</v>
      </c>
      <c r="G981" s="16" t="s">
        <v>647</v>
      </c>
    </row>
    <row r="982" customFormat="false" ht="15" hidden="false" customHeight="false" outlineLevel="0" collapsed="false">
      <c r="A982" s="16" t="s">
        <v>375</v>
      </c>
      <c r="B982" s="16" t="s">
        <v>339</v>
      </c>
      <c r="C982" s="16" t="n">
        <v>1</v>
      </c>
      <c r="D982" s="16" t="s">
        <v>100</v>
      </c>
      <c r="E982" s="16" t="n">
        <v>2</v>
      </c>
      <c r="F982" s="16" t="n">
        <v>1</v>
      </c>
      <c r="G982" s="16"/>
    </row>
    <row r="983" customFormat="false" ht="15" hidden="false" customHeight="false" outlineLevel="0" collapsed="false">
      <c r="A983" s="16" t="s">
        <v>375</v>
      </c>
      <c r="B983" s="16" t="s">
        <v>100</v>
      </c>
      <c r="C983" s="16" t="n">
        <v>2</v>
      </c>
      <c r="D983" s="16" t="s">
        <v>335</v>
      </c>
      <c r="E983" s="16" t="n">
        <v>2</v>
      </c>
      <c r="F983" s="16" t="n">
        <v>0</v>
      </c>
      <c r="G983" s="16" t="s">
        <v>647</v>
      </c>
    </row>
    <row r="984" customFormat="false" ht="15" hidden="false" customHeight="false" outlineLevel="0" collapsed="false">
      <c r="A984" s="16" t="s">
        <v>375</v>
      </c>
      <c r="B984" s="16" t="s">
        <v>335</v>
      </c>
      <c r="C984" s="16" t="n">
        <v>2</v>
      </c>
      <c r="D984" s="16" t="s">
        <v>355</v>
      </c>
      <c r="E984" s="16" t="n">
        <v>3</v>
      </c>
      <c r="F984" s="16" t="n">
        <v>1</v>
      </c>
      <c r="G984" s="16"/>
    </row>
    <row r="985" customFormat="false" ht="15" hidden="false" customHeight="false" outlineLevel="0" collapsed="false">
      <c r="A985" s="16" t="s">
        <v>375</v>
      </c>
      <c r="B985" s="16" t="s">
        <v>355</v>
      </c>
      <c r="C985" s="16" t="n">
        <v>3</v>
      </c>
      <c r="D985" s="16" t="s">
        <v>75</v>
      </c>
      <c r="E985" s="16" t="n">
        <v>4</v>
      </c>
      <c r="F985" s="16" t="n">
        <v>1</v>
      </c>
      <c r="G985" s="16"/>
    </row>
    <row r="986" customFormat="false" ht="15" hidden="false" customHeight="false" outlineLevel="0" collapsed="false">
      <c r="A986" s="16" t="s">
        <v>375</v>
      </c>
      <c r="B986" s="16" t="s">
        <v>75</v>
      </c>
      <c r="C986" s="16" t="n">
        <v>4</v>
      </c>
      <c r="D986" s="16" t="s">
        <v>187</v>
      </c>
      <c r="E986" s="16" t="n">
        <v>4</v>
      </c>
      <c r="F986" s="16" t="n">
        <v>0</v>
      </c>
      <c r="G986" s="16" t="s">
        <v>647</v>
      </c>
    </row>
    <row r="987" customFormat="false" ht="15" hidden="false" customHeight="false" outlineLevel="0" collapsed="false">
      <c r="A987" s="16" t="s">
        <v>375</v>
      </c>
      <c r="B987" s="16" t="s">
        <v>187</v>
      </c>
      <c r="C987" s="16" t="n">
        <v>4</v>
      </c>
      <c r="D987" s="16" t="s">
        <v>205</v>
      </c>
      <c r="E987" s="16" t="n">
        <v>4</v>
      </c>
      <c r="F987" s="16" t="n">
        <v>0</v>
      </c>
      <c r="G987" s="16" t="s">
        <v>647</v>
      </c>
    </row>
    <row r="988" customFormat="false" ht="15" hidden="false" customHeight="false" outlineLevel="0" collapsed="false">
      <c r="A988" s="16" t="s">
        <v>375</v>
      </c>
      <c r="B988" s="16" t="s">
        <v>205</v>
      </c>
      <c r="C988" s="16" t="n">
        <v>4</v>
      </c>
      <c r="D988" s="16" t="s">
        <v>242</v>
      </c>
      <c r="E988" s="16" t="n">
        <v>4</v>
      </c>
      <c r="F988" s="16" t="n">
        <v>0</v>
      </c>
      <c r="G988" s="16" t="s">
        <v>647</v>
      </c>
    </row>
    <row r="989" customFormat="false" ht="15" hidden="false" customHeight="false" outlineLevel="0" collapsed="false">
      <c r="A989" s="16" t="s">
        <v>375</v>
      </c>
      <c r="B989" s="16" t="s">
        <v>242</v>
      </c>
      <c r="C989" s="16" t="n">
        <v>4</v>
      </c>
      <c r="D989" s="16" t="s">
        <v>245</v>
      </c>
      <c r="E989" s="16" t="n">
        <v>4</v>
      </c>
      <c r="F989" s="16" t="n">
        <v>0</v>
      </c>
      <c r="G989" s="16" t="s">
        <v>647</v>
      </c>
    </row>
    <row r="990" customFormat="false" ht="15" hidden="false" customHeight="false" outlineLevel="0" collapsed="false">
      <c r="A990" s="16" t="s">
        <v>375</v>
      </c>
      <c r="B990" s="16" t="s">
        <v>245</v>
      </c>
      <c r="C990" s="16" t="n">
        <v>4</v>
      </c>
      <c r="D990" s="16" t="s">
        <v>51</v>
      </c>
      <c r="E990" s="16" t="n">
        <v>5</v>
      </c>
      <c r="F990" s="16" t="n">
        <v>1</v>
      </c>
      <c r="G990" s="16"/>
    </row>
    <row r="991" customFormat="false" ht="15" hidden="false" customHeight="false" outlineLevel="0" collapsed="false">
      <c r="A991" s="16" t="s">
        <v>375</v>
      </c>
      <c r="B991" s="16" t="s">
        <v>51</v>
      </c>
      <c r="C991" s="16" t="n">
        <v>5</v>
      </c>
      <c r="D991" s="16" t="s">
        <v>209</v>
      </c>
      <c r="E991" s="16" t="n">
        <v>5</v>
      </c>
      <c r="F991" s="16" t="n">
        <v>0</v>
      </c>
      <c r="G991" s="16" t="s">
        <v>647</v>
      </c>
    </row>
    <row r="992" customFormat="false" ht="15" hidden="false" customHeight="false" outlineLevel="0" collapsed="false">
      <c r="A992" s="16" t="s">
        <v>375</v>
      </c>
      <c r="B992" s="16" t="s">
        <v>209</v>
      </c>
      <c r="C992" s="16" t="n">
        <v>5</v>
      </c>
      <c r="D992" s="16" t="s">
        <v>216</v>
      </c>
      <c r="E992" s="16" t="n">
        <v>5</v>
      </c>
      <c r="F992" s="16" t="n">
        <v>0</v>
      </c>
      <c r="G992" s="16" t="s">
        <v>647</v>
      </c>
    </row>
    <row r="993" customFormat="false" ht="15" hidden="false" customHeight="false" outlineLevel="0" collapsed="false">
      <c r="A993" s="16" t="s">
        <v>375</v>
      </c>
      <c r="B993" s="16" t="s">
        <v>216</v>
      </c>
      <c r="C993" s="16" t="n">
        <v>5</v>
      </c>
      <c r="D993" s="16" t="s">
        <v>219</v>
      </c>
      <c r="E993" s="16" t="n">
        <v>5</v>
      </c>
      <c r="F993" s="16" t="n">
        <v>0</v>
      </c>
      <c r="G993" s="16" t="s">
        <v>647</v>
      </c>
    </row>
    <row r="994" customFormat="false" ht="15" hidden="false" customHeight="false" outlineLevel="0" collapsed="false">
      <c r="A994" s="16" t="s">
        <v>375</v>
      </c>
      <c r="B994" s="16" t="s">
        <v>219</v>
      </c>
      <c r="C994" s="16" t="n">
        <v>5</v>
      </c>
      <c r="D994" s="16" t="s">
        <v>348</v>
      </c>
      <c r="E994" s="16" t="n">
        <v>5</v>
      </c>
      <c r="F994" s="16" t="n">
        <v>0</v>
      </c>
      <c r="G994" s="16" t="s">
        <v>647</v>
      </c>
    </row>
    <row r="995" customFormat="false" ht="15" hidden="false" customHeight="false" outlineLevel="0" collapsed="false">
      <c r="A995" s="16" t="s">
        <v>375</v>
      </c>
      <c r="B995" s="16" t="s">
        <v>348</v>
      </c>
      <c r="C995" s="16" t="n">
        <v>5</v>
      </c>
      <c r="D995" s="16" t="s">
        <v>144</v>
      </c>
      <c r="E995" s="16" t="n">
        <v>6</v>
      </c>
      <c r="F995" s="16" t="n">
        <v>1</v>
      </c>
      <c r="G995" s="16"/>
    </row>
    <row r="996" customFormat="false" ht="15" hidden="false" customHeight="false" outlineLevel="0" collapsed="false">
      <c r="A996" s="16" t="s">
        <v>375</v>
      </c>
      <c r="B996" s="16" t="s">
        <v>144</v>
      </c>
      <c r="C996" s="16" t="n">
        <v>6</v>
      </c>
      <c r="D996" s="16" t="s">
        <v>248</v>
      </c>
      <c r="E996" s="16" t="n">
        <v>6</v>
      </c>
      <c r="F996" s="16" t="n">
        <v>0</v>
      </c>
      <c r="G996" s="16" t="s">
        <v>647</v>
      </c>
    </row>
    <row r="997" customFormat="false" ht="15" hidden="false" customHeight="false" outlineLevel="0" collapsed="false">
      <c r="A997" s="16" t="s">
        <v>375</v>
      </c>
      <c r="B997" s="16" t="s">
        <v>248</v>
      </c>
      <c r="C997" s="16" t="n">
        <v>6</v>
      </c>
      <c r="D997" s="16" t="s">
        <v>47</v>
      </c>
      <c r="E997" s="16" t="n">
        <v>7</v>
      </c>
      <c r="F997" s="16" t="n">
        <v>1</v>
      </c>
      <c r="G997" s="16"/>
    </row>
    <row r="998" customFormat="false" ht="15" hidden="false" customHeight="false" outlineLevel="0" collapsed="false">
      <c r="A998" s="16" t="s">
        <v>375</v>
      </c>
      <c r="B998" s="16" t="s">
        <v>47</v>
      </c>
      <c r="C998" s="16" t="n">
        <v>7</v>
      </c>
      <c r="D998" s="16" t="s">
        <v>93</v>
      </c>
      <c r="E998" s="16" t="n">
        <v>7</v>
      </c>
      <c r="F998" s="16" t="n">
        <v>0</v>
      </c>
      <c r="G998" s="16" t="s">
        <v>647</v>
      </c>
    </row>
    <row r="999" customFormat="false" ht="15" hidden="false" customHeight="false" outlineLevel="0" collapsed="false">
      <c r="A999" s="16" t="s">
        <v>375</v>
      </c>
      <c r="B999" s="16" t="s">
        <v>93</v>
      </c>
      <c r="C999" s="16" t="n">
        <v>7</v>
      </c>
      <c r="D999" s="16" t="s">
        <v>230</v>
      </c>
      <c r="E999" s="16" t="n">
        <v>7</v>
      </c>
      <c r="F999" s="16" t="n">
        <v>0</v>
      </c>
      <c r="G999" s="16" t="s">
        <v>647</v>
      </c>
    </row>
    <row r="1000" customFormat="false" ht="15" hidden="false" customHeight="false" outlineLevel="0" collapsed="false">
      <c r="A1000" s="16" t="s">
        <v>375</v>
      </c>
      <c r="B1000" s="16" t="s">
        <v>230</v>
      </c>
      <c r="C1000" s="16" t="n">
        <v>7</v>
      </c>
      <c r="D1000" s="16" t="s">
        <v>31</v>
      </c>
      <c r="E1000" s="16" t="n">
        <v>8</v>
      </c>
      <c r="F1000" s="16" t="n">
        <v>1</v>
      </c>
      <c r="G1000" s="16"/>
    </row>
    <row r="1001" customFormat="false" ht="15" hidden="false" customHeight="false" outlineLevel="0" collapsed="false">
      <c r="A1001" s="16" t="s">
        <v>375</v>
      </c>
      <c r="B1001" s="16" t="s">
        <v>31</v>
      </c>
      <c r="C1001" s="16" t="n">
        <v>8</v>
      </c>
      <c r="D1001" s="16" t="s">
        <v>184</v>
      </c>
      <c r="E1001" s="16" t="n">
        <v>8</v>
      </c>
      <c r="F1001" s="16" t="n">
        <v>0</v>
      </c>
      <c r="G1001" s="16" t="s">
        <v>647</v>
      </c>
    </row>
    <row r="1002" customFormat="false" ht="15" hidden="false" customHeight="false" outlineLevel="0" collapsed="false">
      <c r="A1002" s="16" t="s">
        <v>375</v>
      </c>
      <c r="B1002" s="16" t="s">
        <v>184</v>
      </c>
      <c r="C1002" s="16" t="n">
        <v>8</v>
      </c>
      <c r="D1002" s="16" t="s">
        <v>322</v>
      </c>
      <c r="E1002" s="16" t="n">
        <v>8</v>
      </c>
      <c r="F1002" s="16" t="n">
        <v>0</v>
      </c>
      <c r="G1002" s="16" t="s">
        <v>647</v>
      </c>
    </row>
    <row r="1003" customFormat="false" ht="15" hidden="false" customHeight="false" outlineLevel="0" collapsed="false">
      <c r="A1003" s="16" t="s">
        <v>375</v>
      </c>
      <c r="B1003" s="16" t="s">
        <v>322</v>
      </c>
      <c r="C1003" s="16" t="n">
        <v>8</v>
      </c>
      <c r="D1003" s="16" t="s">
        <v>35</v>
      </c>
      <c r="E1003" s="16" t="n">
        <v>9</v>
      </c>
      <c r="F1003" s="16" t="n">
        <v>1</v>
      </c>
      <c r="G1003" s="16"/>
    </row>
    <row r="1004" customFormat="false" ht="15" hidden="false" customHeight="false" outlineLevel="0" collapsed="false">
      <c r="A1004" s="16" t="s">
        <v>375</v>
      </c>
      <c r="B1004" s="16" t="s">
        <v>35</v>
      </c>
      <c r="C1004" s="16" t="n">
        <v>9</v>
      </c>
      <c r="D1004" s="16" t="s">
        <v>159</v>
      </c>
      <c r="E1004" s="16" t="n">
        <v>9</v>
      </c>
      <c r="F1004" s="16" t="n">
        <v>0</v>
      </c>
      <c r="G1004" s="16" t="s">
        <v>647</v>
      </c>
    </row>
    <row r="1005" customFormat="false" ht="15" hidden="false" customHeight="false" outlineLevel="0" collapsed="false">
      <c r="A1005" s="16" t="s">
        <v>375</v>
      </c>
      <c r="B1005" s="16" t="s">
        <v>159</v>
      </c>
      <c r="C1005" s="16" t="n">
        <v>9</v>
      </c>
      <c r="D1005" s="16" t="s">
        <v>162</v>
      </c>
      <c r="E1005" s="16" t="n">
        <v>9</v>
      </c>
      <c r="F1005" s="16" t="n">
        <v>0</v>
      </c>
      <c r="G1005" s="16" t="s">
        <v>647</v>
      </c>
    </row>
    <row r="1006" customFormat="false" ht="15" hidden="false" customHeight="false" outlineLevel="0" collapsed="false">
      <c r="A1006" s="16" t="s">
        <v>375</v>
      </c>
      <c r="B1006" s="16" t="s">
        <v>162</v>
      </c>
      <c r="C1006" s="16" t="n">
        <v>9</v>
      </c>
      <c r="D1006" s="16" t="s">
        <v>166</v>
      </c>
      <c r="E1006" s="16" t="n">
        <v>9</v>
      </c>
      <c r="F1006" s="16" t="n">
        <v>0</v>
      </c>
      <c r="G1006" s="16" t="s">
        <v>647</v>
      </c>
    </row>
    <row r="1007" customFormat="false" ht="15" hidden="false" customHeight="false" outlineLevel="0" collapsed="false">
      <c r="A1007" s="16" t="s">
        <v>375</v>
      </c>
      <c r="B1007" s="16" t="s">
        <v>166</v>
      </c>
      <c r="C1007" s="16" t="n">
        <v>9</v>
      </c>
      <c r="D1007" s="16" t="s">
        <v>168</v>
      </c>
      <c r="E1007" s="16" t="n">
        <v>9</v>
      </c>
      <c r="F1007" s="16" t="n">
        <v>0</v>
      </c>
      <c r="G1007" s="16" t="s">
        <v>647</v>
      </c>
    </row>
    <row r="1008" customFormat="false" ht="15" hidden="false" customHeight="false" outlineLevel="0" collapsed="false">
      <c r="A1008" s="16" t="s">
        <v>375</v>
      </c>
      <c r="B1008" s="16" t="s">
        <v>168</v>
      </c>
      <c r="C1008" s="16" t="n">
        <v>9</v>
      </c>
      <c r="D1008" s="16" t="s">
        <v>181</v>
      </c>
      <c r="E1008" s="16" t="n">
        <v>9</v>
      </c>
      <c r="F1008" s="16" t="n">
        <v>0</v>
      </c>
      <c r="G1008" s="16" t="s">
        <v>647</v>
      </c>
    </row>
    <row r="1009" customFormat="false" ht="15" hidden="false" customHeight="false" outlineLevel="0" collapsed="false">
      <c r="A1009" s="16" t="s">
        <v>375</v>
      </c>
      <c r="B1009" s="16" t="s">
        <v>181</v>
      </c>
      <c r="C1009" s="16" t="n">
        <v>9</v>
      </c>
      <c r="D1009" s="16" t="s">
        <v>43</v>
      </c>
      <c r="E1009" s="16" t="n">
        <v>10</v>
      </c>
      <c r="F1009" s="16" t="n">
        <v>1</v>
      </c>
      <c r="G1009" s="16"/>
    </row>
    <row r="1010" customFormat="false" ht="15" hidden="false" customHeight="false" outlineLevel="0" collapsed="false">
      <c r="A1010" s="16" t="s">
        <v>375</v>
      </c>
      <c r="B1010" s="16" t="s">
        <v>43</v>
      </c>
      <c r="C1010" s="16" t="n">
        <v>10</v>
      </c>
      <c r="D1010" s="16" t="s">
        <v>55</v>
      </c>
      <c r="E1010" s="16" t="n">
        <v>10</v>
      </c>
      <c r="F1010" s="16" t="n">
        <v>0</v>
      </c>
      <c r="G1010" s="16" t="s">
        <v>647</v>
      </c>
    </row>
    <row r="1011" customFormat="false" ht="15" hidden="false" customHeight="false" outlineLevel="0" collapsed="false">
      <c r="A1011" s="16" t="s">
        <v>375</v>
      </c>
      <c r="B1011" s="16" t="s">
        <v>55</v>
      </c>
      <c r="C1011" s="16" t="n">
        <v>10</v>
      </c>
      <c r="D1011" s="16" t="s">
        <v>63</v>
      </c>
      <c r="E1011" s="16" t="n">
        <v>10</v>
      </c>
      <c r="F1011" s="16" t="n">
        <v>0</v>
      </c>
      <c r="G1011" s="16" t="s">
        <v>647</v>
      </c>
    </row>
    <row r="1012" customFormat="false" ht="15" hidden="false" customHeight="false" outlineLevel="0" collapsed="false">
      <c r="A1012" s="16" t="s">
        <v>375</v>
      </c>
      <c r="B1012" s="16" t="s">
        <v>63</v>
      </c>
      <c r="C1012" s="16" t="n">
        <v>10</v>
      </c>
      <c r="D1012" s="16" t="s">
        <v>71</v>
      </c>
      <c r="E1012" s="16" t="n">
        <v>10</v>
      </c>
      <c r="F1012" s="16" t="n">
        <v>0</v>
      </c>
      <c r="G1012" s="16" t="s">
        <v>647</v>
      </c>
    </row>
    <row r="1013" customFormat="false" ht="15" hidden="false" customHeight="false" outlineLevel="0" collapsed="false">
      <c r="A1013" s="16" t="s">
        <v>375</v>
      </c>
      <c r="B1013" s="16" t="s">
        <v>71</v>
      </c>
      <c r="C1013" s="16" t="n">
        <v>10</v>
      </c>
      <c r="D1013" s="16" t="s">
        <v>122</v>
      </c>
      <c r="E1013" s="16" t="n">
        <v>11</v>
      </c>
      <c r="F1013" s="16" t="n">
        <v>1</v>
      </c>
      <c r="G1013" s="16"/>
    </row>
    <row r="1014" customFormat="false" ht="15" hidden="false" customHeight="false" outlineLevel="0" collapsed="false">
      <c r="A1014" s="16" t="s">
        <v>375</v>
      </c>
      <c r="B1014" s="16" t="s">
        <v>122</v>
      </c>
      <c r="C1014" s="16" t="n">
        <v>11</v>
      </c>
      <c r="D1014" s="16" t="s">
        <v>126</v>
      </c>
      <c r="E1014" s="16" t="n">
        <v>11</v>
      </c>
      <c r="F1014" s="16" t="n">
        <v>0</v>
      </c>
      <c r="G1014" s="16" t="s">
        <v>647</v>
      </c>
    </row>
    <row r="1015" customFormat="false" ht="15" hidden="false" customHeight="false" outlineLevel="0" collapsed="false">
      <c r="A1015" s="16" t="s">
        <v>375</v>
      </c>
      <c r="B1015" s="16" t="s">
        <v>126</v>
      </c>
      <c r="C1015" s="16" t="n">
        <v>11</v>
      </c>
      <c r="D1015" s="16" t="s">
        <v>213</v>
      </c>
      <c r="E1015" s="16" t="n">
        <v>12</v>
      </c>
      <c r="F1015" s="16" t="n">
        <v>1</v>
      </c>
      <c r="G1015" s="16"/>
    </row>
    <row r="1016" customFormat="false" ht="15" hidden="false" customHeight="false" outlineLevel="0" collapsed="false">
      <c r="A1016" s="16" t="s">
        <v>375</v>
      </c>
      <c r="B1016" s="16" t="s">
        <v>213</v>
      </c>
      <c r="C1016" s="16" t="n">
        <v>12</v>
      </c>
      <c r="D1016" s="16" t="s">
        <v>238</v>
      </c>
      <c r="E1016" s="16" t="n">
        <v>12</v>
      </c>
      <c r="F1016" s="16" t="n">
        <v>0</v>
      </c>
      <c r="G1016" s="16" t="s">
        <v>647</v>
      </c>
    </row>
    <row r="1017" customFormat="false" ht="15" hidden="false" customHeight="false" outlineLevel="0" collapsed="false">
      <c r="A1017" s="16" t="s">
        <v>375</v>
      </c>
      <c r="B1017" s="16" t="s">
        <v>238</v>
      </c>
      <c r="C1017" s="16" t="n">
        <v>12</v>
      </c>
      <c r="D1017" s="16" t="s">
        <v>67</v>
      </c>
      <c r="E1017" s="16" t="n">
        <v>13</v>
      </c>
      <c r="F1017" s="16" t="n">
        <v>1</v>
      </c>
      <c r="G1017" s="16"/>
    </row>
    <row r="1018" customFormat="false" ht="15" hidden="false" customHeight="false" outlineLevel="0" collapsed="false">
      <c r="A1018" s="16" t="s">
        <v>375</v>
      </c>
      <c r="B1018" s="16" t="s">
        <v>67</v>
      </c>
      <c r="C1018" s="16" t="n">
        <v>13</v>
      </c>
      <c r="D1018" s="16" t="s">
        <v>225</v>
      </c>
      <c r="E1018" s="16" t="n">
        <v>13</v>
      </c>
      <c r="F1018" s="16" t="n">
        <v>0</v>
      </c>
      <c r="G1018" s="16" t="s">
        <v>647</v>
      </c>
    </row>
    <row r="1019" customFormat="false" ht="15" hidden="false" customHeight="false" outlineLevel="0" collapsed="false">
      <c r="A1019" s="16" t="s">
        <v>375</v>
      </c>
      <c r="B1019" s="16" t="s">
        <v>225</v>
      </c>
      <c r="C1019" s="16" t="n">
        <v>13</v>
      </c>
      <c r="D1019" s="16" t="s">
        <v>115</v>
      </c>
      <c r="E1019" s="16" t="n">
        <v>14</v>
      </c>
      <c r="F1019" s="16" t="n">
        <v>1</v>
      </c>
      <c r="G1019" s="16"/>
    </row>
    <row r="1020" customFormat="false" ht="15" hidden="false" customHeight="false" outlineLevel="0" collapsed="false">
      <c r="A1020" s="16" t="s">
        <v>375</v>
      </c>
      <c r="B1020" s="16" t="s">
        <v>115</v>
      </c>
      <c r="C1020" s="16" t="n">
        <v>14</v>
      </c>
      <c r="D1020" s="16" t="s">
        <v>171</v>
      </c>
      <c r="E1020" s="16" t="n">
        <v>14</v>
      </c>
      <c r="F1020" s="16" t="n">
        <v>0</v>
      </c>
      <c r="G1020" s="16" t="s">
        <v>647</v>
      </c>
    </row>
    <row r="1021" customFormat="false" ht="15" hidden="false" customHeight="false" outlineLevel="0" collapsed="false">
      <c r="A1021" s="16" t="s">
        <v>375</v>
      </c>
      <c r="B1021" s="16" t="s">
        <v>171</v>
      </c>
      <c r="C1021" s="16" t="n">
        <v>14</v>
      </c>
      <c r="D1021" s="16" t="s">
        <v>351</v>
      </c>
      <c r="E1021" s="16" t="n">
        <v>14</v>
      </c>
      <c r="F1021" s="16" t="n">
        <v>0</v>
      </c>
      <c r="G1021" s="16" t="s">
        <v>647</v>
      </c>
    </row>
    <row r="1022" customFormat="false" ht="15" hidden="false" customHeight="false" outlineLevel="0" collapsed="false">
      <c r="A1022" s="16" t="s">
        <v>375</v>
      </c>
      <c r="B1022" s="16" t="s">
        <v>351</v>
      </c>
      <c r="C1022" s="16" t="n">
        <v>14</v>
      </c>
      <c r="D1022" s="16" t="s">
        <v>22</v>
      </c>
      <c r="E1022" s="16" t="n">
        <v>15</v>
      </c>
      <c r="F1022" s="16" t="n">
        <v>1</v>
      </c>
      <c r="G1022" s="16"/>
    </row>
    <row r="1023" customFormat="false" ht="15" hidden="false" customHeight="false" outlineLevel="0" collapsed="false">
      <c r="A1023" s="16" t="s">
        <v>375</v>
      </c>
      <c r="B1023" s="16" t="s">
        <v>22</v>
      </c>
      <c r="C1023" s="16" t="n">
        <v>15</v>
      </c>
      <c r="D1023" s="16" t="s">
        <v>178</v>
      </c>
      <c r="E1023" s="16" t="n">
        <v>15</v>
      </c>
      <c r="F1023" s="16" t="n">
        <v>0</v>
      </c>
      <c r="G1023" s="16" t="s">
        <v>647</v>
      </c>
    </row>
    <row r="1024" customFormat="false" ht="15" hidden="false" customHeight="false" outlineLevel="0" collapsed="false">
      <c r="A1024" s="16" t="s">
        <v>375</v>
      </c>
      <c r="B1024" s="16" t="s">
        <v>178</v>
      </c>
      <c r="C1024" s="16" t="n">
        <v>15</v>
      </c>
      <c r="D1024" s="16" t="s">
        <v>233</v>
      </c>
      <c r="E1024" s="16" t="n">
        <v>15</v>
      </c>
      <c r="F1024" s="16" t="n">
        <v>0</v>
      </c>
      <c r="G1024" s="16" t="s">
        <v>647</v>
      </c>
    </row>
    <row r="1025" customFormat="false" ht="15" hidden="false" customHeight="false" outlineLevel="0" collapsed="false">
      <c r="A1025" s="16" t="s">
        <v>375</v>
      </c>
      <c r="B1025" s="16" t="s">
        <v>233</v>
      </c>
      <c r="C1025" s="16" t="n">
        <v>15</v>
      </c>
      <c r="D1025" s="16" t="s">
        <v>251</v>
      </c>
      <c r="E1025" s="16" t="n">
        <v>15</v>
      </c>
      <c r="F1025" s="16" t="n">
        <v>0</v>
      </c>
      <c r="G1025" s="16" t="s">
        <v>647</v>
      </c>
    </row>
    <row r="1026" customFormat="false" ht="15" hidden="false" customHeight="false" outlineLevel="0" collapsed="false">
      <c r="A1026" s="16" t="s">
        <v>375</v>
      </c>
      <c r="B1026" s="16" t="s">
        <v>251</v>
      </c>
      <c r="C1026" s="16" t="n">
        <v>15</v>
      </c>
      <c r="D1026" s="16" t="s">
        <v>79</v>
      </c>
      <c r="E1026" s="16" t="n">
        <v>16</v>
      </c>
      <c r="F1026" s="16" t="n">
        <v>1</v>
      </c>
      <c r="G1026" s="16"/>
    </row>
    <row r="1027" customFormat="false" ht="15" hidden="false" customHeight="false" outlineLevel="0" collapsed="false">
      <c r="A1027" s="16" t="s">
        <v>375</v>
      </c>
      <c r="B1027" s="16" t="s">
        <v>79</v>
      </c>
      <c r="C1027" s="16" t="n">
        <v>16</v>
      </c>
      <c r="D1027" s="16" t="s">
        <v>151</v>
      </c>
      <c r="E1027" s="16" t="n">
        <v>16</v>
      </c>
      <c r="F1027" s="16" t="n">
        <v>0</v>
      </c>
      <c r="G1027" s="16" t="s">
        <v>647</v>
      </c>
    </row>
    <row r="1028" customFormat="false" ht="15" hidden="false" customHeight="false" outlineLevel="0" collapsed="false">
      <c r="A1028" s="16" t="s">
        <v>375</v>
      </c>
      <c r="B1028" s="16" t="s">
        <v>151</v>
      </c>
      <c r="C1028" s="16" t="n">
        <v>16</v>
      </c>
      <c r="D1028" s="16" t="s">
        <v>27</v>
      </c>
      <c r="E1028" s="16" t="n">
        <v>17</v>
      </c>
      <c r="F1028" s="16" t="n">
        <v>1</v>
      </c>
      <c r="G1028" s="16"/>
    </row>
    <row r="1029" customFormat="false" ht="15" hidden="false" customHeight="false" outlineLevel="0" collapsed="false">
      <c r="A1029" s="16" t="s">
        <v>375</v>
      </c>
      <c r="B1029" s="16" t="s">
        <v>27</v>
      </c>
      <c r="C1029" s="16" t="n">
        <v>17</v>
      </c>
      <c r="D1029" s="16" t="s">
        <v>118</v>
      </c>
      <c r="E1029" s="16" t="n">
        <v>17</v>
      </c>
      <c r="F1029" s="16" t="n">
        <v>0</v>
      </c>
      <c r="G1029" s="16" t="s">
        <v>647</v>
      </c>
    </row>
    <row r="1030" customFormat="false" ht="15" hidden="false" customHeight="false" outlineLevel="0" collapsed="false">
      <c r="A1030" s="16" t="s">
        <v>375</v>
      </c>
      <c r="B1030" s="16" t="s">
        <v>118</v>
      </c>
      <c r="C1030" s="16" t="n">
        <v>17</v>
      </c>
      <c r="D1030" s="16" t="s">
        <v>202</v>
      </c>
      <c r="E1030" s="16" t="n">
        <v>17</v>
      </c>
      <c r="F1030" s="16" t="n">
        <v>0</v>
      </c>
      <c r="G1030" s="16" t="s">
        <v>647</v>
      </c>
    </row>
    <row r="1031" customFormat="false" ht="15" hidden="false" customHeight="false" outlineLevel="0" collapsed="false">
      <c r="A1031" s="16" t="s">
        <v>375</v>
      </c>
      <c r="B1031" s="16" t="s">
        <v>202</v>
      </c>
      <c r="C1031" s="16" t="n">
        <v>17</v>
      </c>
      <c r="D1031" s="16" t="s">
        <v>222</v>
      </c>
      <c r="E1031" s="16" t="n">
        <v>17</v>
      </c>
      <c r="F1031" s="16" t="n">
        <v>0</v>
      </c>
      <c r="G1031" s="16" t="s">
        <v>647</v>
      </c>
    </row>
    <row r="1032" customFormat="false" ht="15" hidden="false" customHeight="false" outlineLevel="0" collapsed="false">
      <c r="A1032" s="16" t="s">
        <v>375</v>
      </c>
      <c r="B1032" s="16" t="s">
        <v>222</v>
      </c>
      <c r="C1032" s="16" t="n">
        <v>17</v>
      </c>
      <c r="D1032" s="16" t="s">
        <v>228</v>
      </c>
      <c r="E1032" s="16" t="n">
        <v>17</v>
      </c>
      <c r="F1032" s="16" t="n">
        <v>0</v>
      </c>
      <c r="G1032" s="16" t="s">
        <v>647</v>
      </c>
    </row>
    <row r="1033" customFormat="false" ht="15" hidden="false" customHeight="false" outlineLevel="0" collapsed="false">
      <c r="A1033" s="16" t="s">
        <v>375</v>
      </c>
      <c r="B1033" s="16" t="s">
        <v>228</v>
      </c>
      <c r="C1033" s="16" t="n">
        <v>17</v>
      </c>
      <c r="D1033" s="16" t="s">
        <v>59</v>
      </c>
      <c r="E1033" s="16" t="n">
        <v>18</v>
      </c>
      <c r="F1033" s="16" t="n">
        <v>1</v>
      </c>
      <c r="G1033" s="16"/>
    </row>
    <row r="1034" customFormat="false" ht="15" hidden="false" customHeight="false" outlineLevel="0" collapsed="false">
      <c r="A1034" s="16" t="s">
        <v>375</v>
      </c>
      <c r="B1034" s="16" t="s">
        <v>59</v>
      </c>
      <c r="C1034" s="16" t="n">
        <v>18</v>
      </c>
      <c r="D1034" s="16" t="s">
        <v>104</v>
      </c>
      <c r="E1034" s="16" t="n">
        <v>18</v>
      </c>
      <c r="F1034" s="16" t="n">
        <v>0</v>
      </c>
      <c r="G1034" s="16" t="s">
        <v>647</v>
      </c>
    </row>
    <row r="1035" customFormat="false" ht="15" hidden="false" customHeight="false" outlineLevel="0" collapsed="false">
      <c r="A1035" s="16" t="s">
        <v>375</v>
      </c>
      <c r="B1035" s="16" t="s">
        <v>104</v>
      </c>
      <c r="C1035" s="16" t="n">
        <v>18</v>
      </c>
      <c r="D1035" s="16" t="s">
        <v>236</v>
      </c>
      <c r="E1035" s="16" t="n">
        <v>18</v>
      </c>
      <c r="F1035" s="16" t="n">
        <v>0</v>
      </c>
      <c r="G1035" s="16" t="s">
        <v>647</v>
      </c>
    </row>
    <row r="1036" customFormat="false" ht="15" hidden="false" customHeight="false" outlineLevel="0" collapsed="false">
      <c r="A1036" s="16" t="s">
        <v>375</v>
      </c>
      <c r="B1036" s="16" t="s">
        <v>345</v>
      </c>
      <c r="C1036" s="16" t="n">
        <v>21</v>
      </c>
      <c r="D1036" s="16" t="s">
        <v>87</v>
      </c>
      <c r="E1036" s="16" t="n">
        <v>22</v>
      </c>
      <c r="F1036" s="16" t="n">
        <v>1</v>
      </c>
      <c r="G1036" s="16"/>
    </row>
    <row r="1037" customFormat="false" ht="15" hidden="false" customHeight="false" outlineLevel="0" collapsed="false">
      <c r="A1037" s="16" t="s">
        <v>375</v>
      </c>
      <c r="B1037" s="16" t="s">
        <v>87</v>
      </c>
      <c r="C1037" s="16" t="n">
        <v>22</v>
      </c>
      <c r="D1037" s="16" t="s">
        <v>90</v>
      </c>
      <c r="E1037" s="16" t="n">
        <v>23</v>
      </c>
      <c r="F1037" s="16" t="n">
        <v>1</v>
      </c>
      <c r="G1037" s="16"/>
    </row>
    <row r="1038" customFormat="false" ht="15" hidden="false" customHeight="false" outlineLevel="0" collapsed="false">
      <c r="A1038" s="16" t="s">
        <v>375</v>
      </c>
      <c r="B1038" s="16" t="s">
        <v>90</v>
      </c>
      <c r="C1038" s="16" t="n">
        <v>23</v>
      </c>
      <c r="D1038" s="16" t="s">
        <v>189</v>
      </c>
      <c r="E1038" s="16" t="n">
        <v>23</v>
      </c>
      <c r="F1038" s="16" t="n">
        <v>0</v>
      </c>
      <c r="G1038" s="16" t="s">
        <v>647</v>
      </c>
    </row>
    <row r="1039" customFormat="false" ht="15" hidden="false" customHeight="false" outlineLevel="0" collapsed="false">
      <c r="A1039" s="16" t="s">
        <v>375</v>
      </c>
      <c r="B1039" s="16" t="s">
        <v>189</v>
      </c>
      <c r="C1039" s="16" t="n">
        <v>23</v>
      </c>
      <c r="D1039" s="16" t="s">
        <v>342</v>
      </c>
      <c r="E1039" s="16" t="n">
        <v>24</v>
      </c>
      <c r="F1039" s="16" t="n">
        <v>1</v>
      </c>
      <c r="G1039" s="16"/>
    </row>
    <row r="1040" customFormat="false" ht="15" hidden="false" customHeight="false" outlineLevel="0" collapsed="false">
      <c r="A1040" s="16" t="s">
        <v>375</v>
      </c>
      <c r="B1040" s="16" t="s">
        <v>83</v>
      </c>
      <c r="C1040" s="16" t="n">
        <v>26</v>
      </c>
      <c r="D1040" s="16" t="s">
        <v>97</v>
      </c>
      <c r="E1040" s="16" t="n">
        <v>26</v>
      </c>
      <c r="F1040" s="16" t="n">
        <v>0</v>
      </c>
      <c r="G1040" s="16" t="s">
        <v>647</v>
      </c>
    </row>
    <row r="1041" customFormat="false" ht="15" hidden="false" customHeight="false" outlineLevel="0" collapsed="false">
      <c r="A1041" s="16" t="s">
        <v>375</v>
      </c>
      <c r="B1041" s="16" t="s">
        <v>192</v>
      </c>
      <c r="C1041" s="16" t="n">
        <v>28</v>
      </c>
      <c r="D1041" s="16" t="s">
        <v>195</v>
      </c>
      <c r="E1041" s="16" t="n">
        <v>28</v>
      </c>
      <c r="F1041" s="16" t="n">
        <v>0</v>
      </c>
      <c r="G1041" s="16" t="s">
        <v>647</v>
      </c>
    </row>
    <row r="1042" customFormat="false" ht="15" hidden="false" customHeight="false" outlineLevel="0" collapsed="false">
      <c r="A1042" s="16" t="s">
        <v>375</v>
      </c>
      <c r="B1042" s="16" t="s">
        <v>199</v>
      </c>
      <c r="C1042" s="16" t="n">
        <v>32</v>
      </c>
      <c r="D1042" s="16" t="s">
        <v>358</v>
      </c>
      <c r="E1042" s="16" t="n">
        <v>32</v>
      </c>
      <c r="F1042" s="16" t="n">
        <v>0</v>
      </c>
      <c r="G1042" s="16" t="s">
        <v>647</v>
      </c>
    </row>
    <row r="1043" customFormat="false" ht="15" hidden="false" customHeight="false" outlineLevel="0" collapsed="false">
      <c r="A1043" s="16" t="s">
        <v>375</v>
      </c>
      <c r="B1043" s="16" t="s">
        <v>310</v>
      </c>
      <c r="C1043" s="16" t="n">
        <v>51</v>
      </c>
      <c r="D1043" s="16" t="s">
        <v>320</v>
      </c>
      <c r="E1043" s="16" t="n">
        <v>51</v>
      </c>
      <c r="F1043" s="16" t="n">
        <v>0</v>
      </c>
      <c r="G1043" s="16" t="s">
        <v>647</v>
      </c>
    </row>
    <row r="1044" customFormat="false" ht="15" hidden="false" customHeight="false" outlineLevel="0" collapsed="false">
      <c r="A1044" s="16" t="s">
        <v>375</v>
      </c>
      <c r="B1044" s="16" t="s">
        <v>320</v>
      </c>
      <c r="C1044" s="16" t="n">
        <v>51</v>
      </c>
      <c r="D1044" s="16" t="s">
        <v>286</v>
      </c>
      <c r="E1044" s="16" t="n">
        <v>52</v>
      </c>
      <c r="F1044" s="16" t="n">
        <v>1</v>
      </c>
      <c r="G1044" s="16"/>
    </row>
    <row r="1045" customFormat="false" ht="15" hidden="false" customHeight="false" outlineLevel="0" collapsed="false">
      <c r="A1045" s="16" t="s">
        <v>375</v>
      </c>
      <c r="B1045" s="16" t="s">
        <v>279</v>
      </c>
      <c r="C1045" s="16" t="n">
        <v>70</v>
      </c>
      <c r="D1045" s="16" t="s">
        <v>266</v>
      </c>
      <c r="E1045" s="16" t="n">
        <v>71</v>
      </c>
      <c r="F1045" s="16" t="n">
        <v>1</v>
      </c>
      <c r="G1045" s="16"/>
    </row>
    <row r="1046" customFormat="false" ht="15" hidden="false" customHeight="false" outlineLevel="0" collapsed="false">
      <c r="A1046" s="16" t="s">
        <v>375</v>
      </c>
      <c r="B1046" s="16" t="s">
        <v>260</v>
      </c>
      <c r="C1046" s="16" t="n">
        <v>84</v>
      </c>
      <c r="D1046" s="16" t="s">
        <v>263</v>
      </c>
      <c r="E1046" s="16" t="n">
        <v>84</v>
      </c>
      <c r="F1046" s="16" t="n">
        <v>0</v>
      </c>
      <c r="G1046" s="16" t="s">
        <v>647</v>
      </c>
    </row>
    <row r="1047" customFormat="false" ht="15" hidden="false" customHeight="false" outlineLevel="0" collapsed="false">
      <c r="A1047" s="16" t="s">
        <v>375</v>
      </c>
      <c r="B1047" s="16" t="s">
        <v>263</v>
      </c>
      <c r="C1047" s="16" t="n">
        <v>84</v>
      </c>
      <c r="D1047" s="16" t="s">
        <v>133</v>
      </c>
      <c r="E1047" s="16" t="n">
        <v>85</v>
      </c>
      <c r="F1047" s="16" t="n">
        <v>1</v>
      </c>
      <c r="G1047" s="16"/>
    </row>
    <row r="1048" customFormat="false" ht="15" hidden="false" customHeight="false" outlineLevel="0" collapsed="false">
      <c r="A1048" s="16" t="s">
        <v>375</v>
      </c>
      <c r="B1048" s="16" t="s">
        <v>133</v>
      </c>
      <c r="C1048" s="16" t="n">
        <v>85</v>
      </c>
      <c r="D1048" s="16" t="s">
        <v>140</v>
      </c>
      <c r="E1048" s="16" t="n">
        <v>85</v>
      </c>
      <c r="F1048" s="16" t="n">
        <v>0</v>
      </c>
      <c r="G1048" s="16" t="s">
        <v>647</v>
      </c>
    </row>
    <row r="1049" customFormat="false" ht="15" hidden="false" customHeight="false" outlineLevel="0" collapsed="false">
      <c r="A1049" s="16" t="s">
        <v>375</v>
      </c>
      <c r="B1049" s="16" t="s">
        <v>254</v>
      </c>
      <c r="C1049" s="16" t="n">
        <v>87</v>
      </c>
      <c r="D1049" s="16" t="s">
        <v>257</v>
      </c>
      <c r="E1049" s="16" t="n">
        <v>87</v>
      </c>
      <c r="F1049" s="16" t="n">
        <v>0</v>
      </c>
      <c r="G1049" s="16" t="s">
        <v>647</v>
      </c>
    </row>
    <row r="1050" customFormat="false" ht="15" hidden="false" customHeight="false" outlineLevel="0" collapsed="false">
      <c r="A1050" s="16" t="s">
        <v>375</v>
      </c>
      <c r="B1050" s="16" t="s">
        <v>257</v>
      </c>
      <c r="C1050" s="16" t="n">
        <v>87</v>
      </c>
      <c r="D1050" s="16" t="s">
        <v>112</v>
      </c>
      <c r="E1050" s="16" t="n">
        <v>88</v>
      </c>
      <c r="F1050" s="16" t="n">
        <v>1</v>
      </c>
      <c r="G1050" s="16"/>
    </row>
    <row r="1051" customFormat="false" ht="15" hidden="false" customHeight="false" outlineLevel="0" collapsed="false">
      <c r="A1051" s="16" t="s">
        <v>375</v>
      </c>
      <c r="B1051" s="16" t="s">
        <v>112</v>
      </c>
      <c r="C1051" s="16" t="n">
        <v>88</v>
      </c>
      <c r="D1051" s="16" t="s">
        <v>137</v>
      </c>
      <c r="E1051" s="16" t="n">
        <v>89</v>
      </c>
      <c r="F1051" s="16" t="n">
        <v>1</v>
      </c>
      <c r="G1051" s="16"/>
    </row>
    <row r="1052" customFormat="false" ht="15" hidden="false" customHeight="false" outlineLevel="0" collapsed="false">
      <c r="A1052" s="16" t="s">
        <v>375</v>
      </c>
      <c r="B1052" s="16" t="s">
        <v>137</v>
      </c>
      <c r="C1052" s="16" t="n">
        <v>89</v>
      </c>
      <c r="D1052" s="16" t="s">
        <v>295</v>
      </c>
      <c r="E1052" s="16" t="n">
        <v>90</v>
      </c>
      <c r="F1052" s="16" t="n">
        <v>1</v>
      </c>
      <c r="G1052" s="16"/>
    </row>
    <row r="1053" customFormat="false" ht="15" hidden="false" customHeight="false" outlineLevel="0" collapsed="false">
      <c r="A1053" s="16" t="s">
        <v>375</v>
      </c>
      <c r="B1053" s="16" t="s">
        <v>290</v>
      </c>
      <c r="C1053" s="16" t="n">
        <v>95</v>
      </c>
      <c r="D1053" s="16" t="s">
        <v>313</v>
      </c>
      <c r="E1053" s="16" t="n">
        <v>95</v>
      </c>
      <c r="F1053" s="16" t="n">
        <v>0</v>
      </c>
      <c r="G1053" s="16" t="s">
        <v>647</v>
      </c>
    </row>
    <row r="1054" customFormat="false" ht="15" hidden="false" customHeight="false" outlineLevel="0" collapsed="false">
      <c r="A1054" s="16" t="s">
        <v>375</v>
      </c>
      <c r="B1054" s="16" t="s">
        <v>302</v>
      </c>
      <c r="C1054" s="16" t="n">
        <v>97</v>
      </c>
      <c r="D1054" s="16" t="s">
        <v>307</v>
      </c>
      <c r="E1054" s="16" t="n">
        <v>97</v>
      </c>
      <c r="F1054" s="16" t="n">
        <v>0</v>
      </c>
      <c r="G1054" s="16" t="s">
        <v>647</v>
      </c>
    </row>
    <row r="1055" customFormat="false" ht="15" hidden="false" customHeight="false" outlineLevel="0" collapsed="false">
      <c r="A1055" s="16" t="s">
        <v>375</v>
      </c>
      <c r="B1055" s="16" t="s">
        <v>307</v>
      </c>
      <c r="C1055" s="16" t="n">
        <v>97</v>
      </c>
      <c r="D1055" s="16" t="s">
        <v>325</v>
      </c>
      <c r="E1055" s="16" t="n">
        <v>97</v>
      </c>
      <c r="F1055" s="16" t="n">
        <v>0</v>
      </c>
      <c r="G1055" s="16" t="s">
        <v>647</v>
      </c>
    </row>
    <row r="1056" customFormat="false" ht="15" hidden="false" customHeight="false" outlineLevel="0" collapsed="false">
      <c r="A1056" s="16" t="s">
        <v>375</v>
      </c>
      <c r="B1056" s="16" t="s">
        <v>325</v>
      </c>
      <c r="C1056" s="16" t="n">
        <v>97</v>
      </c>
      <c r="D1056" s="16" t="s">
        <v>304</v>
      </c>
      <c r="E1056" s="16" t="n">
        <v>98</v>
      </c>
      <c r="F1056" s="16" t="n">
        <v>1</v>
      </c>
      <c r="G1056" s="16"/>
    </row>
    <row r="1057" customFormat="false" ht="15" hidden="false" customHeight="false" outlineLevel="0" collapsed="false">
      <c r="A1057" s="16" t="s">
        <v>375</v>
      </c>
      <c r="B1057" s="16" t="s">
        <v>304</v>
      </c>
      <c r="C1057" s="16" t="n">
        <v>98</v>
      </c>
      <c r="D1057" s="16" t="s">
        <v>317</v>
      </c>
      <c r="E1057" s="16" t="n">
        <v>98</v>
      </c>
      <c r="F1057" s="16" t="n">
        <v>0</v>
      </c>
      <c r="G1057" s="16" t="s">
        <v>647</v>
      </c>
    </row>
    <row r="1058" customFormat="false" ht="15" hidden="false" customHeight="false" outlineLevel="0" collapsed="false">
      <c r="A1058" s="16" t="s">
        <v>376</v>
      </c>
      <c r="B1058" s="16" t="s">
        <v>358</v>
      </c>
      <c r="C1058" s="16" t="n">
        <v>2</v>
      </c>
      <c r="D1058" s="16" t="s">
        <v>233</v>
      </c>
      <c r="E1058" s="16" t="n">
        <v>2.1</v>
      </c>
      <c r="F1058" s="16" t="n">
        <v>0.1</v>
      </c>
      <c r="G1058" s="16"/>
    </row>
    <row r="1059" customFormat="false" ht="15" hidden="false" customHeight="false" outlineLevel="0" collapsed="false">
      <c r="A1059" s="16" t="s">
        <v>376</v>
      </c>
      <c r="B1059" s="16" t="s">
        <v>192</v>
      </c>
      <c r="C1059" s="16" t="n">
        <v>2.4</v>
      </c>
      <c r="D1059" s="16" t="s">
        <v>199</v>
      </c>
      <c r="E1059" s="16" t="n">
        <v>2.6</v>
      </c>
      <c r="F1059" s="16" t="n">
        <v>0.2</v>
      </c>
      <c r="G1059" s="16"/>
    </row>
    <row r="1060" customFormat="false" ht="15" hidden="false" customHeight="false" outlineLevel="0" collapsed="false">
      <c r="A1060" s="16" t="s">
        <v>376</v>
      </c>
      <c r="B1060" s="16" t="s">
        <v>199</v>
      </c>
      <c r="C1060" s="16" t="n">
        <v>2.6</v>
      </c>
      <c r="D1060" s="16" t="s">
        <v>254</v>
      </c>
      <c r="E1060" s="16" t="n">
        <v>2.6</v>
      </c>
      <c r="F1060" s="16" t="n">
        <v>0</v>
      </c>
      <c r="G1060" s="16" t="s">
        <v>647</v>
      </c>
    </row>
    <row r="1061" customFormat="false" ht="15" hidden="false" customHeight="false" outlineLevel="0" collapsed="false">
      <c r="A1061" s="16" t="s">
        <v>376</v>
      </c>
      <c r="B1061" s="16" t="s">
        <v>122</v>
      </c>
      <c r="C1061" s="16" t="n">
        <v>3.58</v>
      </c>
      <c r="D1061" s="16" t="s">
        <v>245</v>
      </c>
      <c r="E1061" s="16" t="n">
        <v>3.6</v>
      </c>
      <c r="F1061" s="16" t="n">
        <v>0.02</v>
      </c>
      <c r="G1061" s="16"/>
    </row>
    <row r="1062" customFormat="false" ht="15" hidden="false" customHeight="false" outlineLevel="0" collapsed="false">
      <c r="A1062" s="16" t="s">
        <v>376</v>
      </c>
      <c r="B1062" s="16" t="s">
        <v>245</v>
      </c>
      <c r="C1062" s="16" t="n">
        <v>3.6</v>
      </c>
      <c r="D1062" s="16" t="s">
        <v>230</v>
      </c>
      <c r="E1062" s="16" t="n">
        <v>3.9</v>
      </c>
      <c r="F1062" s="16" t="n">
        <v>0.3</v>
      </c>
      <c r="G1062" s="16"/>
    </row>
    <row r="1063" customFormat="false" ht="15" hidden="false" customHeight="false" outlineLevel="0" collapsed="false">
      <c r="A1063" s="16" t="s">
        <v>376</v>
      </c>
      <c r="B1063" s="16" t="s">
        <v>230</v>
      </c>
      <c r="C1063" s="16" t="n">
        <v>3.9</v>
      </c>
      <c r="D1063" s="16" t="s">
        <v>216</v>
      </c>
      <c r="E1063" s="16" t="n">
        <v>4.3</v>
      </c>
      <c r="F1063" s="16" t="n">
        <v>0.4</v>
      </c>
      <c r="G1063" s="16"/>
    </row>
    <row r="1064" customFormat="false" ht="15" hidden="false" customHeight="false" outlineLevel="0" collapsed="false">
      <c r="A1064" s="16" t="s">
        <v>376</v>
      </c>
      <c r="B1064" s="16" t="s">
        <v>216</v>
      </c>
      <c r="C1064" s="16" t="n">
        <v>4.3</v>
      </c>
      <c r="D1064" s="16" t="s">
        <v>322</v>
      </c>
      <c r="E1064" s="16" t="n">
        <v>4.4</v>
      </c>
      <c r="F1064" s="16" t="n">
        <v>0.1</v>
      </c>
      <c r="G1064" s="16"/>
    </row>
    <row r="1065" customFormat="false" ht="15" hidden="false" customHeight="false" outlineLevel="0" collapsed="false">
      <c r="A1065" s="16" t="s">
        <v>376</v>
      </c>
      <c r="B1065" s="16" t="s">
        <v>322</v>
      </c>
      <c r="C1065" s="16" t="n">
        <v>4.4</v>
      </c>
      <c r="D1065" s="16" t="s">
        <v>97</v>
      </c>
      <c r="E1065" s="16" t="n">
        <v>4.46</v>
      </c>
      <c r="F1065" s="16" t="n">
        <v>0.06</v>
      </c>
      <c r="G1065" s="16"/>
    </row>
    <row r="1066" customFormat="false" ht="15" hidden="false" customHeight="false" outlineLevel="0" collapsed="false">
      <c r="A1066" s="16" t="s">
        <v>376</v>
      </c>
      <c r="B1066" s="16" t="s">
        <v>97</v>
      </c>
      <c r="C1066" s="16" t="n">
        <v>4.46</v>
      </c>
      <c r="D1066" s="16" t="s">
        <v>137</v>
      </c>
      <c r="E1066" s="16" t="n">
        <v>4.53</v>
      </c>
      <c r="F1066" s="16" t="n">
        <v>0.07</v>
      </c>
      <c r="G1066" s="16"/>
    </row>
    <row r="1067" customFormat="false" ht="15" hidden="false" customHeight="false" outlineLevel="0" collapsed="false">
      <c r="A1067" s="16" t="s">
        <v>376</v>
      </c>
      <c r="B1067" s="16" t="s">
        <v>137</v>
      </c>
      <c r="C1067" s="16" t="n">
        <v>4.53</v>
      </c>
      <c r="D1067" s="16" t="s">
        <v>71</v>
      </c>
      <c r="E1067" s="16" t="n">
        <v>4.65</v>
      </c>
      <c r="F1067" s="16" t="n">
        <v>0.12</v>
      </c>
      <c r="G1067" s="16"/>
    </row>
    <row r="1068" customFormat="false" ht="15" hidden="false" customHeight="false" outlineLevel="0" collapsed="false">
      <c r="A1068" s="16" t="s">
        <v>376</v>
      </c>
      <c r="B1068" s="16" t="s">
        <v>71</v>
      </c>
      <c r="C1068" s="16" t="n">
        <v>4.65</v>
      </c>
      <c r="D1068" s="16" t="s">
        <v>260</v>
      </c>
      <c r="E1068" s="16" t="n">
        <v>5.1</v>
      </c>
      <c r="F1068" s="16" t="n">
        <v>0.45</v>
      </c>
      <c r="G1068" s="16"/>
    </row>
    <row r="1069" customFormat="false" ht="15" hidden="false" customHeight="false" outlineLevel="0" collapsed="false">
      <c r="A1069" s="16" t="s">
        <v>376</v>
      </c>
      <c r="B1069" s="16" t="s">
        <v>260</v>
      </c>
      <c r="C1069" s="16" t="n">
        <v>5.1</v>
      </c>
      <c r="D1069" s="16" t="s">
        <v>168</v>
      </c>
      <c r="E1069" s="16" t="n">
        <v>5.4</v>
      </c>
      <c r="F1069" s="16" t="n">
        <v>0.3</v>
      </c>
      <c r="G1069" s="16"/>
    </row>
    <row r="1070" customFormat="false" ht="15" hidden="false" customHeight="false" outlineLevel="0" collapsed="false">
      <c r="A1070" s="16" t="s">
        <v>376</v>
      </c>
      <c r="B1070" s="16" t="s">
        <v>168</v>
      </c>
      <c r="C1070" s="16" t="n">
        <v>5.4</v>
      </c>
      <c r="D1070" s="16" t="s">
        <v>317</v>
      </c>
      <c r="E1070" s="16" t="n">
        <v>5.4</v>
      </c>
      <c r="F1070" s="16" t="n">
        <v>0</v>
      </c>
      <c r="G1070" s="16" t="s">
        <v>647</v>
      </c>
    </row>
    <row r="1071" customFormat="false" ht="15" hidden="false" customHeight="false" outlineLevel="0" collapsed="false">
      <c r="A1071" s="16" t="s">
        <v>376</v>
      </c>
      <c r="B1071" s="16" t="s">
        <v>317</v>
      </c>
      <c r="C1071" s="16" t="n">
        <v>5.4</v>
      </c>
      <c r="D1071" s="16" t="s">
        <v>93</v>
      </c>
      <c r="E1071" s="16" t="n">
        <v>5.49</v>
      </c>
      <c r="F1071" s="16" t="n">
        <v>0.09</v>
      </c>
      <c r="G1071" s="16"/>
    </row>
    <row r="1072" customFormat="false" ht="15" hidden="false" customHeight="false" outlineLevel="0" collapsed="false">
      <c r="A1072" s="16" t="s">
        <v>376</v>
      </c>
      <c r="B1072" s="16" t="s">
        <v>93</v>
      </c>
      <c r="C1072" s="16" t="n">
        <v>5.49</v>
      </c>
      <c r="D1072" s="16" t="s">
        <v>307</v>
      </c>
      <c r="E1072" s="16" t="n">
        <v>5.6</v>
      </c>
      <c r="F1072" s="16" t="n">
        <v>0.11</v>
      </c>
      <c r="G1072" s="16"/>
    </row>
    <row r="1073" customFormat="false" ht="15" hidden="false" customHeight="false" outlineLevel="0" collapsed="false">
      <c r="A1073" s="16" t="s">
        <v>376</v>
      </c>
      <c r="B1073" s="16" t="s">
        <v>307</v>
      </c>
      <c r="C1073" s="16" t="n">
        <v>5.6</v>
      </c>
      <c r="D1073" s="16" t="s">
        <v>166</v>
      </c>
      <c r="E1073" s="16" t="n">
        <v>5.7</v>
      </c>
      <c r="F1073" s="16" t="n">
        <v>0.1</v>
      </c>
      <c r="G1073" s="16"/>
    </row>
    <row r="1074" customFormat="false" ht="15" hidden="false" customHeight="false" outlineLevel="0" collapsed="false">
      <c r="A1074" s="16" t="s">
        <v>376</v>
      </c>
      <c r="B1074" s="16" t="s">
        <v>166</v>
      </c>
      <c r="C1074" s="16" t="n">
        <v>5.7</v>
      </c>
      <c r="D1074" s="16" t="s">
        <v>251</v>
      </c>
      <c r="E1074" s="16" t="n">
        <v>5.7</v>
      </c>
      <c r="F1074" s="16" t="n">
        <v>0</v>
      </c>
      <c r="G1074" s="16" t="s">
        <v>647</v>
      </c>
    </row>
    <row r="1075" customFormat="false" ht="15" hidden="false" customHeight="false" outlineLevel="0" collapsed="false">
      <c r="A1075" s="16" t="s">
        <v>376</v>
      </c>
      <c r="B1075" s="16" t="s">
        <v>251</v>
      </c>
      <c r="C1075" s="16" t="n">
        <v>5.7</v>
      </c>
      <c r="D1075" s="16" t="s">
        <v>345</v>
      </c>
      <c r="E1075" s="16" t="n">
        <v>5.7</v>
      </c>
      <c r="F1075" s="16" t="n">
        <v>0</v>
      </c>
      <c r="G1075" s="16" t="s">
        <v>647</v>
      </c>
    </row>
    <row r="1076" customFormat="false" ht="15" hidden="false" customHeight="false" outlineLevel="0" collapsed="false">
      <c r="A1076" s="16" t="s">
        <v>376</v>
      </c>
      <c r="B1076" s="16" t="s">
        <v>345</v>
      </c>
      <c r="C1076" s="16" t="n">
        <v>5.7</v>
      </c>
      <c r="D1076" s="16" t="s">
        <v>263</v>
      </c>
      <c r="E1076" s="16" t="n">
        <v>6.3</v>
      </c>
      <c r="F1076" s="16" t="n">
        <v>0.6</v>
      </c>
      <c r="G1076" s="16"/>
    </row>
    <row r="1077" customFormat="false" ht="15" hidden="false" customHeight="false" outlineLevel="0" collapsed="false">
      <c r="A1077" s="16" t="s">
        <v>376</v>
      </c>
      <c r="B1077" s="16" t="s">
        <v>129</v>
      </c>
      <c r="C1077" s="16" t="n">
        <v>7.31</v>
      </c>
      <c r="D1077" s="16" t="s">
        <v>242</v>
      </c>
      <c r="E1077" s="16" t="n">
        <v>7.4</v>
      </c>
      <c r="F1077" s="16" t="n">
        <v>0.09</v>
      </c>
      <c r="G1077" s="16"/>
    </row>
    <row r="1078" customFormat="false" ht="15" hidden="false" customHeight="false" outlineLevel="0" collapsed="false">
      <c r="A1078" s="16" t="s">
        <v>376</v>
      </c>
      <c r="B1078" s="16" t="s">
        <v>310</v>
      </c>
      <c r="C1078" s="16" t="n">
        <v>8.7</v>
      </c>
      <c r="D1078" s="16" t="s">
        <v>236</v>
      </c>
      <c r="E1078" s="16" t="n">
        <v>8.9</v>
      </c>
      <c r="F1078" s="16" t="n">
        <v>0.2</v>
      </c>
      <c r="G1078" s="16"/>
    </row>
    <row r="1079" customFormat="false" ht="15" hidden="false" customHeight="false" outlineLevel="0" collapsed="false">
      <c r="A1079" s="16" t="s">
        <v>376</v>
      </c>
      <c r="B1079" s="16" t="s">
        <v>236</v>
      </c>
      <c r="C1079" s="16" t="n">
        <v>8.9</v>
      </c>
      <c r="D1079" s="16" t="s">
        <v>100</v>
      </c>
      <c r="E1079" s="16" t="n">
        <v>8.97</v>
      </c>
      <c r="F1079" s="16" t="n">
        <v>0.07</v>
      </c>
      <c r="G1079" s="16"/>
    </row>
    <row r="1080" customFormat="false" ht="15" hidden="false" customHeight="false" outlineLevel="0" collapsed="false">
      <c r="A1080" s="16" t="s">
        <v>376</v>
      </c>
      <c r="B1080" s="16" t="s">
        <v>100</v>
      </c>
      <c r="C1080" s="16" t="n">
        <v>8.97</v>
      </c>
      <c r="D1080" s="16" t="s">
        <v>47</v>
      </c>
      <c r="E1080" s="16" t="n">
        <v>9.08</v>
      </c>
      <c r="F1080" s="16" t="n">
        <v>0.11</v>
      </c>
      <c r="G1080" s="16"/>
    </row>
    <row r="1081" customFormat="false" ht="15" hidden="false" customHeight="false" outlineLevel="0" collapsed="false">
      <c r="A1081" s="16" t="s">
        <v>376</v>
      </c>
      <c r="B1081" s="16" t="s">
        <v>47</v>
      </c>
      <c r="C1081" s="16" t="n">
        <v>9.08</v>
      </c>
      <c r="D1081" s="16" t="s">
        <v>55</v>
      </c>
      <c r="E1081" s="16" t="n">
        <v>9.16</v>
      </c>
      <c r="F1081" s="16" t="n">
        <v>0.08</v>
      </c>
      <c r="G1081" s="16"/>
    </row>
    <row r="1082" customFormat="false" ht="15" hidden="false" customHeight="false" outlineLevel="0" collapsed="false">
      <c r="A1082" s="16" t="s">
        <v>376</v>
      </c>
      <c r="B1082" s="16" t="s">
        <v>55</v>
      </c>
      <c r="C1082" s="16" t="n">
        <v>9.16</v>
      </c>
      <c r="D1082" s="16" t="s">
        <v>51</v>
      </c>
      <c r="E1082" s="16" t="n">
        <v>9.44</v>
      </c>
      <c r="F1082" s="16" t="n">
        <v>0.28</v>
      </c>
      <c r="G1082" s="16"/>
    </row>
    <row r="1083" customFormat="false" ht="15" hidden="false" customHeight="false" outlineLevel="0" collapsed="false">
      <c r="A1083" s="16" t="s">
        <v>376</v>
      </c>
      <c r="B1083" s="16" t="s">
        <v>51</v>
      </c>
      <c r="C1083" s="16" t="n">
        <v>9.44</v>
      </c>
      <c r="D1083" s="16" t="s">
        <v>162</v>
      </c>
      <c r="E1083" s="16" t="n">
        <v>9.5</v>
      </c>
      <c r="F1083" s="16" t="n">
        <v>0.06</v>
      </c>
      <c r="G1083" s="16"/>
    </row>
    <row r="1084" customFormat="false" ht="15" hidden="false" customHeight="false" outlineLevel="0" collapsed="false">
      <c r="A1084" s="16" t="s">
        <v>376</v>
      </c>
      <c r="B1084" s="16" t="s">
        <v>162</v>
      </c>
      <c r="C1084" s="16" t="n">
        <v>9.5</v>
      </c>
      <c r="D1084" s="16" t="s">
        <v>59</v>
      </c>
      <c r="E1084" s="16" t="n">
        <v>9.87</v>
      </c>
      <c r="F1084" s="16" t="n">
        <v>0.37</v>
      </c>
      <c r="G1084" s="16"/>
    </row>
    <row r="1085" customFormat="false" ht="15" hidden="false" customHeight="false" outlineLevel="0" collapsed="false">
      <c r="A1085" s="16" t="s">
        <v>376</v>
      </c>
      <c r="B1085" s="16" t="s">
        <v>189</v>
      </c>
      <c r="C1085" s="16" t="n">
        <v>11</v>
      </c>
      <c r="D1085" s="16" t="s">
        <v>320</v>
      </c>
      <c r="E1085" s="16" t="n">
        <v>11.1</v>
      </c>
      <c r="F1085" s="16" t="n">
        <v>0.1</v>
      </c>
      <c r="G1085" s="16"/>
    </row>
    <row r="1086" customFormat="false" ht="15" hidden="false" customHeight="false" outlineLevel="0" collapsed="false">
      <c r="A1086" s="16" t="s">
        <v>376</v>
      </c>
      <c r="B1086" s="16" t="s">
        <v>320</v>
      </c>
      <c r="C1086" s="16" t="n">
        <v>11.1</v>
      </c>
      <c r="D1086" s="16" t="s">
        <v>238</v>
      </c>
      <c r="E1086" s="16" t="n">
        <v>11.7</v>
      </c>
      <c r="F1086" s="16" t="n">
        <v>0.6</v>
      </c>
      <c r="G1086" s="16"/>
    </row>
    <row r="1087" customFormat="false" ht="15" hidden="false" customHeight="false" outlineLevel="0" collapsed="false">
      <c r="A1087" s="16" t="s">
        <v>376</v>
      </c>
      <c r="B1087" s="16" t="s">
        <v>238</v>
      </c>
      <c r="C1087" s="16" t="n">
        <v>11.7</v>
      </c>
      <c r="D1087" s="16" t="s">
        <v>181</v>
      </c>
      <c r="E1087" s="16" t="n">
        <v>12</v>
      </c>
      <c r="F1087" s="16" t="n">
        <v>0.3</v>
      </c>
      <c r="G1087" s="16"/>
    </row>
    <row r="1088" customFormat="false" ht="15" hidden="false" customHeight="false" outlineLevel="0" collapsed="false">
      <c r="A1088" s="16" t="s">
        <v>376</v>
      </c>
      <c r="B1088" s="16" t="s">
        <v>181</v>
      </c>
      <c r="C1088" s="16" t="n">
        <v>12</v>
      </c>
      <c r="D1088" s="16" t="s">
        <v>184</v>
      </c>
      <c r="E1088" s="16" t="n">
        <v>12</v>
      </c>
      <c r="F1088" s="16" t="n">
        <v>0</v>
      </c>
      <c r="G1088" s="16" t="s">
        <v>647</v>
      </c>
    </row>
    <row r="1089" customFormat="false" ht="15" hidden="false" customHeight="false" outlineLevel="0" collapsed="false">
      <c r="A1089" s="16" t="s">
        <v>376</v>
      </c>
      <c r="B1089" s="16" t="s">
        <v>184</v>
      </c>
      <c r="C1089" s="16" t="n">
        <v>12</v>
      </c>
      <c r="D1089" s="16" t="s">
        <v>187</v>
      </c>
      <c r="E1089" s="16" t="n">
        <v>12</v>
      </c>
      <c r="F1089" s="16" t="n">
        <v>0</v>
      </c>
      <c r="G1089" s="16" t="s">
        <v>647</v>
      </c>
    </row>
    <row r="1090" customFormat="false" ht="15" hidden="false" customHeight="false" outlineLevel="0" collapsed="false">
      <c r="A1090" s="16" t="s">
        <v>376</v>
      </c>
      <c r="B1090" s="16" t="s">
        <v>187</v>
      </c>
      <c r="C1090" s="16" t="n">
        <v>12</v>
      </c>
      <c r="D1090" s="16" t="s">
        <v>174</v>
      </c>
      <c r="E1090" s="16" t="n">
        <v>12.2</v>
      </c>
      <c r="F1090" s="16" t="n">
        <v>0.2</v>
      </c>
      <c r="G1090" s="16"/>
    </row>
    <row r="1091" customFormat="false" ht="15" hidden="false" customHeight="false" outlineLevel="0" collapsed="false">
      <c r="A1091" s="16" t="s">
        <v>376</v>
      </c>
      <c r="B1091" s="16" t="s">
        <v>174</v>
      </c>
      <c r="C1091" s="16" t="n">
        <v>12.2</v>
      </c>
      <c r="D1091" s="16" t="s">
        <v>178</v>
      </c>
      <c r="E1091" s="16" t="n">
        <v>12.5</v>
      </c>
      <c r="F1091" s="16" t="n">
        <v>0.3</v>
      </c>
      <c r="G1091" s="16"/>
    </row>
    <row r="1092" customFormat="false" ht="15" hidden="false" customHeight="false" outlineLevel="0" collapsed="false">
      <c r="A1092" s="16" t="s">
        <v>376</v>
      </c>
      <c r="B1092" s="16" t="s">
        <v>195</v>
      </c>
      <c r="C1092" s="16" t="n">
        <v>14</v>
      </c>
      <c r="D1092" s="16" t="s">
        <v>87</v>
      </c>
      <c r="E1092" s="16" t="n">
        <v>15</v>
      </c>
      <c r="F1092" s="16" t="n">
        <v>1</v>
      </c>
      <c r="G1092" s="16"/>
    </row>
    <row r="1093" customFormat="false" ht="15" hidden="false" customHeight="false" outlineLevel="0" collapsed="false">
      <c r="A1093" s="16" t="s">
        <v>376</v>
      </c>
      <c r="B1093" s="16" t="s">
        <v>87</v>
      </c>
      <c r="C1093" s="16" t="n">
        <v>15</v>
      </c>
      <c r="D1093" s="16" t="s">
        <v>257</v>
      </c>
      <c r="E1093" s="16" t="n">
        <v>16.5</v>
      </c>
      <c r="F1093" s="16" t="n">
        <v>1.5</v>
      </c>
      <c r="G1093" s="16"/>
    </row>
    <row r="1094" customFormat="false" ht="15" hidden="false" customHeight="false" outlineLevel="0" collapsed="false">
      <c r="A1094" s="16" t="s">
        <v>376</v>
      </c>
      <c r="B1094" s="16" t="s">
        <v>257</v>
      </c>
      <c r="C1094" s="16" t="n">
        <v>16.5</v>
      </c>
      <c r="D1094" s="16" t="s">
        <v>286</v>
      </c>
      <c r="E1094" s="16" t="n">
        <v>18</v>
      </c>
      <c r="F1094" s="16" t="n">
        <v>1.5</v>
      </c>
      <c r="G1094" s="16"/>
    </row>
    <row r="1095" customFormat="false" ht="15" hidden="false" customHeight="false" outlineLevel="0" collapsed="false">
      <c r="A1095" s="16" t="s">
        <v>376</v>
      </c>
      <c r="B1095" s="16" t="s">
        <v>286</v>
      </c>
      <c r="C1095" s="16" t="n">
        <v>18</v>
      </c>
      <c r="D1095" s="16" t="s">
        <v>90</v>
      </c>
      <c r="E1095" s="16" t="n">
        <v>19</v>
      </c>
      <c r="F1095" s="16" t="n">
        <v>1</v>
      </c>
      <c r="G1095" s="16"/>
    </row>
    <row r="1096" customFormat="false" ht="15" hidden="false" customHeight="false" outlineLevel="0" collapsed="false">
      <c r="A1096" s="16" t="s">
        <v>376</v>
      </c>
      <c r="B1096" s="16" t="s">
        <v>90</v>
      </c>
      <c r="C1096" s="16" t="n">
        <v>19</v>
      </c>
      <c r="D1096" s="16" t="s">
        <v>140</v>
      </c>
      <c r="E1096" s="16" t="n">
        <v>19</v>
      </c>
      <c r="F1096" s="16" t="n">
        <v>0</v>
      </c>
      <c r="G1096" s="16" t="s">
        <v>647</v>
      </c>
    </row>
    <row r="1097" customFormat="false" ht="15" hidden="false" customHeight="false" outlineLevel="0" collapsed="false">
      <c r="A1097" s="16" t="s">
        <v>376</v>
      </c>
      <c r="B1097" s="16" t="s">
        <v>140</v>
      </c>
      <c r="C1097" s="16" t="n">
        <v>19</v>
      </c>
      <c r="D1097" s="16" t="s">
        <v>355</v>
      </c>
      <c r="E1097" s="16" t="n">
        <v>19</v>
      </c>
      <c r="F1097" s="16" t="n">
        <v>0</v>
      </c>
      <c r="G1097" s="16" t="s">
        <v>647</v>
      </c>
    </row>
    <row r="1098" customFormat="false" ht="15" hidden="false" customHeight="false" outlineLevel="0" collapsed="false">
      <c r="A1098" s="16" t="s">
        <v>376</v>
      </c>
      <c r="B1098" s="16" t="s">
        <v>355</v>
      </c>
      <c r="C1098" s="16" t="n">
        <v>19</v>
      </c>
      <c r="D1098" s="16" t="s">
        <v>133</v>
      </c>
      <c r="E1098" s="16" t="n">
        <v>19.1</v>
      </c>
      <c r="F1098" s="16" t="n">
        <v>0.1</v>
      </c>
      <c r="G1098" s="16"/>
    </row>
    <row r="1099" customFormat="false" ht="15" hidden="false" customHeight="false" outlineLevel="0" collapsed="false">
      <c r="A1099" s="16" t="s">
        <v>376</v>
      </c>
      <c r="B1099" s="16" t="s">
        <v>133</v>
      </c>
      <c r="C1099" s="16" t="n">
        <v>19.1</v>
      </c>
      <c r="D1099" s="16" t="s">
        <v>282</v>
      </c>
      <c r="E1099" s="16" t="n">
        <v>20</v>
      </c>
      <c r="F1099" s="16" t="n">
        <v>0.9</v>
      </c>
      <c r="G1099" s="16"/>
    </row>
    <row r="1100" customFormat="false" ht="15" hidden="false" customHeight="false" outlineLevel="0" collapsed="false">
      <c r="A1100" s="16" t="s">
        <v>376</v>
      </c>
      <c r="B1100" s="16" t="s">
        <v>282</v>
      </c>
      <c r="C1100" s="16" t="n">
        <v>20</v>
      </c>
      <c r="D1100" s="16" t="s">
        <v>332</v>
      </c>
      <c r="E1100" s="16" t="n">
        <v>20</v>
      </c>
      <c r="F1100" s="16" t="n">
        <v>0</v>
      </c>
      <c r="G1100" s="16" t="s">
        <v>647</v>
      </c>
    </row>
    <row r="1101" customFormat="false" ht="15" hidden="false" customHeight="false" outlineLevel="0" collapsed="false">
      <c r="A1101" s="16" t="s">
        <v>376</v>
      </c>
      <c r="B1101" s="16" t="s">
        <v>332</v>
      </c>
      <c r="C1101" s="16" t="n">
        <v>20</v>
      </c>
      <c r="D1101" s="16" t="s">
        <v>225</v>
      </c>
      <c r="E1101" s="16" t="n">
        <v>20.5</v>
      </c>
      <c r="F1101" s="16" t="n">
        <v>0.5</v>
      </c>
      <c r="G1101" s="16"/>
    </row>
    <row r="1102" customFormat="false" ht="15" hidden="false" customHeight="false" outlineLevel="0" collapsed="false">
      <c r="A1102" s="16" t="s">
        <v>376</v>
      </c>
      <c r="B1102" s="16" t="s">
        <v>225</v>
      </c>
      <c r="C1102" s="16" t="n">
        <v>20.5</v>
      </c>
      <c r="D1102" s="16" t="s">
        <v>83</v>
      </c>
      <c r="E1102" s="16" t="n">
        <v>20.6</v>
      </c>
      <c r="F1102" s="16" t="n">
        <v>0.1</v>
      </c>
      <c r="G1102" s="16"/>
    </row>
    <row r="1103" customFormat="false" ht="15" hidden="false" customHeight="false" outlineLevel="0" collapsed="false">
      <c r="A1103" s="16" t="s">
        <v>376</v>
      </c>
      <c r="B1103" s="16" t="s">
        <v>83</v>
      </c>
      <c r="C1103" s="16" t="n">
        <v>20.6</v>
      </c>
      <c r="D1103" s="16" t="s">
        <v>328</v>
      </c>
      <c r="E1103" s="16" t="n">
        <v>21</v>
      </c>
      <c r="F1103" s="16" t="n">
        <v>0.4</v>
      </c>
      <c r="G1103" s="16"/>
    </row>
    <row r="1104" customFormat="false" ht="15" hidden="false" customHeight="false" outlineLevel="0" collapsed="false">
      <c r="A1104" s="16" t="s">
        <v>376</v>
      </c>
      <c r="B1104" s="16" t="s">
        <v>328</v>
      </c>
      <c r="C1104" s="16" t="n">
        <v>21</v>
      </c>
      <c r="D1104" s="16" t="s">
        <v>202</v>
      </c>
      <c r="E1104" s="16" t="n">
        <v>22</v>
      </c>
      <c r="F1104" s="16" t="n">
        <v>1</v>
      </c>
      <c r="G1104" s="16"/>
    </row>
    <row r="1105" customFormat="false" ht="15" hidden="false" customHeight="false" outlineLevel="0" collapsed="false">
      <c r="A1105" s="16" t="s">
        <v>376</v>
      </c>
      <c r="B1105" s="16" t="s">
        <v>202</v>
      </c>
      <c r="C1105" s="16" t="n">
        <v>22</v>
      </c>
      <c r="D1105" s="16" t="s">
        <v>270</v>
      </c>
      <c r="E1105" s="16" t="n">
        <v>22</v>
      </c>
      <c r="F1105" s="16" t="n">
        <v>0</v>
      </c>
      <c r="G1105" s="16" t="s">
        <v>647</v>
      </c>
    </row>
    <row r="1106" customFormat="false" ht="15" hidden="false" customHeight="false" outlineLevel="0" collapsed="false">
      <c r="A1106" s="16" t="s">
        <v>376</v>
      </c>
      <c r="B1106" s="16" t="s">
        <v>270</v>
      </c>
      <c r="C1106" s="16" t="n">
        <v>22</v>
      </c>
      <c r="D1106" s="16" t="s">
        <v>325</v>
      </c>
      <c r="E1106" s="16" t="n">
        <v>22.5</v>
      </c>
      <c r="F1106" s="16" t="n">
        <v>0.5</v>
      </c>
      <c r="G1106" s="16"/>
    </row>
    <row r="1107" customFormat="false" ht="15" hidden="false" customHeight="false" outlineLevel="0" collapsed="false">
      <c r="A1107" s="16" t="s">
        <v>376</v>
      </c>
      <c r="B1107" s="16" t="s">
        <v>325</v>
      </c>
      <c r="C1107" s="16" t="n">
        <v>22.5</v>
      </c>
      <c r="D1107" s="16" t="s">
        <v>335</v>
      </c>
      <c r="E1107" s="16" t="n">
        <v>24</v>
      </c>
      <c r="F1107" s="16" t="n">
        <v>1.5</v>
      </c>
      <c r="G1107" s="16"/>
    </row>
    <row r="1108" customFormat="false" ht="15" hidden="false" customHeight="false" outlineLevel="0" collapsed="false">
      <c r="A1108" s="16" t="s">
        <v>376</v>
      </c>
      <c r="B1108" s="16" t="s">
        <v>335</v>
      </c>
      <c r="C1108" s="16" t="n">
        <v>24</v>
      </c>
      <c r="D1108" s="16" t="s">
        <v>348</v>
      </c>
      <c r="E1108" s="16" t="n">
        <v>24.1</v>
      </c>
      <c r="F1108" s="16" t="n">
        <v>0.1</v>
      </c>
      <c r="G1108" s="16"/>
    </row>
    <row r="1109" customFormat="false" ht="15" hidden="false" customHeight="false" outlineLevel="0" collapsed="false">
      <c r="A1109" s="16" t="s">
        <v>376</v>
      </c>
      <c r="B1109" s="16" t="s">
        <v>348</v>
      </c>
      <c r="C1109" s="16" t="n">
        <v>24.1</v>
      </c>
      <c r="D1109" s="16" t="s">
        <v>213</v>
      </c>
      <c r="E1109" s="16" t="n">
        <v>24.25</v>
      </c>
      <c r="F1109" s="16" t="n">
        <v>0.15</v>
      </c>
      <c r="G1109" s="16"/>
    </row>
    <row r="1110" customFormat="false" ht="15" hidden="false" customHeight="false" outlineLevel="0" collapsed="false">
      <c r="A1110" s="16" t="s">
        <v>376</v>
      </c>
      <c r="B1110" s="16" t="s">
        <v>213</v>
      </c>
      <c r="C1110" s="16" t="n">
        <v>24.25</v>
      </c>
      <c r="D1110" s="16" t="s">
        <v>248</v>
      </c>
      <c r="E1110" s="16" t="n">
        <v>25</v>
      </c>
      <c r="F1110" s="16" t="n">
        <v>0.75</v>
      </c>
      <c r="G1110" s="16"/>
    </row>
    <row r="1111" customFormat="false" ht="15" hidden="false" customHeight="false" outlineLevel="0" collapsed="false">
      <c r="A1111" s="16" t="s">
        <v>376</v>
      </c>
      <c r="B1111" s="16" t="s">
        <v>248</v>
      </c>
      <c r="C1111" s="16" t="n">
        <v>25</v>
      </c>
      <c r="D1111" s="16" t="s">
        <v>351</v>
      </c>
      <c r="E1111" s="16" t="n">
        <v>25</v>
      </c>
      <c r="F1111" s="16" t="n">
        <v>0</v>
      </c>
      <c r="G1111" s="16" t="s">
        <v>647</v>
      </c>
    </row>
    <row r="1112" customFormat="false" ht="15" hidden="false" customHeight="false" outlineLevel="0" collapsed="false">
      <c r="A1112" s="16" t="s">
        <v>376</v>
      </c>
      <c r="B1112" s="16" t="s">
        <v>351</v>
      </c>
      <c r="C1112" s="16" t="n">
        <v>25</v>
      </c>
      <c r="D1112" s="16" t="s">
        <v>266</v>
      </c>
      <c r="E1112" s="16" t="n">
        <v>27.4</v>
      </c>
      <c r="F1112" s="16" t="n">
        <v>2.4</v>
      </c>
      <c r="G1112" s="16"/>
    </row>
    <row r="1113" customFormat="false" ht="15" hidden="false" customHeight="false" outlineLevel="0" collapsed="false">
      <c r="A1113" s="16" t="s">
        <v>376</v>
      </c>
      <c r="B1113" s="16" t="s">
        <v>266</v>
      </c>
      <c r="C1113" s="16" t="n">
        <v>27.4</v>
      </c>
      <c r="D1113" s="16" t="s">
        <v>273</v>
      </c>
      <c r="E1113" s="16" t="n">
        <v>28</v>
      </c>
      <c r="F1113" s="16" t="n">
        <v>0.6</v>
      </c>
      <c r="G1113" s="16"/>
    </row>
    <row r="1114" customFormat="false" ht="15" hidden="false" customHeight="false" outlineLevel="0" collapsed="false">
      <c r="A1114" s="16" t="s">
        <v>376</v>
      </c>
      <c r="B1114" s="16" t="s">
        <v>273</v>
      </c>
      <c r="C1114" s="16" t="n">
        <v>28</v>
      </c>
      <c r="D1114" s="16" t="s">
        <v>276</v>
      </c>
      <c r="E1114" s="16" t="n">
        <v>28.1</v>
      </c>
      <c r="F1114" s="16" t="n">
        <v>0.1</v>
      </c>
      <c r="G1114" s="16"/>
    </row>
    <row r="1115" customFormat="false" ht="15" hidden="false" customHeight="false" outlineLevel="0" collapsed="false">
      <c r="A1115" s="16" t="s">
        <v>376</v>
      </c>
      <c r="B1115" s="16" t="s">
        <v>276</v>
      </c>
      <c r="C1115" s="16" t="n">
        <v>28.1</v>
      </c>
      <c r="D1115" s="16" t="s">
        <v>228</v>
      </c>
      <c r="E1115" s="16" t="n">
        <v>28.25</v>
      </c>
      <c r="F1115" s="16" t="n">
        <v>0.15</v>
      </c>
      <c r="G1115" s="16"/>
    </row>
    <row r="1116" customFormat="false" ht="15" hidden="false" customHeight="false" outlineLevel="0" collapsed="false">
      <c r="A1116" s="16" t="s">
        <v>376</v>
      </c>
      <c r="B1116" s="16" t="s">
        <v>228</v>
      </c>
      <c r="C1116" s="16" t="n">
        <v>28.25</v>
      </c>
      <c r="D1116" s="16" t="s">
        <v>279</v>
      </c>
      <c r="E1116" s="16" t="n">
        <v>28.5</v>
      </c>
      <c r="F1116" s="16" t="n">
        <v>0.25</v>
      </c>
      <c r="G1116" s="16"/>
    </row>
    <row r="1117" customFormat="false" ht="15" hidden="false" customHeight="false" outlineLevel="0" collapsed="false">
      <c r="A1117" s="16" t="s">
        <v>376</v>
      </c>
      <c r="B1117" s="16" t="s">
        <v>279</v>
      </c>
      <c r="C1117" s="16" t="n">
        <v>28.5</v>
      </c>
      <c r="D1117" s="16" t="s">
        <v>219</v>
      </c>
      <c r="E1117" s="16" t="n">
        <v>28.75</v>
      </c>
      <c r="F1117" s="16" t="n">
        <v>0.25</v>
      </c>
      <c r="G1117" s="16"/>
    </row>
    <row r="1118" customFormat="false" ht="15" hidden="false" customHeight="false" outlineLevel="0" collapsed="false">
      <c r="A1118" s="16" t="s">
        <v>376</v>
      </c>
      <c r="B1118" s="16" t="s">
        <v>219</v>
      </c>
      <c r="C1118" s="16" t="n">
        <v>28.75</v>
      </c>
      <c r="D1118" s="16" t="s">
        <v>115</v>
      </c>
      <c r="E1118" s="16" t="n">
        <v>30</v>
      </c>
      <c r="F1118" s="16" t="n">
        <v>1.25</v>
      </c>
      <c r="G1118" s="16"/>
    </row>
    <row r="1119" customFormat="false" ht="15" hidden="false" customHeight="false" outlineLevel="0" collapsed="false">
      <c r="A1119" s="16" t="s">
        <v>376</v>
      </c>
      <c r="B1119" s="16" t="s">
        <v>115</v>
      </c>
      <c r="C1119" s="16" t="n">
        <v>30</v>
      </c>
      <c r="D1119" s="16" t="s">
        <v>342</v>
      </c>
      <c r="E1119" s="16" t="n">
        <v>30</v>
      </c>
      <c r="F1119" s="16" t="n">
        <v>0</v>
      </c>
      <c r="G1119" s="16" t="s">
        <v>647</v>
      </c>
    </row>
    <row r="1120" customFormat="false" ht="15" hidden="false" customHeight="false" outlineLevel="0" collapsed="false">
      <c r="A1120" s="16" t="s">
        <v>376</v>
      </c>
      <c r="B1120" s="16" t="s">
        <v>342</v>
      </c>
      <c r="C1120" s="16" t="n">
        <v>30</v>
      </c>
      <c r="D1120" s="16" t="s">
        <v>339</v>
      </c>
      <c r="E1120" s="16" t="n">
        <v>30.1</v>
      </c>
      <c r="F1120" s="16" t="n">
        <v>0.1</v>
      </c>
      <c r="G1120" s="16"/>
    </row>
    <row r="1121" customFormat="false" ht="15" hidden="false" customHeight="false" outlineLevel="0" collapsed="false">
      <c r="A1121" s="16" t="s">
        <v>376</v>
      </c>
      <c r="B1121" s="16" t="s">
        <v>339</v>
      </c>
      <c r="C1121" s="16" t="n">
        <v>30.1</v>
      </c>
      <c r="D1121" s="16" t="s">
        <v>313</v>
      </c>
      <c r="E1121" s="16" t="n">
        <v>31.75</v>
      </c>
      <c r="F1121" s="16" t="n">
        <v>1.65</v>
      </c>
      <c r="G1121" s="16"/>
    </row>
    <row r="1122" customFormat="false" ht="15" hidden="false" customHeight="false" outlineLevel="0" collapsed="false">
      <c r="A1122" s="16" t="s">
        <v>376</v>
      </c>
      <c r="B1122" s="16" t="s">
        <v>313</v>
      </c>
      <c r="C1122" s="16" t="n">
        <v>31.75</v>
      </c>
      <c r="D1122" s="16" t="s">
        <v>126</v>
      </c>
      <c r="E1122" s="16" t="n">
        <v>32</v>
      </c>
      <c r="F1122" s="16" t="n">
        <v>0.25</v>
      </c>
      <c r="G1122" s="16"/>
    </row>
    <row r="1123" customFormat="false" ht="15" hidden="false" customHeight="false" outlineLevel="0" collapsed="false">
      <c r="A1123" s="16" t="s">
        <v>376</v>
      </c>
      <c r="B1123" s="16" t="s">
        <v>126</v>
      </c>
      <c r="C1123" s="16" t="n">
        <v>32</v>
      </c>
      <c r="D1123" s="16" t="s">
        <v>222</v>
      </c>
      <c r="E1123" s="16" t="n">
        <v>32</v>
      </c>
      <c r="F1123" s="16" t="n">
        <v>0</v>
      </c>
      <c r="G1123" s="16" t="s">
        <v>647</v>
      </c>
    </row>
    <row r="1124" customFormat="false" ht="15" hidden="false" customHeight="false" outlineLevel="0" collapsed="false">
      <c r="A1124" s="16" t="s">
        <v>376</v>
      </c>
      <c r="B1124" s="16" t="s">
        <v>222</v>
      </c>
      <c r="C1124" s="16" t="n">
        <v>32</v>
      </c>
      <c r="D1124" s="16" t="s">
        <v>209</v>
      </c>
      <c r="E1124" s="16" t="n">
        <v>32.5</v>
      </c>
      <c r="F1124" s="16" t="n">
        <v>0.5</v>
      </c>
      <c r="G1124" s="16"/>
    </row>
    <row r="1125" customFormat="false" ht="15" hidden="false" customHeight="false" outlineLevel="0" collapsed="false">
      <c r="A1125" s="16" t="s">
        <v>376</v>
      </c>
      <c r="B1125" s="16" t="s">
        <v>209</v>
      </c>
      <c r="C1125" s="16" t="n">
        <v>32.5</v>
      </c>
      <c r="D1125" s="16" t="s">
        <v>205</v>
      </c>
      <c r="E1125" s="16" t="n">
        <v>33</v>
      </c>
      <c r="F1125" s="16" t="n">
        <v>0.5</v>
      </c>
      <c r="G1125" s="16"/>
    </row>
    <row r="1126" customFormat="false" ht="15" hidden="false" customHeight="false" outlineLevel="0" collapsed="false">
      <c r="A1126" s="16" t="s">
        <v>376</v>
      </c>
      <c r="B1126" s="16" t="s">
        <v>205</v>
      </c>
      <c r="C1126" s="16" t="n">
        <v>33</v>
      </c>
      <c r="D1126" s="16" t="s">
        <v>144</v>
      </c>
      <c r="E1126" s="16" t="n">
        <v>33.3</v>
      </c>
      <c r="F1126" s="16" t="n">
        <v>0.3</v>
      </c>
      <c r="G1126" s="16"/>
    </row>
    <row r="1127" customFormat="false" ht="15" hidden="false" customHeight="false" outlineLevel="0" collapsed="false">
      <c r="A1127" s="16" t="s">
        <v>376</v>
      </c>
      <c r="B1127" s="16" t="s">
        <v>144</v>
      </c>
      <c r="C1127" s="16" t="n">
        <v>33.3</v>
      </c>
      <c r="D1127" s="16" t="s">
        <v>171</v>
      </c>
      <c r="E1127" s="16" t="n">
        <v>33.5</v>
      </c>
      <c r="F1127" s="16" t="n">
        <v>0.2</v>
      </c>
      <c r="G1127" s="16"/>
    </row>
    <row r="1128" customFormat="false" ht="15" hidden="false" customHeight="false" outlineLevel="0" collapsed="false">
      <c r="A1128" s="16" t="s">
        <v>376</v>
      </c>
      <c r="B1128" s="16" t="s">
        <v>171</v>
      </c>
      <c r="C1128" s="16" t="n">
        <v>33.5</v>
      </c>
      <c r="D1128" s="16" t="s">
        <v>112</v>
      </c>
      <c r="E1128" s="16" t="n">
        <v>34</v>
      </c>
      <c r="F1128" s="16" t="n">
        <v>0.5</v>
      </c>
      <c r="G1128" s="16"/>
    </row>
    <row r="1129" customFormat="false" ht="15" hidden="false" customHeight="false" outlineLevel="0" collapsed="false">
      <c r="A1129" s="16" t="s">
        <v>376</v>
      </c>
      <c r="B1129" s="16" t="s">
        <v>112</v>
      </c>
      <c r="C1129" s="16" t="n">
        <v>34</v>
      </c>
      <c r="D1129" s="16" t="s">
        <v>302</v>
      </c>
      <c r="E1129" s="16" t="n">
        <v>34</v>
      </c>
      <c r="F1129" s="16" t="n">
        <v>0</v>
      </c>
      <c r="G1129" s="16" t="s">
        <v>647</v>
      </c>
    </row>
    <row r="1130" customFormat="false" ht="15" hidden="false" customHeight="false" outlineLevel="0" collapsed="false">
      <c r="A1130" s="16" t="s">
        <v>376</v>
      </c>
      <c r="B1130" s="16" t="s">
        <v>302</v>
      </c>
      <c r="C1130" s="16" t="n">
        <v>34</v>
      </c>
      <c r="D1130" s="16" t="s">
        <v>104</v>
      </c>
      <c r="E1130" s="16" t="n">
        <v>35</v>
      </c>
      <c r="F1130" s="16" t="n">
        <v>1</v>
      </c>
      <c r="G1130" s="16"/>
    </row>
    <row r="1131" customFormat="false" ht="15" hidden="false" customHeight="false" outlineLevel="0" collapsed="false">
      <c r="A1131" s="16" t="s">
        <v>376</v>
      </c>
      <c r="B1131" s="16" t="s">
        <v>104</v>
      </c>
      <c r="C1131" s="16" t="n">
        <v>35</v>
      </c>
      <c r="D1131" s="16" t="s">
        <v>304</v>
      </c>
      <c r="E1131" s="16" t="n">
        <v>35.5</v>
      </c>
      <c r="F1131" s="16" t="n">
        <v>0.5</v>
      </c>
      <c r="G1131" s="16"/>
    </row>
    <row r="1132" customFormat="false" ht="15" hidden="false" customHeight="false" outlineLevel="0" collapsed="false">
      <c r="A1132" s="16" t="s">
        <v>376</v>
      </c>
      <c r="B1132" s="16" t="s">
        <v>159</v>
      </c>
      <c r="C1132" s="16" t="n">
        <v>40</v>
      </c>
      <c r="D1132" s="16" t="s">
        <v>290</v>
      </c>
      <c r="E1132" s="16" t="n">
        <v>40</v>
      </c>
      <c r="F1132" s="16" t="n">
        <v>0</v>
      </c>
      <c r="G1132" s="16" t="s">
        <v>647</v>
      </c>
    </row>
    <row r="1133" customFormat="false" ht="15" hidden="false" customHeight="false" outlineLevel="0" collapsed="false">
      <c r="A1133" s="16" t="s">
        <v>376</v>
      </c>
      <c r="B1133" s="16" t="s">
        <v>290</v>
      </c>
      <c r="C1133" s="16" t="n">
        <v>40</v>
      </c>
      <c r="D1133" s="16" t="s">
        <v>109</v>
      </c>
      <c r="E1133" s="16" t="n">
        <v>40.25</v>
      </c>
      <c r="F1133" s="16" t="n">
        <v>0.25</v>
      </c>
      <c r="G1133" s="16"/>
    </row>
    <row r="1134" customFormat="false" ht="15" hidden="false" customHeight="false" outlineLevel="0" collapsed="false">
      <c r="A1134" s="16" t="s">
        <v>376</v>
      </c>
      <c r="B1134" s="16" t="s">
        <v>109</v>
      </c>
      <c r="C1134" s="16" t="n">
        <v>40.25</v>
      </c>
      <c r="D1134" s="16" t="s">
        <v>295</v>
      </c>
      <c r="E1134" s="16" t="n">
        <v>41</v>
      </c>
      <c r="F1134" s="16" t="n">
        <v>0.75</v>
      </c>
      <c r="G1134" s="16"/>
    </row>
    <row r="1135" customFormat="false" ht="15" hidden="false" customHeight="false" outlineLevel="0" collapsed="false">
      <c r="A1135" s="16" t="s">
        <v>376</v>
      </c>
      <c r="B1135" s="16" t="s">
        <v>295</v>
      </c>
      <c r="C1135" s="16" t="n">
        <v>41</v>
      </c>
      <c r="D1135" s="16" t="s">
        <v>22</v>
      </c>
      <c r="E1135" s="16" t="n">
        <v>45</v>
      </c>
      <c r="F1135" s="16" t="n">
        <v>4</v>
      </c>
      <c r="G1135" s="16"/>
    </row>
    <row r="1136" customFormat="false" ht="15" hidden="false" customHeight="false" outlineLevel="0" collapsed="false">
      <c r="A1136" s="16" t="s">
        <v>376</v>
      </c>
      <c r="B1136" s="16" t="s">
        <v>22</v>
      </c>
      <c r="C1136" s="16" t="n">
        <v>45</v>
      </c>
      <c r="D1136" s="16" t="s">
        <v>148</v>
      </c>
      <c r="E1136" s="16" t="n">
        <v>46.1</v>
      </c>
      <c r="F1136" s="16" t="n">
        <v>1.1</v>
      </c>
      <c r="G1136" s="16"/>
    </row>
    <row r="1137" customFormat="false" ht="15" hidden="false" customHeight="false" outlineLevel="0" collapsed="false">
      <c r="A1137" s="16" t="s">
        <v>376</v>
      </c>
      <c r="B1137" s="16" t="s">
        <v>148</v>
      </c>
      <c r="C1137" s="16" t="n">
        <v>46.1</v>
      </c>
      <c r="D1137" s="16" t="s">
        <v>299</v>
      </c>
      <c r="E1137" s="16" t="n">
        <v>46.5</v>
      </c>
      <c r="F1137" s="16" t="n">
        <v>0.4</v>
      </c>
      <c r="G1137" s="16"/>
    </row>
    <row r="1138" customFormat="false" ht="15" hidden="false" customHeight="false" outlineLevel="0" collapsed="false">
      <c r="A1138" s="16" t="s">
        <v>376</v>
      </c>
      <c r="B1138" s="16" t="s">
        <v>299</v>
      </c>
      <c r="C1138" s="16" t="n">
        <v>46.5</v>
      </c>
      <c r="D1138" s="16" t="s">
        <v>39</v>
      </c>
      <c r="E1138" s="16" t="n">
        <v>51</v>
      </c>
      <c r="F1138" s="16" t="n">
        <v>4.5</v>
      </c>
      <c r="G1138" s="16"/>
    </row>
    <row r="1139" customFormat="false" ht="15" hidden="false" customHeight="false" outlineLevel="0" collapsed="false">
      <c r="A1139" s="16" t="s">
        <v>376</v>
      </c>
      <c r="B1139" s="16" t="s">
        <v>39</v>
      </c>
      <c r="C1139" s="16" t="n">
        <v>51</v>
      </c>
      <c r="D1139" s="16" t="s">
        <v>31</v>
      </c>
      <c r="E1139" s="16" t="n">
        <v>52</v>
      </c>
      <c r="F1139" s="16" t="n">
        <v>1</v>
      </c>
      <c r="G1139" s="16"/>
    </row>
    <row r="1140" customFormat="false" ht="15" hidden="false" customHeight="false" outlineLevel="0" collapsed="false">
      <c r="A1140" s="16" t="s">
        <v>376</v>
      </c>
      <c r="B1140" s="16" t="s">
        <v>31</v>
      </c>
      <c r="C1140" s="16" t="n">
        <v>52</v>
      </c>
      <c r="D1140" s="16" t="s">
        <v>43</v>
      </c>
      <c r="E1140" s="16" t="n">
        <v>52.5</v>
      </c>
      <c r="F1140" s="16" t="n">
        <v>0.5</v>
      </c>
      <c r="G1140" s="16"/>
    </row>
    <row r="1141" customFormat="false" ht="15" hidden="false" customHeight="false" outlineLevel="0" collapsed="false">
      <c r="A1141" s="16" t="s">
        <v>376</v>
      </c>
      <c r="B1141" s="16" t="s">
        <v>43</v>
      </c>
      <c r="C1141" s="16" t="n">
        <v>52.5</v>
      </c>
      <c r="D1141" s="16" t="s">
        <v>67</v>
      </c>
      <c r="E1141" s="16" t="n">
        <v>53</v>
      </c>
      <c r="F1141" s="16" t="n">
        <v>0.5</v>
      </c>
      <c r="G1141" s="16"/>
    </row>
    <row r="1142" customFormat="false" ht="15" hidden="false" customHeight="false" outlineLevel="0" collapsed="false">
      <c r="A1142" s="16" t="s">
        <v>376</v>
      </c>
      <c r="B1142" s="16" t="s">
        <v>67</v>
      </c>
      <c r="C1142" s="16" t="n">
        <v>53</v>
      </c>
      <c r="D1142" s="16" t="s">
        <v>79</v>
      </c>
      <c r="E1142" s="16" t="n">
        <v>53</v>
      </c>
      <c r="F1142" s="16" t="n">
        <v>0</v>
      </c>
      <c r="G1142" s="16" t="s">
        <v>647</v>
      </c>
    </row>
    <row r="1143" customFormat="false" ht="15" hidden="false" customHeight="false" outlineLevel="0" collapsed="false">
      <c r="A1143" s="16" t="s">
        <v>376</v>
      </c>
      <c r="B1143" s="16" t="s">
        <v>79</v>
      </c>
      <c r="C1143" s="16" t="n">
        <v>53</v>
      </c>
      <c r="D1143" s="16" t="s">
        <v>155</v>
      </c>
      <c r="E1143" s="16" t="n">
        <v>53.1</v>
      </c>
      <c r="F1143" s="16" t="n">
        <v>0.1</v>
      </c>
      <c r="G1143" s="16"/>
    </row>
    <row r="1144" customFormat="false" ht="15" hidden="false" customHeight="false" outlineLevel="0" collapsed="false">
      <c r="A1144" s="16" t="s">
        <v>376</v>
      </c>
      <c r="B1144" s="16" t="s">
        <v>155</v>
      </c>
      <c r="C1144" s="16" t="n">
        <v>53.1</v>
      </c>
      <c r="D1144" s="16" t="s">
        <v>27</v>
      </c>
      <c r="E1144" s="16" t="n">
        <v>55</v>
      </c>
      <c r="F1144" s="16" t="n">
        <v>1.9</v>
      </c>
      <c r="G1144" s="16"/>
    </row>
    <row r="1145" customFormat="false" ht="15" hidden="false" customHeight="false" outlineLevel="0" collapsed="false">
      <c r="A1145" s="16" t="s">
        <v>376</v>
      </c>
      <c r="B1145" s="16" t="s">
        <v>27</v>
      </c>
      <c r="C1145" s="16" t="n">
        <v>55</v>
      </c>
      <c r="D1145" s="16" t="s">
        <v>35</v>
      </c>
      <c r="E1145" s="16" t="n">
        <v>55</v>
      </c>
      <c r="F1145" s="16" t="n">
        <v>0</v>
      </c>
      <c r="G1145" s="16" t="s">
        <v>647</v>
      </c>
    </row>
    <row r="1146" customFormat="false" ht="15" hidden="false" customHeight="false" outlineLevel="0" collapsed="false">
      <c r="A1146" s="16" t="s">
        <v>376</v>
      </c>
      <c r="B1146" s="16" t="s">
        <v>35</v>
      </c>
      <c r="C1146" s="16" t="n">
        <v>55</v>
      </c>
      <c r="D1146" s="16" t="s">
        <v>63</v>
      </c>
      <c r="E1146" s="16" t="n">
        <v>55</v>
      </c>
      <c r="F1146" s="16" t="n">
        <v>0</v>
      </c>
      <c r="G1146" s="16" t="s">
        <v>647</v>
      </c>
    </row>
    <row r="1147" customFormat="false" ht="15" hidden="false" customHeight="false" outlineLevel="0" collapsed="false">
      <c r="A1147" s="16" t="s">
        <v>376</v>
      </c>
      <c r="B1147" s="16" t="s">
        <v>63</v>
      </c>
      <c r="C1147" s="16" t="n">
        <v>55</v>
      </c>
      <c r="D1147" s="16" t="s">
        <v>151</v>
      </c>
      <c r="E1147" s="16" t="n">
        <v>55</v>
      </c>
      <c r="F1147" s="16" t="n">
        <v>0</v>
      </c>
      <c r="G1147" s="16" t="s">
        <v>647</v>
      </c>
    </row>
    <row r="1148" customFormat="false" ht="15" hidden="false" customHeight="false" outlineLevel="0" collapsed="false">
      <c r="A1148" s="16" t="s">
        <v>376</v>
      </c>
      <c r="B1148" s="16" t="s">
        <v>151</v>
      </c>
      <c r="C1148" s="16" t="n">
        <v>55</v>
      </c>
      <c r="D1148" s="16" t="s">
        <v>75</v>
      </c>
      <c r="E1148" s="16" t="n">
        <v>60</v>
      </c>
      <c r="F1148" s="16" t="n">
        <v>5</v>
      </c>
      <c r="G1148" s="16"/>
    </row>
    <row r="1149" customFormat="false" ht="15" hidden="false" customHeight="false" outlineLevel="0" collapsed="false">
      <c r="A1149" s="16" t="s">
        <v>377</v>
      </c>
      <c r="B1149" s="16" t="s">
        <v>47</v>
      </c>
      <c r="C1149" s="16" t="n">
        <v>2026</v>
      </c>
      <c r="D1149" s="16" t="s">
        <v>87</v>
      </c>
      <c r="E1149" s="16" t="n">
        <v>2026</v>
      </c>
      <c r="F1149" s="16" t="n">
        <v>0</v>
      </c>
      <c r="G1149" s="16" t="s">
        <v>647</v>
      </c>
    </row>
    <row r="1150" customFormat="false" ht="15" hidden="false" customHeight="false" outlineLevel="0" collapsed="false">
      <c r="A1150" s="16" t="s">
        <v>377</v>
      </c>
      <c r="B1150" s="16" t="s">
        <v>87</v>
      </c>
      <c r="C1150" s="16" t="n">
        <v>2026</v>
      </c>
      <c r="D1150" s="16" t="s">
        <v>93</v>
      </c>
      <c r="E1150" s="16" t="n">
        <v>2026</v>
      </c>
      <c r="F1150" s="16" t="n">
        <v>0</v>
      </c>
      <c r="G1150" s="16" t="s">
        <v>647</v>
      </c>
    </row>
    <row r="1151" customFormat="false" ht="15" hidden="false" customHeight="false" outlineLevel="0" collapsed="false">
      <c r="A1151" s="16" t="s">
        <v>377</v>
      </c>
      <c r="B1151" s="16" t="s">
        <v>93</v>
      </c>
      <c r="C1151" s="16" t="n">
        <v>2026</v>
      </c>
      <c r="D1151" s="16" t="s">
        <v>97</v>
      </c>
      <c r="E1151" s="16" t="n">
        <v>2026</v>
      </c>
      <c r="F1151" s="16" t="n">
        <v>0</v>
      </c>
      <c r="G1151" s="16" t="s">
        <v>647</v>
      </c>
    </row>
    <row r="1152" customFormat="false" ht="15" hidden="false" customHeight="false" outlineLevel="0" collapsed="false">
      <c r="A1152" s="16" t="s">
        <v>377</v>
      </c>
      <c r="B1152" s="16" t="s">
        <v>97</v>
      </c>
      <c r="C1152" s="16" t="n">
        <v>2026</v>
      </c>
      <c r="D1152" s="16" t="s">
        <v>118</v>
      </c>
      <c r="E1152" s="16" t="n">
        <v>2026</v>
      </c>
      <c r="F1152" s="16" t="n">
        <v>0</v>
      </c>
      <c r="G1152" s="16" t="s">
        <v>647</v>
      </c>
    </row>
    <row r="1153" customFormat="false" ht="15" hidden="false" customHeight="false" outlineLevel="0" collapsed="false">
      <c r="A1153" s="16" t="s">
        <v>377</v>
      </c>
      <c r="B1153" s="16" t="s">
        <v>118</v>
      </c>
      <c r="C1153" s="16" t="n">
        <v>2026</v>
      </c>
      <c r="D1153" s="16" t="s">
        <v>122</v>
      </c>
      <c r="E1153" s="16" t="n">
        <v>2026</v>
      </c>
      <c r="F1153" s="16" t="n">
        <v>0</v>
      </c>
      <c r="G1153" s="16" t="s">
        <v>647</v>
      </c>
    </row>
    <row r="1154" customFormat="false" ht="15" hidden="false" customHeight="false" outlineLevel="0" collapsed="false">
      <c r="A1154" s="16" t="s">
        <v>377</v>
      </c>
      <c r="B1154" s="16" t="s">
        <v>122</v>
      </c>
      <c r="C1154" s="16" t="n">
        <v>2026</v>
      </c>
      <c r="D1154" s="16" t="s">
        <v>144</v>
      </c>
      <c r="E1154" s="16" t="n">
        <v>2026</v>
      </c>
      <c r="F1154" s="16" t="n">
        <v>0</v>
      </c>
      <c r="G1154" s="16" t="s">
        <v>647</v>
      </c>
    </row>
    <row r="1155" customFormat="false" ht="15" hidden="false" customHeight="false" outlineLevel="0" collapsed="false">
      <c r="A1155" s="16" t="s">
        <v>377</v>
      </c>
      <c r="B1155" s="16" t="s">
        <v>144</v>
      </c>
      <c r="C1155" s="16" t="n">
        <v>2026</v>
      </c>
      <c r="D1155" s="16" t="s">
        <v>159</v>
      </c>
      <c r="E1155" s="16" t="n">
        <v>2026</v>
      </c>
      <c r="F1155" s="16" t="n">
        <v>0</v>
      </c>
      <c r="G1155" s="16" t="s">
        <v>647</v>
      </c>
    </row>
    <row r="1156" customFormat="false" ht="15" hidden="false" customHeight="false" outlineLevel="0" collapsed="false">
      <c r="A1156" s="16" t="s">
        <v>377</v>
      </c>
      <c r="B1156" s="16" t="s">
        <v>159</v>
      </c>
      <c r="C1156" s="16" t="n">
        <v>2026</v>
      </c>
      <c r="D1156" s="16" t="s">
        <v>162</v>
      </c>
      <c r="E1156" s="16" t="n">
        <v>2026</v>
      </c>
      <c r="F1156" s="16" t="n">
        <v>0</v>
      </c>
      <c r="G1156" s="16" t="s">
        <v>647</v>
      </c>
    </row>
    <row r="1157" customFormat="false" ht="15" hidden="false" customHeight="false" outlineLevel="0" collapsed="false">
      <c r="A1157" s="16" t="s">
        <v>377</v>
      </c>
      <c r="B1157" s="16" t="s">
        <v>162</v>
      </c>
      <c r="C1157" s="16" t="n">
        <v>2026</v>
      </c>
      <c r="D1157" s="16" t="s">
        <v>181</v>
      </c>
      <c r="E1157" s="16" t="n">
        <v>2026</v>
      </c>
      <c r="F1157" s="16" t="n">
        <v>0</v>
      </c>
      <c r="G1157" s="16" t="s">
        <v>647</v>
      </c>
    </row>
    <row r="1158" customFormat="false" ht="15" hidden="false" customHeight="false" outlineLevel="0" collapsed="false">
      <c r="A1158" s="16" t="s">
        <v>377</v>
      </c>
      <c r="B1158" s="16" t="s">
        <v>181</v>
      </c>
      <c r="C1158" s="16" t="n">
        <v>2026</v>
      </c>
      <c r="D1158" s="16" t="s">
        <v>192</v>
      </c>
      <c r="E1158" s="16" t="n">
        <v>2026</v>
      </c>
      <c r="F1158" s="16" t="n">
        <v>0</v>
      </c>
      <c r="G1158" s="16" t="s">
        <v>647</v>
      </c>
    </row>
    <row r="1159" customFormat="false" ht="15" hidden="false" customHeight="false" outlineLevel="0" collapsed="false">
      <c r="A1159" s="16" t="s">
        <v>377</v>
      </c>
      <c r="B1159" s="16" t="s">
        <v>192</v>
      </c>
      <c r="C1159" s="16" t="n">
        <v>2026</v>
      </c>
      <c r="D1159" s="16" t="s">
        <v>195</v>
      </c>
      <c r="E1159" s="16" t="n">
        <v>2026</v>
      </c>
      <c r="F1159" s="16" t="n">
        <v>0</v>
      </c>
      <c r="G1159" s="16" t="s">
        <v>647</v>
      </c>
    </row>
    <row r="1160" customFormat="false" ht="15" hidden="false" customHeight="false" outlineLevel="0" collapsed="false">
      <c r="A1160" s="16" t="s">
        <v>377</v>
      </c>
      <c r="B1160" s="16" t="s">
        <v>195</v>
      </c>
      <c r="C1160" s="16" t="n">
        <v>2026</v>
      </c>
      <c r="D1160" s="16" t="s">
        <v>202</v>
      </c>
      <c r="E1160" s="16" t="n">
        <v>2026</v>
      </c>
      <c r="F1160" s="16" t="n">
        <v>0</v>
      </c>
      <c r="G1160" s="16" t="s">
        <v>647</v>
      </c>
    </row>
    <row r="1161" customFormat="false" ht="15" hidden="false" customHeight="false" outlineLevel="0" collapsed="false">
      <c r="A1161" s="16" t="s">
        <v>377</v>
      </c>
      <c r="B1161" s="16" t="s">
        <v>202</v>
      </c>
      <c r="C1161" s="16" t="n">
        <v>2026</v>
      </c>
      <c r="D1161" s="16" t="s">
        <v>216</v>
      </c>
      <c r="E1161" s="16" t="n">
        <v>2026</v>
      </c>
      <c r="F1161" s="16" t="n">
        <v>0</v>
      </c>
      <c r="G1161" s="16" t="s">
        <v>647</v>
      </c>
    </row>
    <row r="1162" customFormat="false" ht="15" hidden="false" customHeight="false" outlineLevel="0" collapsed="false">
      <c r="A1162" s="16" t="s">
        <v>377</v>
      </c>
      <c r="B1162" s="16" t="s">
        <v>216</v>
      </c>
      <c r="C1162" s="16" t="n">
        <v>2026</v>
      </c>
      <c r="D1162" s="16" t="s">
        <v>225</v>
      </c>
      <c r="E1162" s="16" t="n">
        <v>2026</v>
      </c>
      <c r="F1162" s="16" t="n">
        <v>0</v>
      </c>
      <c r="G1162" s="16" t="s">
        <v>647</v>
      </c>
    </row>
    <row r="1163" customFormat="false" ht="15" hidden="false" customHeight="false" outlineLevel="0" collapsed="false">
      <c r="A1163" s="16" t="s">
        <v>377</v>
      </c>
      <c r="B1163" s="16" t="s">
        <v>225</v>
      </c>
      <c r="C1163" s="16" t="n">
        <v>2026</v>
      </c>
      <c r="D1163" s="16" t="s">
        <v>245</v>
      </c>
      <c r="E1163" s="16" t="n">
        <v>2026</v>
      </c>
      <c r="F1163" s="16" t="n">
        <v>0</v>
      </c>
      <c r="G1163" s="16" t="s">
        <v>647</v>
      </c>
    </row>
    <row r="1164" customFormat="false" ht="15" hidden="false" customHeight="false" outlineLevel="0" collapsed="false">
      <c r="A1164" s="16" t="s">
        <v>377</v>
      </c>
      <c r="B1164" s="16" t="s">
        <v>245</v>
      </c>
      <c r="C1164" s="16" t="n">
        <v>2026</v>
      </c>
      <c r="D1164" s="16" t="s">
        <v>254</v>
      </c>
      <c r="E1164" s="16" t="n">
        <v>2026</v>
      </c>
      <c r="F1164" s="16" t="n">
        <v>0</v>
      </c>
      <c r="G1164" s="16" t="s">
        <v>647</v>
      </c>
    </row>
    <row r="1165" customFormat="false" ht="15" hidden="false" customHeight="false" outlineLevel="0" collapsed="false">
      <c r="A1165" s="16" t="s">
        <v>377</v>
      </c>
      <c r="B1165" s="16" t="s">
        <v>254</v>
      </c>
      <c r="C1165" s="16" t="n">
        <v>2026</v>
      </c>
      <c r="D1165" s="16" t="s">
        <v>266</v>
      </c>
      <c r="E1165" s="16" t="n">
        <v>2026</v>
      </c>
      <c r="F1165" s="16" t="n">
        <v>0</v>
      </c>
      <c r="G1165" s="16" t="s">
        <v>647</v>
      </c>
    </row>
    <row r="1166" customFormat="false" ht="15" hidden="false" customHeight="false" outlineLevel="0" collapsed="false">
      <c r="A1166" s="16" t="s">
        <v>377</v>
      </c>
      <c r="B1166" s="16" t="s">
        <v>266</v>
      </c>
      <c r="C1166" s="16" t="n">
        <v>2026</v>
      </c>
      <c r="D1166" s="16" t="s">
        <v>282</v>
      </c>
      <c r="E1166" s="16" t="n">
        <v>2026</v>
      </c>
      <c r="F1166" s="16" t="n">
        <v>0</v>
      </c>
      <c r="G1166" s="16" t="s">
        <v>647</v>
      </c>
    </row>
    <row r="1167" customFormat="false" ht="15" hidden="false" customHeight="false" outlineLevel="0" collapsed="false">
      <c r="A1167" s="16" t="s">
        <v>377</v>
      </c>
      <c r="B1167" s="16" t="s">
        <v>282</v>
      </c>
      <c r="C1167" s="16" t="n">
        <v>2026</v>
      </c>
      <c r="D1167" s="16" t="s">
        <v>307</v>
      </c>
      <c r="E1167" s="16" t="n">
        <v>2026</v>
      </c>
      <c r="F1167" s="16" t="n">
        <v>0</v>
      </c>
      <c r="G1167" s="16" t="s">
        <v>647</v>
      </c>
    </row>
    <row r="1168" customFormat="false" ht="15" hidden="false" customHeight="false" outlineLevel="0" collapsed="false">
      <c r="A1168" s="16" t="s">
        <v>377</v>
      </c>
      <c r="B1168" s="16" t="s">
        <v>307</v>
      </c>
      <c r="C1168" s="16" t="n">
        <v>2026</v>
      </c>
      <c r="D1168" s="16" t="s">
        <v>310</v>
      </c>
      <c r="E1168" s="16" t="n">
        <v>2026</v>
      </c>
      <c r="F1168" s="16" t="n">
        <v>0</v>
      </c>
      <c r="G1168" s="16" t="s">
        <v>647</v>
      </c>
    </row>
    <row r="1169" customFormat="false" ht="15" hidden="false" customHeight="false" outlineLevel="0" collapsed="false">
      <c r="A1169" s="16" t="s">
        <v>377</v>
      </c>
      <c r="B1169" s="16" t="s">
        <v>310</v>
      </c>
      <c r="C1169" s="16" t="n">
        <v>2026</v>
      </c>
      <c r="D1169" s="16" t="s">
        <v>317</v>
      </c>
      <c r="E1169" s="16" t="n">
        <v>2026</v>
      </c>
      <c r="F1169" s="16" t="n">
        <v>0</v>
      </c>
      <c r="G1169" s="16" t="s">
        <v>647</v>
      </c>
    </row>
    <row r="1170" customFormat="false" ht="15" hidden="false" customHeight="false" outlineLevel="0" collapsed="false">
      <c r="A1170" s="16" t="s">
        <v>377</v>
      </c>
      <c r="B1170" s="16" t="s">
        <v>317</v>
      </c>
      <c r="C1170" s="16" t="n">
        <v>2026</v>
      </c>
      <c r="D1170" s="16" t="s">
        <v>345</v>
      </c>
      <c r="E1170" s="16" t="n">
        <v>2026</v>
      </c>
      <c r="F1170" s="16" t="n">
        <v>0</v>
      </c>
      <c r="G1170" s="16" t="s">
        <v>647</v>
      </c>
    </row>
    <row r="1171" customFormat="false" ht="15" hidden="false" customHeight="false" outlineLevel="0" collapsed="false">
      <c r="A1171" s="16" t="s">
        <v>377</v>
      </c>
      <c r="B1171" s="16" t="s">
        <v>345</v>
      </c>
      <c r="C1171" s="16" t="n">
        <v>2026</v>
      </c>
      <c r="D1171" s="16" t="s">
        <v>355</v>
      </c>
      <c r="E1171" s="16" t="n">
        <v>2026</v>
      </c>
      <c r="F1171" s="16" t="n">
        <v>0</v>
      </c>
      <c r="G1171" s="16" t="s">
        <v>647</v>
      </c>
    </row>
    <row r="1172" customFormat="false" ht="15" hidden="false" customHeight="false" outlineLevel="0" collapsed="false">
      <c r="A1172" s="16" t="s">
        <v>377</v>
      </c>
      <c r="B1172" s="16" t="s">
        <v>355</v>
      </c>
      <c r="C1172" s="16" t="n">
        <v>2026</v>
      </c>
      <c r="D1172" s="16" t="s">
        <v>358</v>
      </c>
      <c r="E1172" s="16" t="n">
        <v>2026</v>
      </c>
      <c r="F1172" s="16" t="n">
        <v>0</v>
      </c>
      <c r="G1172" s="16" t="s">
        <v>647</v>
      </c>
    </row>
    <row r="1173" customFormat="false" ht="15" hidden="false" customHeight="false" outlineLevel="0" collapsed="false">
      <c r="A1173" s="16" t="s">
        <v>377</v>
      </c>
      <c r="B1173" s="16" t="s">
        <v>31</v>
      </c>
      <c r="C1173" s="16" t="n">
        <v>2027</v>
      </c>
      <c r="D1173" s="16" t="s">
        <v>51</v>
      </c>
      <c r="E1173" s="16" t="n">
        <v>2027</v>
      </c>
      <c r="F1173" s="16" t="n">
        <v>0</v>
      </c>
      <c r="G1173" s="16" t="s">
        <v>647</v>
      </c>
    </row>
    <row r="1174" customFormat="false" ht="15" hidden="false" customHeight="false" outlineLevel="0" collapsed="false">
      <c r="A1174" s="16" t="s">
        <v>377</v>
      </c>
      <c r="B1174" s="16" t="s">
        <v>51</v>
      </c>
      <c r="C1174" s="16" t="n">
        <v>2027</v>
      </c>
      <c r="D1174" s="16" t="s">
        <v>55</v>
      </c>
      <c r="E1174" s="16" t="n">
        <v>2027</v>
      </c>
      <c r="F1174" s="16" t="n">
        <v>0</v>
      </c>
      <c r="G1174" s="16" t="s">
        <v>647</v>
      </c>
    </row>
    <row r="1175" customFormat="false" ht="15" hidden="false" customHeight="false" outlineLevel="0" collapsed="false">
      <c r="A1175" s="16" t="s">
        <v>377</v>
      </c>
      <c r="B1175" s="16" t="s">
        <v>55</v>
      </c>
      <c r="C1175" s="16" t="n">
        <v>2027</v>
      </c>
      <c r="D1175" s="16" t="s">
        <v>59</v>
      </c>
      <c r="E1175" s="16" t="n">
        <v>2027</v>
      </c>
      <c r="F1175" s="16" t="n">
        <v>0</v>
      </c>
      <c r="G1175" s="16" t="s">
        <v>647</v>
      </c>
    </row>
    <row r="1176" customFormat="false" ht="15" hidden="false" customHeight="false" outlineLevel="0" collapsed="false">
      <c r="A1176" s="16" t="s">
        <v>377</v>
      </c>
      <c r="B1176" s="16" t="s">
        <v>59</v>
      </c>
      <c r="C1176" s="16" t="n">
        <v>2027</v>
      </c>
      <c r="D1176" s="16" t="s">
        <v>71</v>
      </c>
      <c r="E1176" s="16" t="n">
        <v>2027</v>
      </c>
      <c r="F1176" s="16" t="n">
        <v>0</v>
      </c>
      <c r="G1176" s="16" t="s">
        <v>647</v>
      </c>
    </row>
    <row r="1177" customFormat="false" ht="15" hidden="false" customHeight="false" outlineLevel="0" collapsed="false">
      <c r="A1177" s="16" t="s">
        <v>377</v>
      </c>
      <c r="B1177" s="16" t="s">
        <v>71</v>
      </c>
      <c r="C1177" s="16" t="n">
        <v>2027</v>
      </c>
      <c r="D1177" s="16" t="s">
        <v>90</v>
      </c>
      <c r="E1177" s="16" t="n">
        <v>2027</v>
      </c>
      <c r="F1177" s="16" t="n">
        <v>0</v>
      </c>
      <c r="G1177" s="16" t="s">
        <v>647</v>
      </c>
    </row>
    <row r="1178" customFormat="false" ht="15" hidden="false" customHeight="false" outlineLevel="0" collapsed="false">
      <c r="A1178" s="16" t="s">
        <v>377</v>
      </c>
      <c r="B1178" s="16" t="s">
        <v>90</v>
      </c>
      <c r="C1178" s="16" t="n">
        <v>2027</v>
      </c>
      <c r="D1178" s="16" t="s">
        <v>129</v>
      </c>
      <c r="E1178" s="16" t="n">
        <v>2027</v>
      </c>
      <c r="F1178" s="16" t="n">
        <v>0</v>
      </c>
      <c r="G1178" s="16" t="s">
        <v>647</v>
      </c>
    </row>
    <row r="1179" customFormat="false" ht="15" hidden="false" customHeight="false" outlineLevel="0" collapsed="false">
      <c r="A1179" s="16" t="s">
        <v>377</v>
      </c>
      <c r="B1179" s="16" t="s">
        <v>129</v>
      </c>
      <c r="C1179" s="16" t="n">
        <v>2027</v>
      </c>
      <c r="D1179" s="16" t="s">
        <v>137</v>
      </c>
      <c r="E1179" s="16" t="n">
        <v>2027</v>
      </c>
      <c r="F1179" s="16" t="n">
        <v>0</v>
      </c>
      <c r="G1179" s="16" t="s">
        <v>647</v>
      </c>
    </row>
    <row r="1180" customFormat="false" ht="15" hidden="false" customHeight="false" outlineLevel="0" collapsed="false">
      <c r="A1180" s="16" t="s">
        <v>377</v>
      </c>
      <c r="B1180" s="16" t="s">
        <v>137</v>
      </c>
      <c r="C1180" s="16" t="n">
        <v>2027</v>
      </c>
      <c r="D1180" s="16" t="s">
        <v>166</v>
      </c>
      <c r="E1180" s="16" t="n">
        <v>2027</v>
      </c>
      <c r="F1180" s="16" t="n">
        <v>0</v>
      </c>
      <c r="G1180" s="16" t="s">
        <v>647</v>
      </c>
    </row>
    <row r="1181" customFormat="false" ht="15" hidden="false" customHeight="false" outlineLevel="0" collapsed="false">
      <c r="A1181" s="16" t="s">
        <v>377</v>
      </c>
      <c r="B1181" s="16" t="s">
        <v>166</v>
      </c>
      <c r="C1181" s="16" t="n">
        <v>2027</v>
      </c>
      <c r="D1181" s="16" t="s">
        <v>168</v>
      </c>
      <c r="E1181" s="16" t="n">
        <v>2027</v>
      </c>
      <c r="F1181" s="16" t="n">
        <v>0</v>
      </c>
      <c r="G1181" s="16" t="s">
        <v>647</v>
      </c>
    </row>
    <row r="1182" customFormat="false" ht="15" hidden="false" customHeight="false" outlineLevel="0" collapsed="false">
      <c r="A1182" s="16" t="s">
        <v>377</v>
      </c>
      <c r="B1182" s="16" t="s">
        <v>168</v>
      </c>
      <c r="C1182" s="16" t="n">
        <v>2027</v>
      </c>
      <c r="D1182" s="16" t="s">
        <v>171</v>
      </c>
      <c r="E1182" s="16" t="n">
        <v>2027</v>
      </c>
      <c r="F1182" s="16" t="n">
        <v>0</v>
      </c>
      <c r="G1182" s="16" t="s">
        <v>647</v>
      </c>
    </row>
    <row r="1183" customFormat="false" ht="15" hidden="false" customHeight="false" outlineLevel="0" collapsed="false">
      <c r="A1183" s="16" t="s">
        <v>377</v>
      </c>
      <c r="B1183" s="16" t="s">
        <v>171</v>
      </c>
      <c r="C1183" s="16" t="n">
        <v>2027</v>
      </c>
      <c r="D1183" s="16" t="s">
        <v>184</v>
      </c>
      <c r="E1183" s="16" t="n">
        <v>2027</v>
      </c>
      <c r="F1183" s="16" t="n">
        <v>0</v>
      </c>
      <c r="G1183" s="16" t="s">
        <v>647</v>
      </c>
    </row>
    <row r="1184" customFormat="false" ht="15" hidden="false" customHeight="false" outlineLevel="0" collapsed="false">
      <c r="A1184" s="16" t="s">
        <v>377</v>
      </c>
      <c r="B1184" s="16" t="s">
        <v>184</v>
      </c>
      <c r="C1184" s="16" t="n">
        <v>2027</v>
      </c>
      <c r="D1184" s="16" t="s">
        <v>213</v>
      </c>
      <c r="E1184" s="16" t="n">
        <v>2027</v>
      </c>
      <c r="F1184" s="16" t="n">
        <v>0</v>
      </c>
      <c r="G1184" s="16" t="s">
        <v>647</v>
      </c>
    </row>
    <row r="1185" customFormat="false" ht="15" hidden="false" customHeight="false" outlineLevel="0" collapsed="false">
      <c r="A1185" s="16" t="s">
        <v>377</v>
      </c>
      <c r="B1185" s="16" t="s">
        <v>213</v>
      </c>
      <c r="C1185" s="16" t="n">
        <v>2027</v>
      </c>
      <c r="D1185" s="16" t="s">
        <v>230</v>
      </c>
      <c r="E1185" s="16" t="n">
        <v>2027</v>
      </c>
      <c r="F1185" s="16" t="n">
        <v>0</v>
      </c>
      <c r="G1185" s="16" t="s">
        <v>647</v>
      </c>
    </row>
    <row r="1186" customFormat="false" ht="15" hidden="false" customHeight="false" outlineLevel="0" collapsed="false">
      <c r="A1186" s="16" t="s">
        <v>377</v>
      </c>
      <c r="B1186" s="16" t="s">
        <v>230</v>
      </c>
      <c r="C1186" s="16" t="n">
        <v>2027</v>
      </c>
      <c r="D1186" s="16" t="s">
        <v>233</v>
      </c>
      <c r="E1186" s="16" t="n">
        <v>2027</v>
      </c>
      <c r="F1186" s="16" t="n">
        <v>0</v>
      </c>
      <c r="G1186" s="16" t="s">
        <v>647</v>
      </c>
    </row>
    <row r="1187" customFormat="false" ht="15" hidden="false" customHeight="false" outlineLevel="0" collapsed="false">
      <c r="A1187" s="16" t="s">
        <v>377</v>
      </c>
      <c r="B1187" s="16" t="s">
        <v>233</v>
      </c>
      <c r="C1187" s="16" t="n">
        <v>2027</v>
      </c>
      <c r="D1187" s="16" t="s">
        <v>236</v>
      </c>
      <c r="E1187" s="16" t="n">
        <v>2027</v>
      </c>
      <c r="F1187" s="16" t="n">
        <v>0</v>
      </c>
      <c r="G1187" s="16" t="s">
        <v>647</v>
      </c>
    </row>
    <row r="1188" customFormat="false" ht="15" hidden="false" customHeight="false" outlineLevel="0" collapsed="false">
      <c r="A1188" s="16" t="s">
        <v>377</v>
      </c>
      <c r="B1188" s="16" t="s">
        <v>236</v>
      </c>
      <c r="C1188" s="16" t="n">
        <v>2027</v>
      </c>
      <c r="D1188" s="16" t="s">
        <v>251</v>
      </c>
      <c r="E1188" s="16" t="n">
        <v>2027</v>
      </c>
      <c r="F1188" s="16" t="n">
        <v>0</v>
      </c>
      <c r="G1188" s="16" t="s">
        <v>647</v>
      </c>
    </row>
    <row r="1189" customFormat="false" ht="15" hidden="false" customHeight="false" outlineLevel="0" collapsed="false">
      <c r="A1189" s="16" t="s">
        <v>377</v>
      </c>
      <c r="B1189" s="16" t="s">
        <v>251</v>
      </c>
      <c r="C1189" s="16" t="n">
        <v>2027</v>
      </c>
      <c r="D1189" s="16" t="s">
        <v>257</v>
      </c>
      <c r="E1189" s="16" t="n">
        <v>2027</v>
      </c>
      <c r="F1189" s="16" t="n">
        <v>0</v>
      </c>
      <c r="G1189" s="16" t="s">
        <v>647</v>
      </c>
    </row>
    <row r="1190" customFormat="false" ht="15" hidden="false" customHeight="false" outlineLevel="0" collapsed="false">
      <c r="A1190" s="16" t="s">
        <v>377</v>
      </c>
      <c r="B1190" s="16" t="s">
        <v>257</v>
      </c>
      <c r="C1190" s="16" t="n">
        <v>2027</v>
      </c>
      <c r="D1190" s="16" t="s">
        <v>270</v>
      </c>
      <c r="E1190" s="16" t="n">
        <v>2027</v>
      </c>
      <c r="F1190" s="16" t="n">
        <v>0</v>
      </c>
      <c r="G1190" s="16" t="s">
        <v>647</v>
      </c>
    </row>
    <row r="1191" customFormat="false" ht="15" hidden="false" customHeight="false" outlineLevel="0" collapsed="false">
      <c r="A1191" s="16" t="s">
        <v>377</v>
      </c>
      <c r="B1191" s="16" t="s">
        <v>270</v>
      </c>
      <c r="C1191" s="16" t="n">
        <v>2027</v>
      </c>
      <c r="D1191" s="16" t="s">
        <v>322</v>
      </c>
      <c r="E1191" s="16" t="n">
        <v>2027</v>
      </c>
      <c r="F1191" s="16" t="n">
        <v>0</v>
      </c>
      <c r="G1191" s="16" t="s">
        <v>647</v>
      </c>
    </row>
    <row r="1192" customFormat="false" ht="15" hidden="false" customHeight="false" outlineLevel="0" collapsed="false">
      <c r="A1192" s="16" t="s">
        <v>377</v>
      </c>
      <c r="B1192" s="16" t="s">
        <v>322</v>
      </c>
      <c r="C1192" s="16" t="n">
        <v>2027</v>
      </c>
      <c r="D1192" s="16" t="s">
        <v>325</v>
      </c>
      <c r="E1192" s="16" t="n">
        <v>2027</v>
      </c>
      <c r="F1192" s="16" t="n">
        <v>0</v>
      </c>
      <c r="G1192" s="16" t="s">
        <v>647</v>
      </c>
    </row>
    <row r="1193" customFormat="false" ht="15" hidden="false" customHeight="false" outlineLevel="0" collapsed="false">
      <c r="A1193" s="16" t="s">
        <v>377</v>
      </c>
      <c r="B1193" s="16" t="s">
        <v>325</v>
      </c>
      <c r="C1193" s="16" t="n">
        <v>2027</v>
      </c>
      <c r="D1193" s="16" t="s">
        <v>332</v>
      </c>
      <c r="E1193" s="16" t="n">
        <v>2027</v>
      </c>
      <c r="F1193" s="16" t="n">
        <v>0</v>
      </c>
      <c r="G1193" s="16" t="s">
        <v>647</v>
      </c>
    </row>
    <row r="1194" customFormat="false" ht="15" hidden="false" customHeight="false" outlineLevel="0" collapsed="false">
      <c r="A1194" s="16" t="s">
        <v>377</v>
      </c>
      <c r="B1194" s="16" t="s">
        <v>39</v>
      </c>
      <c r="C1194" s="16" t="n">
        <v>2028</v>
      </c>
      <c r="D1194" s="16" t="s">
        <v>63</v>
      </c>
      <c r="E1194" s="16" t="n">
        <v>2028</v>
      </c>
      <c r="F1194" s="16" t="n">
        <v>0</v>
      </c>
      <c r="G1194" s="16" t="s">
        <v>647</v>
      </c>
    </row>
    <row r="1195" customFormat="false" ht="15" hidden="false" customHeight="false" outlineLevel="0" collapsed="false">
      <c r="A1195" s="16" t="s">
        <v>377</v>
      </c>
      <c r="B1195" s="16" t="s">
        <v>63</v>
      </c>
      <c r="C1195" s="16" t="n">
        <v>2028</v>
      </c>
      <c r="D1195" s="16" t="s">
        <v>75</v>
      </c>
      <c r="E1195" s="16" t="n">
        <v>2028</v>
      </c>
      <c r="F1195" s="16" t="n">
        <v>0</v>
      </c>
      <c r="G1195" s="16" t="s">
        <v>647</v>
      </c>
    </row>
    <row r="1196" customFormat="false" ht="15" hidden="false" customHeight="false" outlineLevel="0" collapsed="false">
      <c r="A1196" s="16" t="s">
        <v>377</v>
      </c>
      <c r="B1196" s="16" t="s">
        <v>75</v>
      </c>
      <c r="C1196" s="16" t="n">
        <v>2028</v>
      </c>
      <c r="D1196" s="16" t="s">
        <v>79</v>
      </c>
      <c r="E1196" s="16" t="n">
        <v>2028</v>
      </c>
      <c r="F1196" s="16" t="n">
        <v>0</v>
      </c>
      <c r="G1196" s="16" t="s">
        <v>647</v>
      </c>
    </row>
    <row r="1197" customFormat="false" ht="15" hidden="false" customHeight="false" outlineLevel="0" collapsed="false">
      <c r="A1197" s="16" t="s">
        <v>377</v>
      </c>
      <c r="B1197" s="16" t="s">
        <v>79</v>
      </c>
      <c r="C1197" s="16" t="n">
        <v>2028</v>
      </c>
      <c r="D1197" s="16" t="s">
        <v>83</v>
      </c>
      <c r="E1197" s="16" t="n">
        <v>2028</v>
      </c>
      <c r="F1197" s="16" t="n">
        <v>0</v>
      </c>
      <c r="G1197" s="16" t="s">
        <v>647</v>
      </c>
    </row>
    <row r="1198" customFormat="false" ht="15" hidden="false" customHeight="false" outlineLevel="0" collapsed="false">
      <c r="A1198" s="16" t="s">
        <v>377</v>
      </c>
      <c r="B1198" s="16" t="s">
        <v>83</v>
      </c>
      <c r="C1198" s="16" t="n">
        <v>2028</v>
      </c>
      <c r="D1198" s="16" t="s">
        <v>100</v>
      </c>
      <c r="E1198" s="16" t="n">
        <v>2028</v>
      </c>
      <c r="F1198" s="16" t="n">
        <v>0</v>
      </c>
      <c r="G1198" s="16" t="s">
        <v>647</v>
      </c>
    </row>
    <row r="1199" customFormat="false" ht="15" hidden="false" customHeight="false" outlineLevel="0" collapsed="false">
      <c r="A1199" s="16" t="s">
        <v>377</v>
      </c>
      <c r="B1199" s="16" t="s">
        <v>100</v>
      </c>
      <c r="C1199" s="16" t="n">
        <v>2028</v>
      </c>
      <c r="D1199" s="16" t="s">
        <v>104</v>
      </c>
      <c r="E1199" s="16" t="n">
        <v>2028</v>
      </c>
      <c r="F1199" s="16" t="n">
        <v>0</v>
      </c>
      <c r="G1199" s="16" t="s">
        <v>647</v>
      </c>
    </row>
    <row r="1200" customFormat="false" ht="15" hidden="false" customHeight="false" outlineLevel="0" collapsed="false">
      <c r="A1200" s="16" t="s">
        <v>377</v>
      </c>
      <c r="B1200" s="16" t="s">
        <v>104</v>
      </c>
      <c r="C1200" s="16" t="n">
        <v>2028</v>
      </c>
      <c r="D1200" s="16" t="s">
        <v>112</v>
      </c>
      <c r="E1200" s="16" t="n">
        <v>2028</v>
      </c>
      <c r="F1200" s="16" t="n">
        <v>0</v>
      </c>
      <c r="G1200" s="16" t="s">
        <v>647</v>
      </c>
    </row>
    <row r="1201" customFormat="false" ht="15" hidden="false" customHeight="false" outlineLevel="0" collapsed="false">
      <c r="A1201" s="16" t="s">
        <v>377</v>
      </c>
      <c r="B1201" s="16" t="s">
        <v>112</v>
      </c>
      <c r="C1201" s="16" t="n">
        <v>2028</v>
      </c>
      <c r="D1201" s="16" t="s">
        <v>115</v>
      </c>
      <c r="E1201" s="16" t="n">
        <v>2028</v>
      </c>
      <c r="F1201" s="16" t="n">
        <v>0</v>
      </c>
      <c r="G1201" s="16" t="s">
        <v>647</v>
      </c>
    </row>
    <row r="1202" customFormat="false" ht="15" hidden="false" customHeight="false" outlineLevel="0" collapsed="false">
      <c r="A1202" s="16" t="s">
        <v>377</v>
      </c>
      <c r="B1202" s="16" t="s">
        <v>115</v>
      </c>
      <c r="C1202" s="16" t="n">
        <v>2028</v>
      </c>
      <c r="D1202" s="16" t="s">
        <v>126</v>
      </c>
      <c r="E1202" s="16" t="n">
        <v>2028</v>
      </c>
      <c r="F1202" s="16" t="n">
        <v>0</v>
      </c>
      <c r="G1202" s="16" t="s">
        <v>647</v>
      </c>
    </row>
    <row r="1203" customFormat="false" ht="15" hidden="false" customHeight="false" outlineLevel="0" collapsed="false">
      <c r="A1203" s="16" t="s">
        <v>377</v>
      </c>
      <c r="B1203" s="16" t="s">
        <v>126</v>
      </c>
      <c r="C1203" s="16" t="n">
        <v>2028</v>
      </c>
      <c r="D1203" s="16" t="s">
        <v>140</v>
      </c>
      <c r="E1203" s="16" t="n">
        <v>2028</v>
      </c>
      <c r="F1203" s="16" t="n">
        <v>0</v>
      </c>
      <c r="G1203" s="16" t="s">
        <v>647</v>
      </c>
    </row>
    <row r="1204" customFormat="false" ht="15" hidden="false" customHeight="false" outlineLevel="0" collapsed="false">
      <c r="A1204" s="16" t="s">
        <v>377</v>
      </c>
      <c r="B1204" s="16" t="s">
        <v>140</v>
      </c>
      <c r="C1204" s="16" t="n">
        <v>2028</v>
      </c>
      <c r="D1204" s="16" t="s">
        <v>148</v>
      </c>
      <c r="E1204" s="16" t="n">
        <v>2028</v>
      </c>
      <c r="F1204" s="16" t="n">
        <v>0</v>
      </c>
      <c r="G1204" s="16" t="s">
        <v>647</v>
      </c>
    </row>
    <row r="1205" customFormat="false" ht="15" hidden="false" customHeight="false" outlineLevel="0" collapsed="false">
      <c r="A1205" s="16" t="s">
        <v>377</v>
      </c>
      <c r="B1205" s="16" t="s">
        <v>148</v>
      </c>
      <c r="C1205" s="16" t="n">
        <v>2028</v>
      </c>
      <c r="D1205" s="16" t="s">
        <v>155</v>
      </c>
      <c r="E1205" s="16" t="n">
        <v>2028</v>
      </c>
      <c r="F1205" s="16" t="n">
        <v>0</v>
      </c>
      <c r="G1205" s="16" t="s">
        <v>647</v>
      </c>
    </row>
    <row r="1206" customFormat="false" ht="15" hidden="false" customHeight="false" outlineLevel="0" collapsed="false">
      <c r="A1206" s="16" t="s">
        <v>377</v>
      </c>
      <c r="B1206" s="16" t="s">
        <v>155</v>
      </c>
      <c r="C1206" s="16" t="n">
        <v>2028</v>
      </c>
      <c r="D1206" s="16" t="s">
        <v>174</v>
      </c>
      <c r="E1206" s="16" t="n">
        <v>2028</v>
      </c>
      <c r="F1206" s="16" t="n">
        <v>0</v>
      </c>
      <c r="G1206" s="16" t="s">
        <v>647</v>
      </c>
    </row>
    <row r="1207" customFormat="false" ht="15" hidden="false" customHeight="false" outlineLevel="0" collapsed="false">
      <c r="A1207" s="16" t="s">
        <v>377</v>
      </c>
      <c r="B1207" s="16" t="s">
        <v>174</v>
      </c>
      <c r="C1207" s="16" t="n">
        <v>2028</v>
      </c>
      <c r="D1207" s="16" t="s">
        <v>187</v>
      </c>
      <c r="E1207" s="16" t="n">
        <v>2028</v>
      </c>
      <c r="F1207" s="16" t="n">
        <v>0</v>
      </c>
      <c r="G1207" s="16" t="s">
        <v>647</v>
      </c>
    </row>
    <row r="1208" customFormat="false" ht="15" hidden="false" customHeight="false" outlineLevel="0" collapsed="false">
      <c r="A1208" s="16" t="s">
        <v>377</v>
      </c>
      <c r="B1208" s="16" t="s">
        <v>187</v>
      </c>
      <c r="C1208" s="16" t="n">
        <v>2028</v>
      </c>
      <c r="D1208" s="16" t="s">
        <v>189</v>
      </c>
      <c r="E1208" s="16" t="n">
        <v>2028</v>
      </c>
      <c r="F1208" s="16" t="n">
        <v>0</v>
      </c>
      <c r="G1208" s="16" t="s">
        <v>647</v>
      </c>
    </row>
    <row r="1209" customFormat="false" ht="15" hidden="false" customHeight="false" outlineLevel="0" collapsed="false">
      <c r="A1209" s="16" t="s">
        <v>377</v>
      </c>
      <c r="B1209" s="16" t="s">
        <v>189</v>
      </c>
      <c r="C1209" s="16" t="n">
        <v>2028</v>
      </c>
      <c r="D1209" s="16" t="s">
        <v>199</v>
      </c>
      <c r="E1209" s="16" t="n">
        <v>2028</v>
      </c>
      <c r="F1209" s="16" t="n">
        <v>0</v>
      </c>
      <c r="G1209" s="16" t="s">
        <v>647</v>
      </c>
    </row>
    <row r="1210" customFormat="false" ht="15" hidden="false" customHeight="false" outlineLevel="0" collapsed="false">
      <c r="A1210" s="16" t="s">
        <v>377</v>
      </c>
      <c r="B1210" s="16" t="s">
        <v>199</v>
      </c>
      <c r="C1210" s="16" t="n">
        <v>2028</v>
      </c>
      <c r="D1210" s="16" t="s">
        <v>219</v>
      </c>
      <c r="E1210" s="16" t="n">
        <v>2028</v>
      </c>
      <c r="F1210" s="16" t="n">
        <v>0</v>
      </c>
      <c r="G1210" s="16" t="s">
        <v>647</v>
      </c>
    </row>
    <row r="1211" customFormat="false" ht="15" hidden="false" customHeight="false" outlineLevel="0" collapsed="false">
      <c r="A1211" s="16" t="s">
        <v>377</v>
      </c>
      <c r="B1211" s="16" t="s">
        <v>219</v>
      </c>
      <c r="C1211" s="16" t="n">
        <v>2028</v>
      </c>
      <c r="D1211" s="16" t="s">
        <v>222</v>
      </c>
      <c r="E1211" s="16" t="n">
        <v>2028</v>
      </c>
      <c r="F1211" s="16" t="n">
        <v>0</v>
      </c>
      <c r="G1211" s="16" t="s">
        <v>647</v>
      </c>
    </row>
    <row r="1212" customFormat="false" ht="15" hidden="false" customHeight="false" outlineLevel="0" collapsed="false">
      <c r="A1212" s="16" t="s">
        <v>377</v>
      </c>
      <c r="B1212" s="16" t="s">
        <v>222</v>
      </c>
      <c r="C1212" s="16" t="n">
        <v>2028</v>
      </c>
      <c r="D1212" s="16" t="s">
        <v>228</v>
      </c>
      <c r="E1212" s="16" t="n">
        <v>2028</v>
      </c>
      <c r="F1212" s="16" t="n">
        <v>0</v>
      </c>
      <c r="G1212" s="16" t="s">
        <v>647</v>
      </c>
    </row>
    <row r="1213" customFormat="false" ht="15" hidden="false" customHeight="false" outlineLevel="0" collapsed="false">
      <c r="A1213" s="16" t="s">
        <v>377</v>
      </c>
      <c r="B1213" s="16" t="s">
        <v>228</v>
      </c>
      <c r="C1213" s="16" t="n">
        <v>2028</v>
      </c>
      <c r="D1213" s="16" t="s">
        <v>238</v>
      </c>
      <c r="E1213" s="16" t="n">
        <v>2028</v>
      </c>
      <c r="F1213" s="16" t="n">
        <v>0</v>
      </c>
      <c r="G1213" s="16" t="s">
        <v>647</v>
      </c>
    </row>
    <row r="1214" customFormat="false" ht="15" hidden="false" customHeight="false" outlineLevel="0" collapsed="false">
      <c r="A1214" s="16" t="s">
        <v>377</v>
      </c>
      <c r="B1214" s="16" t="s">
        <v>238</v>
      </c>
      <c r="C1214" s="16" t="n">
        <v>2028</v>
      </c>
      <c r="D1214" s="16" t="s">
        <v>242</v>
      </c>
      <c r="E1214" s="16" t="n">
        <v>2028</v>
      </c>
      <c r="F1214" s="16" t="n">
        <v>0</v>
      </c>
      <c r="G1214" s="16" t="s">
        <v>647</v>
      </c>
    </row>
    <row r="1215" customFormat="false" ht="15" hidden="false" customHeight="false" outlineLevel="0" collapsed="false">
      <c r="A1215" s="16" t="s">
        <v>377</v>
      </c>
      <c r="B1215" s="16" t="s">
        <v>242</v>
      </c>
      <c r="C1215" s="16" t="n">
        <v>2028</v>
      </c>
      <c r="D1215" s="16" t="s">
        <v>248</v>
      </c>
      <c r="E1215" s="16" t="n">
        <v>2028</v>
      </c>
      <c r="F1215" s="16" t="n">
        <v>0</v>
      </c>
      <c r="G1215" s="16" t="s">
        <v>647</v>
      </c>
    </row>
    <row r="1216" customFormat="false" ht="15" hidden="false" customHeight="false" outlineLevel="0" collapsed="false">
      <c r="A1216" s="16" t="s">
        <v>377</v>
      </c>
      <c r="B1216" s="16" t="s">
        <v>248</v>
      </c>
      <c r="C1216" s="16" t="n">
        <v>2028</v>
      </c>
      <c r="D1216" s="16" t="s">
        <v>260</v>
      </c>
      <c r="E1216" s="16" t="n">
        <v>2028</v>
      </c>
      <c r="F1216" s="16" t="n">
        <v>0</v>
      </c>
      <c r="G1216" s="16" t="s">
        <v>647</v>
      </c>
    </row>
    <row r="1217" customFormat="false" ht="15" hidden="false" customHeight="false" outlineLevel="0" collapsed="false">
      <c r="A1217" s="16" t="s">
        <v>377</v>
      </c>
      <c r="B1217" s="16" t="s">
        <v>260</v>
      </c>
      <c r="C1217" s="16" t="n">
        <v>2028</v>
      </c>
      <c r="D1217" s="16" t="s">
        <v>263</v>
      </c>
      <c r="E1217" s="16" t="n">
        <v>2028</v>
      </c>
      <c r="F1217" s="16" t="n">
        <v>0</v>
      </c>
      <c r="G1217" s="16" t="s">
        <v>647</v>
      </c>
    </row>
    <row r="1218" customFormat="false" ht="15" hidden="false" customHeight="false" outlineLevel="0" collapsed="false">
      <c r="A1218" s="16" t="s">
        <v>377</v>
      </c>
      <c r="B1218" s="16" t="s">
        <v>263</v>
      </c>
      <c r="C1218" s="16" t="n">
        <v>2028</v>
      </c>
      <c r="D1218" s="16" t="s">
        <v>286</v>
      </c>
      <c r="E1218" s="16" t="n">
        <v>2028</v>
      </c>
      <c r="F1218" s="16" t="n">
        <v>0</v>
      </c>
      <c r="G1218" s="16" t="s">
        <v>647</v>
      </c>
    </row>
    <row r="1219" customFormat="false" ht="15" hidden="false" customHeight="false" outlineLevel="0" collapsed="false">
      <c r="A1219" s="16" t="s">
        <v>377</v>
      </c>
      <c r="B1219" s="16" t="s">
        <v>286</v>
      </c>
      <c r="C1219" s="16" t="n">
        <v>2028</v>
      </c>
      <c r="D1219" s="16" t="s">
        <v>295</v>
      </c>
      <c r="E1219" s="16" t="n">
        <v>2028</v>
      </c>
      <c r="F1219" s="16" t="n">
        <v>0</v>
      </c>
      <c r="G1219" s="16" t="s">
        <v>647</v>
      </c>
    </row>
    <row r="1220" customFormat="false" ht="15" hidden="false" customHeight="false" outlineLevel="0" collapsed="false">
      <c r="A1220" s="16" t="s">
        <v>377</v>
      </c>
      <c r="B1220" s="16" t="s">
        <v>295</v>
      </c>
      <c r="C1220" s="16" t="n">
        <v>2028</v>
      </c>
      <c r="D1220" s="16" t="s">
        <v>302</v>
      </c>
      <c r="E1220" s="16" t="n">
        <v>2028</v>
      </c>
      <c r="F1220" s="16" t="n">
        <v>0</v>
      </c>
      <c r="G1220" s="16" t="s">
        <v>647</v>
      </c>
    </row>
    <row r="1221" customFormat="false" ht="15" hidden="false" customHeight="false" outlineLevel="0" collapsed="false">
      <c r="A1221" s="16" t="s">
        <v>377</v>
      </c>
      <c r="B1221" s="16" t="s">
        <v>302</v>
      </c>
      <c r="C1221" s="16" t="n">
        <v>2028</v>
      </c>
      <c r="D1221" s="16" t="s">
        <v>304</v>
      </c>
      <c r="E1221" s="16" t="n">
        <v>2028</v>
      </c>
      <c r="F1221" s="16" t="n">
        <v>0</v>
      </c>
      <c r="G1221" s="16" t="s">
        <v>647</v>
      </c>
    </row>
    <row r="1222" customFormat="false" ht="15" hidden="false" customHeight="false" outlineLevel="0" collapsed="false">
      <c r="A1222" s="16" t="s">
        <v>377</v>
      </c>
      <c r="B1222" s="16" t="s">
        <v>304</v>
      </c>
      <c r="C1222" s="16" t="n">
        <v>2028</v>
      </c>
      <c r="D1222" s="16" t="s">
        <v>313</v>
      </c>
      <c r="E1222" s="16" t="n">
        <v>2028</v>
      </c>
      <c r="F1222" s="16" t="n">
        <v>0</v>
      </c>
      <c r="G1222" s="16" t="s">
        <v>647</v>
      </c>
    </row>
    <row r="1223" customFormat="false" ht="15" hidden="false" customHeight="false" outlineLevel="0" collapsed="false">
      <c r="A1223" s="16" t="s">
        <v>377</v>
      </c>
      <c r="B1223" s="16" t="s">
        <v>313</v>
      </c>
      <c r="C1223" s="16" t="n">
        <v>2028</v>
      </c>
      <c r="D1223" s="16" t="s">
        <v>320</v>
      </c>
      <c r="E1223" s="16" t="n">
        <v>2028</v>
      </c>
      <c r="F1223" s="16" t="n">
        <v>0</v>
      </c>
      <c r="G1223" s="16" t="s">
        <v>647</v>
      </c>
    </row>
    <row r="1224" customFormat="false" ht="15" hidden="false" customHeight="false" outlineLevel="0" collapsed="false">
      <c r="A1224" s="16" t="s">
        <v>377</v>
      </c>
      <c r="B1224" s="16" t="s">
        <v>320</v>
      </c>
      <c r="C1224" s="16" t="n">
        <v>2028</v>
      </c>
      <c r="D1224" s="16" t="s">
        <v>348</v>
      </c>
      <c r="E1224" s="16" t="n">
        <v>2028</v>
      </c>
      <c r="F1224" s="16" t="n">
        <v>0</v>
      </c>
      <c r="G1224" s="16" t="s">
        <v>647</v>
      </c>
    </row>
    <row r="1225" customFormat="false" ht="15" hidden="false" customHeight="false" outlineLevel="0" collapsed="false">
      <c r="A1225" s="16" t="s">
        <v>377</v>
      </c>
      <c r="B1225" s="16" t="s">
        <v>35</v>
      </c>
      <c r="C1225" s="16" t="n">
        <v>2029</v>
      </c>
      <c r="D1225" s="16" t="s">
        <v>43</v>
      </c>
      <c r="E1225" s="16" t="n">
        <v>2029</v>
      </c>
      <c r="F1225" s="16" t="n">
        <v>0</v>
      </c>
      <c r="G1225" s="16" t="s">
        <v>647</v>
      </c>
    </row>
    <row r="1226" customFormat="false" ht="15" hidden="false" customHeight="false" outlineLevel="0" collapsed="false">
      <c r="A1226" s="16" t="s">
        <v>377</v>
      </c>
      <c r="B1226" s="16" t="s">
        <v>43</v>
      </c>
      <c r="C1226" s="16" t="n">
        <v>2029</v>
      </c>
      <c r="D1226" s="16" t="s">
        <v>109</v>
      </c>
      <c r="E1226" s="16" t="n">
        <v>2029</v>
      </c>
      <c r="F1226" s="16" t="n">
        <v>0</v>
      </c>
      <c r="G1226" s="16" t="s">
        <v>647</v>
      </c>
    </row>
    <row r="1227" customFormat="false" ht="15" hidden="false" customHeight="false" outlineLevel="0" collapsed="false">
      <c r="A1227" s="16" t="s">
        <v>377</v>
      </c>
      <c r="B1227" s="16" t="s">
        <v>109</v>
      </c>
      <c r="C1227" s="16" t="n">
        <v>2029</v>
      </c>
      <c r="D1227" s="16" t="s">
        <v>133</v>
      </c>
      <c r="E1227" s="16" t="n">
        <v>2029</v>
      </c>
      <c r="F1227" s="16" t="n">
        <v>0</v>
      </c>
      <c r="G1227" s="16" t="s">
        <v>647</v>
      </c>
    </row>
    <row r="1228" customFormat="false" ht="15" hidden="false" customHeight="false" outlineLevel="0" collapsed="false">
      <c r="A1228" s="16" t="s">
        <v>377</v>
      </c>
      <c r="B1228" s="16" t="s">
        <v>133</v>
      </c>
      <c r="C1228" s="16" t="n">
        <v>2029</v>
      </c>
      <c r="D1228" s="16" t="s">
        <v>178</v>
      </c>
      <c r="E1228" s="16" t="n">
        <v>2029</v>
      </c>
      <c r="F1228" s="16" t="n">
        <v>0</v>
      </c>
      <c r="G1228" s="16" t="s">
        <v>647</v>
      </c>
    </row>
    <row r="1229" customFormat="false" ht="15" hidden="false" customHeight="false" outlineLevel="0" collapsed="false">
      <c r="A1229" s="16" t="s">
        <v>377</v>
      </c>
      <c r="B1229" s="16" t="s">
        <v>178</v>
      </c>
      <c r="C1229" s="16" t="n">
        <v>2029</v>
      </c>
      <c r="D1229" s="16" t="s">
        <v>205</v>
      </c>
      <c r="E1229" s="16" t="n">
        <v>2029</v>
      </c>
      <c r="F1229" s="16" t="n">
        <v>0</v>
      </c>
      <c r="G1229" s="16" t="s">
        <v>647</v>
      </c>
    </row>
    <row r="1230" customFormat="false" ht="15" hidden="false" customHeight="false" outlineLevel="0" collapsed="false">
      <c r="A1230" s="16" t="s">
        <v>377</v>
      </c>
      <c r="B1230" s="16" t="s">
        <v>205</v>
      </c>
      <c r="C1230" s="16" t="n">
        <v>2029</v>
      </c>
      <c r="D1230" s="16" t="s">
        <v>273</v>
      </c>
      <c r="E1230" s="16" t="n">
        <v>2029</v>
      </c>
      <c r="F1230" s="16" t="n">
        <v>0</v>
      </c>
      <c r="G1230" s="16" t="s">
        <v>647</v>
      </c>
    </row>
    <row r="1231" customFormat="false" ht="15" hidden="false" customHeight="false" outlineLevel="0" collapsed="false">
      <c r="A1231" s="16" t="s">
        <v>377</v>
      </c>
      <c r="B1231" s="16" t="s">
        <v>273</v>
      </c>
      <c r="C1231" s="16" t="n">
        <v>2029</v>
      </c>
      <c r="D1231" s="16" t="s">
        <v>276</v>
      </c>
      <c r="E1231" s="16" t="n">
        <v>2029</v>
      </c>
      <c r="F1231" s="16" t="n">
        <v>0</v>
      </c>
      <c r="G1231" s="16" t="s">
        <v>647</v>
      </c>
    </row>
    <row r="1232" customFormat="false" ht="15" hidden="false" customHeight="false" outlineLevel="0" collapsed="false">
      <c r="A1232" s="16" t="s">
        <v>377</v>
      </c>
      <c r="B1232" s="16" t="s">
        <v>276</v>
      </c>
      <c r="C1232" s="16" t="n">
        <v>2029</v>
      </c>
      <c r="D1232" s="16" t="s">
        <v>279</v>
      </c>
      <c r="E1232" s="16" t="n">
        <v>2029</v>
      </c>
      <c r="F1232" s="16" t="n">
        <v>0</v>
      </c>
      <c r="G1232" s="16" t="s">
        <v>647</v>
      </c>
    </row>
    <row r="1233" customFormat="false" ht="15" hidden="false" customHeight="false" outlineLevel="0" collapsed="false">
      <c r="A1233" s="16" t="s">
        <v>377</v>
      </c>
      <c r="B1233" s="16" t="s">
        <v>279</v>
      </c>
      <c r="C1233" s="16" t="n">
        <v>2029</v>
      </c>
      <c r="D1233" s="16" t="s">
        <v>299</v>
      </c>
      <c r="E1233" s="16" t="n">
        <v>2029</v>
      </c>
      <c r="F1233" s="16" t="n">
        <v>0</v>
      </c>
      <c r="G1233" s="16" t="s">
        <v>647</v>
      </c>
    </row>
    <row r="1234" customFormat="false" ht="15" hidden="false" customHeight="false" outlineLevel="0" collapsed="false">
      <c r="A1234" s="16" t="s">
        <v>377</v>
      </c>
      <c r="B1234" s="16" t="s">
        <v>299</v>
      </c>
      <c r="C1234" s="16" t="n">
        <v>2029</v>
      </c>
      <c r="D1234" s="16" t="s">
        <v>328</v>
      </c>
      <c r="E1234" s="16" t="n">
        <v>2029</v>
      </c>
      <c r="F1234" s="16" t="n">
        <v>0</v>
      </c>
      <c r="G1234" s="16" t="s">
        <v>647</v>
      </c>
    </row>
    <row r="1235" customFormat="false" ht="15" hidden="false" customHeight="false" outlineLevel="0" collapsed="false">
      <c r="A1235" s="16" t="s">
        <v>377</v>
      </c>
      <c r="B1235" s="16" t="s">
        <v>328</v>
      </c>
      <c r="C1235" s="16" t="n">
        <v>2029</v>
      </c>
      <c r="D1235" s="16" t="s">
        <v>335</v>
      </c>
      <c r="E1235" s="16" t="n">
        <v>2029</v>
      </c>
      <c r="F1235" s="16" t="n">
        <v>0</v>
      </c>
      <c r="G1235" s="16" t="s">
        <v>647</v>
      </c>
    </row>
    <row r="1236" customFormat="false" ht="15" hidden="false" customHeight="false" outlineLevel="0" collapsed="false">
      <c r="A1236" s="16" t="s">
        <v>377</v>
      </c>
      <c r="B1236" s="16" t="s">
        <v>335</v>
      </c>
      <c r="C1236" s="16" t="n">
        <v>2029</v>
      </c>
      <c r="D1236" s="16" t="s">
        <v>342</v>
      </c>
      <c r="E1236" s="16" t="n">
        <v>2029</v>
      </c>
      <c r="F1236" s="16" t="n">
        <v>0</v>
      </c>
      <c r="G1236" s="16" t="s">
        <v>647</v>
      </c>
    </row>
    <row r="1237" customFormat="false" ht="15" hidden="false" customHeight="false" outlineLevel="0" collapsed="false">
      <c r="A1237" s="16" t="s">
        <v>377</v>
      </c>
      <c r="B1237" s="16" t="s">
        <v>342</v>
      </c>
      <c r="C1237" s="16" t="n">
        <v>2029</v>
      </c>
      <c r="D1237" s="16" t="s">
        <v>351</v>
      </c>
      <c r="E1237" s="16" t="n">
        <v>2029</v>
      </c>
      <c r="F1237" s="16" t="n">
        <v>0</v>
      </c>
      <c r="G1237" s="16" t="s">
        <v>647</v>
      </c>
    </row>
    <row r="1238" customFormat="false" ht="15" hidden="false" customHeight="false" outlineLevel="0" collapsed="false">
      <c r="A1238" s="16" t="s">
        <v>377</v>
      </c>
      <c r="B1238" s="16" t="s">
        <v>27</v>
      </c>
      <c r="C1238" s="16" t="n">
        <v>2030</v>
      </c>
      <c r="D1238" s="16" t="s">
        <v>67</v>
      </c>
      <c r="E1238" s="16" t="n">
        <v>2030</v>
      </c>
      <c r="F1238" s="16" t="n">
        <v>0</v>
      </c>
      <c r="G1238" s="16" t="s">
        <v>647</v>
      </c>
    </row>
    <row r="1239" customFormat="false" ht="15" hidden="false" customHeight="false" outlineLevel="0" collapsed="false">
      <c r="A1239" s="16" t="s">
        <v>377</v>
      </c>
      <c r="B1239" s="16" t="s">
        <v>67</v>
      </c>
      <c r="C1239" s="16" t="n">
        <v>2030</v>
      </c>
      <c r="D1239" s="16" t="s">
        <v>151</v>
      </c>
      <c r="E1239" s="16" t="n">
        <v>2030</v>
      </c>
      <c r="F1239" s="16" t="n">
        <v>0</v>
      </c>
      <c r="G1239" s="16" t="s">
        <v>647</v>
      </c>
    </row>
    <row r="1240" customFormat="false" ht="15" hidden="false" customHeight="false" outlineLevel="0" collapsed="false">
      <c r="A1240" s="16" t="s">
        <v>377</v>
      </c>
      <c r="B1240" s="16" t="s">
        <v>151</v>
      </c>
      <c r="C1240" s="16" t="n">
        <v>2030</v>
      </c>
      <c r="D1240" s="16" t="s">
        <v>209</v>
      </c>
      <c r="E1240" s="16" t="n">
        <v>2030</v>
      </c>
      <c r="F1240" s="16" t="n">
        <v>0</v>
      </c>
      <c r="G1240" s="16" t="s">
        <v>647</v>
      </c>
    </row>
    <row r="1241" customFormat="false" ht="15" hidden="false" customHeight="false" outlineLevel="0" collapsed="false">
      <c r="A1241" s="16" t="s">
        <v>377</v>
      </c>
      <c r="B1241" s="16" t="s">
        <v>209</v>
      </c>
      <c r="C1241" s="16" t="n">
        <v>2030</v>
      </c>
      <c r="D1241" s="16" t="s">
        <v>290</v>
      </c>
      <c r="E1241" s="16" t="n">
        <v>2030</v>
      </c>
      <c r="F1241" s="16" t="n">
        <v>0</v>
      </c>
      <c r="G1241" s="16" t="s">
        <v>647</v>
      </c>
    </row>
    <row r="1242" customFormat="false" ht="15" hidden="false" customHeight="false" outlineLevel="0" collapsed="false">
      <c r="A1242" s="16" t="s">
        <v>377</v>
      </c>
      <c r="B1242" s="16" t="s">
        <v>290</v>
      </c>
      <c r="C1242" s="16" t="n">
        <v>2030</v>
      </c>
      <c r="D1242" s="16" t="s">
        <v>339</v>
      </c>
      <c r="E1242" s="16" t="n">
        <v>2030</v>
      </c>
      <c r="F1242" s="16" t="n">
        <v>0</v>
      </c>
      <c r="G1242" s="16" t="s">
        <v>647</v>
      </c>
    </row>
    <row r="1243" customFormat="false" ht="15" hidden="false" customHeight="false" outlineLevel="0" collapsed="false">
      <c r="A1243" s="16" t="s">
        <v>378</v>
      </c>
      <c r="B1243" s="16" t="s">
        <v>248</v>
      </c>
      <c r="C1243" s="16" t="n">
        <v>1</v>
      </c>
      <c r="D1243" s="16" t="s">
        <v>270</v>
      </c>
      <c r="E1243" s="16" t="n">
        <v>1</v>
      </c>
      <c r="F1243" s="16" t="n">
        <v>0</v>
      </c>
      <c r="G1243" s="16" t="s">
        <v>647</v>
      </c>
    </row>
    <row r="1244" customFormat="false" ht="15" hidden="false" customHeight="false" outlineLevel="0" collapsed="false">
      <c r="A1244" s="16" t="s">
        <v>378</v>
      </c>
      <c r="B1244" s="16" t="s">
        <v>270</v>
      </c>
      <c r="C1244" s="16" t="n">
        <v>1</v>
      </c>
      <c r="D1244" s="16" t="s">
        <v>273</v>
      </c>
      <c r="E1244" s="16" t="n">
        <v>1</v>
      </c>
      <c r="F1244" s="16" t="n">
        <v>0</v>
      </c>
      <c r="G1244" s="16" t="s">
        <v>647</v>
      </c>
    </row>
    <row r="1245" customFormat="false" ht="15" hidden="false" customHeight="false" outlineLevel="0" collapsed="false">
      <c r="A1245" s="16" t="s">
        <v>378</v>
      </c>
      <c r="B1245" s="16" t="s">
        <v>313</v>
      </c>
      <c r="C1245" s="16" t="n">
        <v>3</v>
      </c>
      <c r="D1245" s="16" t="s">
        <v>332</v>
      </c>
      <c r="E1245" s="16" t="n">
        <v>3</v>
      </c>
      <c r="F1245" s="16" t="n">
        <v>0</v>
      </c>
      <c r="G1245" s="16" t="s">
        <v>647</v>
      </c>
    </row>
    <row r="1246" customFormat="false" ht="15" hidden="false" customHeight="false" outlineLevel="0" collapsed="false">
      <c r="A1246" s="16" t="s">
        <v>378</v>
      </c>
      <c r="B1246" s="16" t="s">
        <v>174</v>
      </c>
      <c r="C1246" s="16" t="n">
        <v>4</v>
      </c>
      <c r="D1246" s="16" t="s">
        <v>257</v>
      </c>
      <c r="E1246" s="16" t="n">
        <v>4</v>
      </c>
      <c r="F1246" s="16" t="n">
        <v>0</v>
      </c>
      <c r="G1246" s="16" t="s">
        <v>647</v>
      </c>
    </row>
    <row r="1247" customFormat="false" ht="15" hidden="false" customHeight="false" outlineLevel="0" collapsed="false">
      <c r="A1247" s="16" t="s">
        <v>378</v>
      </c>
      <c r="B1247" s="16" t="s">
        <v>257</v>
      </c>
      <c r="C1247" s="16" t="n">
        <v>4</v>
      </c>
      <c r="D1247" s="16" t="s">
        <v>263</v>
      </c>
      <c r="E1247" s="16" t="n">
        <v>4</v>
      </c>
      <c r="F1247" s="16" t="n">
        <v>0</v>
      </c>
      <c r="G1247" s="16" t="s">
        <v>647</v>
      </c>
    </row>
    <row r="1248" customFormat="false" ht="15" hidden="false" customHeight="false" outlineLevel="0" collapsed="false">
      <c r="A1248" s="16" t="s">
        <v>378</v>
      </c>
      <c r="B1248" s="16" t="s">
        <v>263</v>
      </c>
      <c r="C1248" s="16" t="n">
        <v>4</v>
      </c>
      <c r="D1248" s="16" t="s">
        <v>276</v>
      </c>
      <c r="E1248" s="16" t="n">
        <v>4</v>
      </c>
      <c r="F1248" s="16" t="n">
        <v>0</v>
      </c>
      <c r="G1248" s="16" t="s">
        <v>647</v>
      </c>
    </row>
    <row r="1249" customFormat="false" ht="15" hidden="false" customHeight="false" outlineLevel="0" collapsed="false">
      <c r="A1249" s="16" t="s">
        <v>378</v>
      </c>
      <c r="B1249" s="16" t="s">
        <v>276</v>
      </c>
      <c r="C1249" s="16" t="n">
        <v>4</v>
      </c>
      <c r="D1249" s="16" t="s">
        <v>322</v>
      </c>
      <c r="E1249" s="16" t="n">
        <v>4</v>
      </c>
      <c r="F1249" s="16" t="n">
        <v>0</v>
      </c>
      <c r="G1249" s="16" t="s">
        <v>647</v>
      </c>
    </row>
    <row r="1250" customFormat="false" ht="15" hidden="false" customHeight="false" outlineLevel="0" collapsed="false">
      <c r="A1250" s="16" t="s">
        <v>378</v>
      </c>
      <c r="B1250" s="16" t="s">
        <v>195</v>
      </c>
      <c r="C1250" s="16" t="n">
        <v>5</v>
      </c>
      <c r="D1250" s="16" t="s">
        <v>233</v>
      </c>
      <c r="E1250" s="16" t="n">
        <v>5</v>
      </c>
      <c r="F1250" s="16" t="n">
        <v>0</v>
      </c>
      <c r="G1250" s="16" t="s">
        <v>647</v>
      </c>
    </row>
    <row r="1251" customFormat="false" ht="15" hidden="false" customHeight="false" outlineLevel="0" collapsed="false">
      <c r="A1251" s="16" t="s">
        <v>378</v>
      </c>
      <c r="B1251" s="16" t="s">
        <v>233</v>
      </c>
      <c r="C1251" s="16" t="n">
        <v>5</v>
      </c>
      <c r="D1251" s="16" t="s">
        <v>242</v>
      </c>
      <c r="E1251" s="16" t="n">
        <v>5</v>
      </c>
      <c r="F1251" s="16" t="n">
        <v>0</v>
      </c>
      <c r="G1251" s="16" t="s">
        <v>647</v>
      </c>
    </row>
    <row r="1252" customFormat="false" ht="15" hidden="false" customHeight="false" outlineLevel="0" collapsed="false">
      <c r="A1252" s="16" t="s">
        <v>378</v>
      </c>
      <c r="B1252" s="16" t="s">
        <v>71</v>
      </c>
      <c r="C1252" s="16" t="n">
        <v>7</v>
      </c>
      <c r="D1252" s="16" t="s">
        <v>230</v>
      </c>
      <c r="E1252" s="16" t="n">
        <v>7</v>
      </c>
      <c r="F1252" s="16" t="n">
        <v>0</v>
      </c>
      <c r="G1252" s="16" t="s">
        <v>647</v>
      </c>
    </row>
    <row r="1253" customFormat="false" ht="15" hidden="false" customHeight="false" outlineLevel="0" collapsed="false">
      <c r="A1253" s="16" t="s">
        <v>378</v>
      </c>
      <c r="B1253" s="16" t="s">
        <v>27</v>
      </c>
      <c r="C1253" s="16" t="n">
        <v>8</v>
      </c>
      <c r="D1253" s="16" t="s">
        <v>104</v>
      </c>
      <c r="E1253" s="16" t="n">
        <v>8</v>
      </c>
      <c r="F1253" s="16" t="n">
        <v>0</v>
      </c>
      <c r="G1253" s="16" t="s">
        <v>647</v>
      </c>
    </row>
    <row r="1254" customFormat="false" ht="15" hidden="false" customHeight="false" outlineLevel="0" collapsed="false">
      <c r="A1254" s="16" t="s">
        <v>378</v>
      </c>
      <c r="B1254" s="16" t="s">
        <v>104</v>
      </c>
      <c r="C1254" s="16" t="n">
        <v>8</v>
      </c>
      <c r="D1254" s="16" t="s">
        <v>310</v>
      </c>
      <c r="E1254" s="16" t="n">
        <v>8</v>
      </c>
      <c r="F1254" s="16" t="n">
        <v>0</v>
      </c>
      <c r="G1254" s="16" t="s">
        <v>647</v>
      </c>
    </row>
    <row r="1255" customFormat="false" ht="15" hidden="false" customHeight="false" outlineLevel="0" collapsed="false">
      <c r="A1255" s="16" t="s">
        <v>378</v>
      </c>
      <c r="B1255" s="16" t="s">
        <v>310</v>
      </c>
      <c r="C1255" s="16" t="n">
        <v>8</v>
      </c>
      <c r="D1255" s="16" t="s">
        <v>358</v>
      </c>
      <c r="E1255" s="16" t="n">
        <v>8</v>
      </c>
      <c r="F1255" s="16" t="n">
        <v>0</v>
      </c>
      <c r="G1255" s="16" t="s">
        <v>647</v>
      </c>
    </row>
    <row r="1256" customFormat="false" ht="15" hidden="false" customHeight="false" outlineLevel="0" collapsed="false">
      <c r="A1256" s="16" t="s">
        <v>378</v>
      </c>
      <c r="B1256" s="16" t="s">
        <v>140</v>
      </c>
      <c r="C1256" s="16" t="n">
        <v>11</v>
      </c>
      <c r="D1256" s="16" t="s">
        <v>213</v>
      </c>
      <c r="E1256" s="16" t="n">
        <v>12</v>
      </c>
      <c r="F1256" s="16" t="n">
        <v>1</v>
      </c>
      <c r="G1256" s="16"/>
    </row>
    <row r="1257" customFormat="false" ht="15" hidden="false" customHeight="false" outlineLevel="0" collapsed="false">
      <c r="A1257" s="16" t="s">
        <v>378</v>
      </c>
      <c r="B1257" s="16" t="s">
        <v>213</v>
      </c>
      <c r="C1257" s="16" t="n">
        <v>12</v>
      </c>
      <c r="D1257" s="16" t="s">
        <v>254</v>
      </c>
      <c r="E1257" s="16" t="n">
        <v>12</v>
      </c>
      <c r="F1257" s="16" t="n">
        <v>0</v>
      </c>
      <c r="G1257" s="16" t="s">
        <v>647</v>
      </c>
    </row>
    <row r="1258" customFormat="false" ht="15" hidden="false" customHeight="false" outlineLevel="0" collapsed="false">
      <c r="A1258" s="16" t="s">
        <v>378</v>
      </c>
      <c r="B1258" s="16" t="s">
        <v>254</v>
      </c>
      <c r="C1258" s="16" t="n">
        <v>12</v>
      </c>
      <c r="D1258" s="16" t="s">
        <v>168</v>
      </c>
      <c r="E1258" s="16" t="n">
        <v>13</v>
      </c>
      <c r="F1258" s="16" t="n">
        <v>1</v>
      </c>
      <c r="G1258" s="16"/>
    </row>
    <row r="1259" customFormat="false" ht="15" hidden="false" customHeight="false" outlineLevel="0" collapsed="false">
      <c r="A1259" s="16" t="s">
        <v>378</v>
      </c>
      <c r="B1259" s="16" t="s">
        <v>168</v>
      </c>
      <c r="C1259" s="16" t="n">
        <v>13</v>
      </c>
      <c r="D1259" s="16" t="s">
        <v>87</v>
      </c>
      <c r="E1259" s="16" t="n">
        <v>14</v>
      </c>
      <c r="F1259" s="16" t="n">
        <v>1</v>
      </c>
      <c r="G1259" s="16"/>
    </row>
    <row r="1260" customFormat="false" ht="15" hidden="false" customHeight="false" outlineLevel="0" collapsed="false">
      <c r="A1260" s="16" t="s">
        <v>378</v>
      </c>
      <c r="B1260" s="16" t="s">
        <v>87</v>
      </c>
      <c r="C1260" s="16" t="n">
        <v>14</v>
      </c>
      <c r="D1260" s="16" t="s">
        <v>112</v>
      </c>
      <c r="E1260" s="16" t="n">
        <v>15</v>
      </c>
      <c r="F1260" s="16" t="n">
        <v>1</v>
      </c>
      <c r="G1260" s="16"/>
    </row>
    <row r="1261" customFormat="false" ht="15" hidden="false" customHeight="false" outlineLevel="0" collapsed="false">
      <c r="A1261" s="16" t="s">
        <v>378</v>
      </c>
      <c r="B1261" s="16" t="s">
        <v>112</v>
      </c>
      <c r="C1261" s="16" t="n">
        <v>15</v>
      </c>
      <c r="D1261" s="16" t="s">
        <v>181</v>
      </c>
      <c r="E1261" s="16" t="n">
        <v>15</v>
      </c>
      <c r="F1261" s="16" t="n">
        <v>0</v>
      </c>
      <c r="G1261" s="16" t="s">
        <v>647</v>
      </c>
    </row>
    <row r="1262" customFormat="false" ht="15" hidden="false" customHeight="false" outlineLevel="0" collapsed="false">
      <c r="A1262" s="16" t="s">
        <v>378</v>
      </c>
      <c r="B1262" s="16" t="s">
        <v>181</v>
      </c>
      <c r="C1262" s="16" t="n">
        <v>15</v>
      </c>
      <c r="D1262" s="16" t="s">
        <v>295</v>
      </c>
      <c r="E1262" s="16" t="n">
        <v>15</v>
      </c>
      <c r="F1262" s="16" t="n">
        <v>0</v>
      </c>
      <c r="G1262" s="16" t="s">
        <v>647</v>
      </c>
    </row>
    <row r="1263" customFormat="false" ht="15" hidden="false" customHeight="false" outlineLevel="0" collapsed="false">
      <c r="A1263" s="16" t="s">
        <v>378</v>
      </c>
      <c r="B1263" s="16" t="s">
        <v>295</v>
      </c>
      <c r="C1263" s="16" t="n">
        <v>15</v>
      </c>
      <c r="D1263" s="16" t="s">
        <v>155</v>
      </c>
      <c r="E1263" s="16" t="n">
        <v>16</v>
      </c>
      <c r="F1263" s="16" t="n">
        <v>1</v>
      </c>
      <c r="G1263" s="16"/>
    </row>
    <row r="1264" customFormat="false" ht="15" hidden="false" customHeight="false" outlineLevel="0" collapsed="false">
      <c r="A1264" s="16" t="s">
        <v>378</v>
      </c>
      <c r="B1264" s="16" t="s">
        <v>155</v>
      </c>
      <c r="C1264" s="16" t="n">
        <v>16</v>
      </c>
      <c r="D1264" s="16" t="s">
        <v>129</v>
      </c>
      <c r="E1264" s="16" t="n">
        <v>17</v>
      </c>
      <c r="F1264" s="16" t="n">
        <v>1</v>
      </c>
      <c r="G1264" s="16"/>
    </row>
    <row r="1265" customFormat="false" ht="15" hidden="false" customHeight="false" outlineLevel="0" collapsed="false">
      <c r="A1265" s="16" t="s">
        <v>378</v>
      </c>
      <c r="B1265" s="16" t="s">
        <v>129</v>
      </c>
      <c r="C1265" s="16" t="n">
        <v>17</v>
      </c>
      <c r="D1265" s="16" t="s">
        <v>282</v>
      </c>
      <c r="E1265" s="16" t="n">
        <v>17</v>
      </c>
      <c r="F1265" s="16" t="n">
        <v>0</v>
      </c>
      <c r="G1265" s="16" t="s">
        <v>647</v>
      </c>
    </row>
    <row r="1266" customFormat="false" ht="15" hidden="false" customHeight="false" outlineLevel="0" collapsed="false">
      <c r="A1266" s="16" t="s">
        <v>378</v>
      </c>
      <c r="B1266" s="16" t="s">
        <v>75</v>
      </c>
      <c r="C1266" s="16" t="n">
        <v>20</v>
      </c>
      <c r="D1266" s="16" t="s">
        <v>109</v>
      </c>
      <c r="E1266" s="16" t="n">
        <v>20</v>
      </c>
      <c r="F1266" s="16" t="n">
        <v>0</v>
      </c>
      <c r="G1266" s="16" t="s">
        <v>647</v>
      </c>
    </row>
    <row r="1267" customFormat="false" ht="15" hidden="false" customHeight="false" outlineLevel="0" collapsed="false">
      <c r="A1267" s="16" t="s">
        <v>378</v>
      </c>
      <c r="B1267" s="16" t="s">
        <v>109</v>
      </c>
      <c r="C1267" s="16" t="n">
        <v>20</v>
      </c>
      <c r="D1267" s="16" t="s">
        <v>238</v>
      </c>
      <c r="E1267" s="16" t="n">
        <v>22</v>
      </c>
      <c r="F1267" s="16" t="n">
        <v>2</v>
      </c>
      <c r="G1267" s="16"/>
    </row>
    <row r="1268" customFormat="false" ht="15" hidden="false" customHeight="false" outlineLevel="0" collapsed="false">
      <c r="A1268" s="16" t="s">
        <v>378</v>
      </c>
      <c r="B1268" s="16" t="s">
        <v>238</v>
      </c>
      <c r="C1268" s="16" t="n">
        <v>22</v>
      </c>
      <c r="D1268" s="16" t="s">
        <v>199</v>
      </c>
      <c r="E1268" s="16" t="n">
        <v>23</v>
      </c>
      <c r="F1268" s="16" t="n">
        <v>1</v>
      </c>
      <c r="G1268" s="16"/>
    </row>
    <row r="1269" customFormat="false" ht="15" hidden="false" customHeight="false" outlineLevel="0" collapsed="false">
      <c r="A1269" s="16" t="s">
        <v>378</v>
      </c>
      <c r="B1269" s="16" t="s">
        <v>199</v>
      </c>
      <c r="C1269" s="16" t="n">
        <v>23</v>
      </c>
      <c r="D1269" s="16" t="s">
        <v>126</v>
      </c>
      <c r="E1269" s="16" t="n">
        <v>24</v>
      </c>
      <c r="F1269" s="16" t="n">
        <v>1</v>
      </c>
      <c r="G1269" s="16"/>
    </row>
    <row r="1270" customFormat="false" ht="15" hidden="false" customHeight="false" outlineLevel="0" collapsed="false">
      <c r="A1270" s="16" t="s">
        <v>378</v>
      </c>
      <c r="B1270" s="16" t="s">
        <v>126</v>
      </c>
      <c r="C1270" s="16" t="n">
        <v>24</v>
      </c>
      <c r="D1270" s="16" t="s">
        <v>205</v>
      </c>
      <c r="E1270" s="16" t="n">
        <v>26</v>
      </c>
      <c r="F1270" s="16" t="n">
        <v>2</v>
      </c>
      <c r="G1270" s="16"/>
    </row>
    <row r="1271" customFormat="false" ht="15" hidden="false" customHeight="false" outlineLevel="0" collapsed="false">
      <c r="A1271" s="16" t="s">
        <v>378</v>
      </c>
      <c r="B1271" s="16" t="s">
        <v>205</v>
      </c>
      <c r="C1271" s="16" t="n">
        <v>26</v>
      </c>
      <c r="D1271" s="16" t="s">
        <v>355</v>
      </c>
      <c r="E1271" s="16" t="n">
        <v>26</v>
      </c>
      <c r="F1271" s="16" t="n">
        <v>0</v>
      </c>
      <c r="G1271" s="16" t="s">
        <v>647</v>
      </c>
    </row>
    <row r="1272" customFormat="false" ht="15" hidden="false" customHeight="false" outlineLevel="0" collapsed="false">
      <c r="A1272" s="16" t="s">
        <v>378</v>
      </c>
      <c r="B1272" s="16" t="s">
        <v>219</v>
      </c>
      <c r="C1272" s="16" t="n">
        <v>31</v>
      </c>
      <c r="D1272" s="16" t="s">
        <v>286</v>
      </c>
      <c r="E1272" s="16" t="n">
        <v>31</v>
      </c>
      <c r="F1272" s="16" t="n">
        <v>0</v>
      </c>
      <c r="G1272" s="16" t="s">
        <v>647</v>
      </c>
    </row>
    <row r="1273" customFormat="false" ht="15" hidden="false" customHeight="false" outlineLevel="0" collapsed="false">
      <c r="A1273" s="16" t="s">
        <v>378</v>
      </c>
      <c r="B1273" s="16" t="s">
        <v>286</v>
      </c>
      <c r="C1273" s="16" t="n">
        <v>31</v>
      </c>
      <c r="D1273" s="16" t="s">
        <v>97</v>
      </c>
      <c r="E1273" s="16" t="n">
        <v>34</v>
      </c>
      <c r="F1273" s="16" t="n">
        <v>3</v>
      </c>
      <c r="G1273" s="16"/>
    </row>
    <row r="1274" customFormat="false" ht="15" hidden="false" customHeight="false" outlineLevel="0" collapsed="false">
      <c r="A1274" s="16" t="s">
        <v>378</v>
      </c>
      <c r="B1274" s="16" t="s">
        <v>97</v>
      </c>
      <c r="C1274" s="16" t="n">
        <v>34</v>
      </c>
      <c r="D1274" s="16" t="s">
        <v>216</v>
      </c>
      <c r="E1274" s="16" t="n">
        <v>35</v>
      </c>
      <c r="F1274" s="16" t="n">
        <v>1</v>
      </c>
      <c r="G1274" s="16"/>
    </row>
    <row r="1275" customFormat="false" ht="15" hidden="false" customHeight="false" outlineLevel="0" collapsed="false">
      <c r="A1275" s="16" t="s">
        <v>378</v>
      </c>
      <c r="B1275" s="16" t="s">
        <v>216</v>
      </c>
      <c r="C1275" s="16" t="n">
        <v>35</v>
      </c>
      <c r="D1275" s="16" t="s">
        <v>260</v>
      </c>
      <c r="E1275" s="16" t="n">
        <v>37</v>
      </c>
      <c r="F1275" s="16" t="n">
        <v>2</v>
      </c>
      <c r="G1275" s="16"/>
    </row>
    <row r="1276" customFormat="false" ht="15" hidden="false" customHeight="false" outlineLevel="0" collapsed="false">
      <c r="A1276" s="16" t="s">
        <v>378</v>
      </c>
      <c r="B1276" s="16" t="s">
        <v>325</v>
      </c>
      <c r="C1276" s="16" t="n">
        <v>47</v>
      </c>
      <c r="D1276" s="16" t="s">
        <v>148</v>
      </c>
      <c r="E1276" s="16" t="n">
        <v>50</v>
      </c>
      <c r="F1276" s="16" t="n">
        <v>3</v>
      </c>
      <c r="G1276" s="16"/>
    </row>
    <row r="1277" customFormat="false" ht="15" hidden="false" customHeight="false" outlineLevel="0" collapsed="false">
      <c r="A1277" s="16" t="s">
        <v>378</v>
      </c>
      <c r="B1277" s="16" t="s">
        <v>148</v>
      </c>
      <c r="C1277" s="16" t="n">
        <v>50</v>
      </c>
      <c r="D1277" s="16" t="s">
        <v>299</v>
      </c>
      <c r="E1277" s="16" t="n">
        <v>50</v>
      </c>
      <c r="F1277" s="16" t="n">
        <v>0</v>
      </c>
      <c r="G1277" s="16" t="s">
        <v>647</v>
      </c>
    </row>
    <row r="1278" customFormat="false" ht="15" hidden="false" customHeight="false" outlineLevel="0" collapsed="false">
      <c r="A1278" s="16" t="s">
        <v>378</v>
      </c>
      <c r="B1278" s="16" t="s">
        <v>299</v>
      </c>
      <c r="C1278" s="16" t="n">
        <v>50</v>
      </c>
      <c r="D1278" s="16" t="s">
        <v>122</v>
      </c>
      <c r="E1278" s="16" t="n">
        <v>51</v>
      </c>
      <c r="F1278" s="16" t="n">
        <v>1</v>
      </c>
      <c r="G1278" s="16"/>
    </row>
    <row r="1279" customFormat="false" ht="15" hidden="false" customHeight="false" outlineLevel="0" collapsed="false">
      <c r="A1279" s="16" t="s">
        <v>378</v>
      </c>
      <c r="B1279" s="16" t="s">
        <v>122</v>
      </c>
      <c r="C1279" s="16" t="n">
        <v>51</v>
      </c>
      <c r="D1279" s="16" t="s">
        <v>79</v>
      </c>
      <c r="E1279" s="16" t="n">
        <v>53</v>
      </c>
      <c r="F1279" s="16" t="n">
        <v>2</v>
      </c>
      <c r="G1279" s="16"/>
    </row>
    <row r="1280" customFormat="false" ht="15" hidden="false" customHeight="false" outlineLevel="0" collapsed="false">
      <c r="A1280" s="16" t="s">
        <v>378</v>
      </c>
      <c r="B1280" s="16" t="s">
        <v>79</v>
      </c>
      <c r="C1280" s="16" t="n">
        <v>53</v>
      </c>
      <c r="D1280" s="16" t="s">
        <v>225</v>
      </c>
      <c r="E1280" s="16" t="n">
        <v>53</v>
      </c>
      <c r="F1280" s="16" t="n">
        <v>0</v>
      </c>
      <c r="G1280" s="16" t="s">
        <v>647</v>
      </c>
    </row>
    <row r="1281" customFormat="false" ht="15" hidden="false" customHeight="false" outlineLevel="0" collapsed="false">
      <c r="A1281" s="16" t="s">
        <v>378</v>
      </c>
      <c r="B1281" s="16" t="s">
        <v>225</v>
      </c>
      <c r="C1281" s="16" t="n">
        <v>53</v>
      </c>
      <c r="D1281" s="16" t="s">
        <v>345</v>
      </c>
      <c r="E1281" s="16" t="n">
        <v>54</v>
      </c>
      <c r="F1281" s="16" t="n">
        <v>1</v>
      </c>
      <c r="G1281" s="16"/>
    </row>
    <row r="1282" customFormat="false" ht="15" hidden="false" customHeight="false" outlineLevel="0" collapsed="false">
      <c r="A1282" s="16" t="s">
        <v>378</v>
      </c>
      <c r="B1282" s="16" t="s">
        <v>345</v>
      </c>
      <c r="C1282" s="16" t="n">
        <v>54</v>
      </c>
      <c r="D1282" s="16" t="s">
        <v>317</v>
      </c>
      <c r="E1282" s="16" t="n">
        <v>55</v>
      </c>
      <c r="F1282" s="16" t="n">
        <v>1</v>
      </c>
      <c r="G1282" s="16"/>
    </row>
    <row r="1283" customFormat="false" ht="15" hidden="false" customHeight="false" outlineLevel="0" collapsed="false">
      <c r="A1283" s="16" t="s">
        <v>378</v>
      </c>
      <c r="B1283" s="16" t="s">
        <v>317</v>
      </c>
      <c r="C1283" s="16" t="n">
        <v>55</v>
      </c>
      <c r="D1283" s="16" t="s">
        <v>348</v>
      </c>
      <c r="E1283" s="16" t="n">
        <v>55</v>
      </c>
      <c r="F1283" s="16" t="n">
        <v>0</v>
      </c>
      <c r="G1283" s="16" t="s">
        <v>647</v>
      </c>
    </row>
    <row r="1284" customFormat="false" ht="15" hidden="false" customHeight="false" outlineLevel="0" collapsed="false">
      <c r="A1284" s="16" t="s">
        <v>378</v>
      </c>
      <c r="B1284" s="16" t="s">
        <v>192</v>
      </c>
      <c r="C1284" s="16" t="n">
        <v>74</v>
      </c>
      <c r="D1284" s="16" t="s">
        <v>67</v>
      </c>
      <c r="E1284" s="16" t="n">
        <v>76</v>
      </c>
      <c r="F1284" s="16" t="n">
        <v>2</v>
      </c>
      <c r="G1284" s="16"/>
    </row>
    <row r="1285" customFormat="false" ht="15" hidden="false" customHeight="false" outlineLevel="0" collapsed="false">
      <c r="A1285" s="16" t="s">
        <v>378</v>
      </c>
      <c r="B1285" s="16" t="s">
        <v>67</v>
      </c>
      <c r="C1285" s="16" t="n">
        <v>76</v>
      </c>
      <c r="D1285" s="16" t="s">
        <v>137</v>
      </c>
      <c r="E1285" s="16" t="n">
        <v>78</v>
      </c>
      <c r="F1285" s="16" t="n">
        <v>2</v>
      </c>
      <c r="G1285" s="16"/>
    </row>
    <row r="1286" customFormat="false" ht="15" hidden="false" customHeight="false" outlineLevel="0" collapsed="false">
      <c r="A1286" s="16" t="s">
        <v>378</v>
      </c>
      <c r="B1286" s="16" t="s">
        <v>137</v>
      </c>
      <c r="C1286" s="16" t="n">
        <v>78</v>
      </c>
      <c r="D1286" s="16" t="s">
        <v>90</v>
      </c>
      <c r="E1286" s="16" t="n">
        <v>82</v>
      </c>
      <c r="F1286" s="16" t="n">
        <v>4</v>
      </c>
      <c r="G1286" s="16"/>
    </row>
    <row r="1287" customFormat="false" ht="15" hidden="false" customHeight="false" outlineLevel="0" collapsed="false">
      <c r="A1287" s="16" t="s">
        <v>378</v>
      </c>
      <c r="B1287" s="16" t="s">
        <v>90</v>
      </c>
      <c r="C1287" s="16" t="n">
        <v>82</v>
      </c>
      <c r="D1287" s="16" t="s">
        <v>266</v>
      </c>
      <c r="E1287" s="16" t="n">
        <v>82</v>
      </c>
      <c r="F1287" s="16" t="n">
        <v>0</v>
      </c>
      <c r="G1287" s="16" t="s">
        <v>647</v>
      </c>
    </row>
    <row r="1288" customFormat="false" ht="15" hidden="false" customHeight="false" outlineLevel="0" collapsed="false">
      <c r="A1288" s="16" t="s">
        <v>378</v>
      </c>
      <c r="B1288" s="16" t="s">
        <v>266</v>
      </c>
      <c r="C1288" s="16" t="n">
        <v>82</v>
      </c>
      <c r="D1288" s="16" t="s">
        <v>202</v>
      </c>
      <c r="E1288" s="16" t="n">
        <v>84</v>
      </c>
      <c r="F1288" s="16" t="n">
        <v>2</v>
      </c>
      <c r="G1288" s="16"/>
    </row>
    <row r="1289" customFormat="false" ht="15" hidden="false" customHeight="false" outlineLevel="0" collapsed="false">
      <c r="A1289" s="16" t="s">
        <v>378</v>
      </c>
      <c r="B1289" s="16" t="s">
        <v>202</v>
      </c>
      <c r="C1289" s="16" t="n">
        <v>84</v>
      </c>
      <c r="D1289" s="16" t="s">
        <v>335</v>
      </c>
      <c r="E1289" s="16" t="n">
        <v>91</v>
      </c>
      <c r="F1289" s="16" t="n">
        <v>7</v>
      </c>
      <c r="G1289" s="16"/>
    </row>
    <row r="1290" customFormat="false" ht="15" hidden="false" customHeight="false" outlineLevel="0" collapsed="false">
      <c r="A1290" s="16" t="s">
        <v>378</v>
      </c>
      <c r="B1290" s="16" t="s">
        <v>335</v>
      </c>
      <c r="C1290" s="16" t="n">
        <v>91</v>
      </c>
      <c r="D1290" s="16" t="s">
        <v>328</v>
      </c>
      <c r="E1290" s="16" t="n">
        <v>95</v>
      </c>
      <c r="F1290" s="16" t="n">
        <v>4</v>
      </c>
      <c r="G1290" s="16"/>
    </row>
    <row r="1291" customFormat="false" ht="15" hidden="false" customHeight="false" outlineLevel="0" collapsed="false">
      <c r="A1291" s="16" t="s">
        <v>378</v>
      </c>
      <c r="B1291" s="16" t="s">
        <v>22</v>
      </c>
      <c r="C1291" s="16" t="n">
        <v>108</v>
      </c>
      <c r="D1291" s="16" t="s">
        <v>279</v>
      </c>
      <c r="E1291" s="16" t="n">
        <v>111</v>
      </c>
      <c r="F1291" s="16" t="n">
        <v>3</v>
      </c>
      <c r="G1291" s="16"/>
    </row>
    <row r="1292" customFormat="false" ht="15" hidden="false" customHeight="false" outlineLevel="0" collapsed="false">
      <c r="A1292" s="16" t="s">
        <v>378</v>
      </c>
      <c r="B1292" s="16" t="s">
        <v>279</v>
      </c>
      <c r="C1292" s="16" t="n">
        <v>111</v>
      </c>
      <c r="D1292" s="16" t="s">
        <v>31</v>
      </c>
      <c r="E1292" s="16" t="n">
        <v>112</v>
      </c>
      <c r="F1292" s="16" t="n">
        <v>1</v>
      </c>
      <c r="G1292" s="16"/>
    </row>
    <row r="1293" customFormat="false" ht="15" hidden="false" customHeight="false" outlineLevel="0" collapsed="false">
      <c r="A1293" s="16" t="s">
        <v>378</v>
      </c>
      <c r="B1293" s="16" t="s">
        <v>31</v>
      </c>
      <c r="C1293" s="16" t="n">
        <v>112</v>
      </c>
      <c r="D1293" s="16" t="s">
        <v>304</v>
      </c>
      <c r="E1293" s="16" t="n">
        <v>113</v>
      </c>
      <c r="F1293" s="16" t="n">
        <v>1</v>
      </c>
      <c r="G1293" s="16"/>
    </row>
    <row r="1294" customFormat="false" ht="15" hidden="false" customHeight="false" outlineLevel="0" collapsed="false">
      <c r="A1294" s="16" t="s">
        <v>378</v>
      </c>
      <c r="B1294" s="16" t="s">
        <v>304</v>
      </c>
      <c r="C1294" s="16" t="n">
        <v>113</v>
      </c>
      <c r="D1294" s="16" t="s">
        <v>118</v>
      </c>
      <c r="E1294" s="16" t="n">
        <v>115</v>
      </c>
      <c r="F1294" s="16" t="n">
        <v>2</v>
      </c>
      <c r="G1294" s="16"/>
    </row>
    <row r="1295" customFormat="false" ht="15" hidden="false" customHeight="false" outlineLevel="0" collapsed="false">
      <c r="A1295" s="16" t="s">
        <v>378</v>
      </c>
      <c r="B1295" s="16" t="s">
        <v>47</v>
      </c>
      <c r="C1295" s="16" t="n">
        <v>174</v>
      </c>
      <c r="D1295" s="16" t="s">
        <v>43</v>
      </c>
      <c r="E1295" s="16" t="n">
        <v>178</v>
      </c>
      <c r="F1295" s="16" t="n">
        <v>4</v>
      </c>
      <c r="G1295" s="16"/>
    </row>
    <row r="1296" customFormat="false" ht="15" hidden="false" customHeight="false" outlineLevel="0" collapsed="false">
      <c r="A1296" s="16" t="s">
        <v>378</v>
      </c>
      <c r="B1296" s="16" t="s">
        <v>43</v>
      </c>
      <c r="C1296" s="16" t="n">
        <v>178</v>
      </c>
      <c r="D1296" s="16" t="s">
        <v>351</v>
      </c>
      <c r="E1296" s="16" t="n">
        <v>179</v>
      </c>
      <c r="F1296" s="16" t="n">
        <v>1</v>
      </c>
      <c r="G1296" s="16"/>
    </row>
    <row r="1297" customFormat="false" ht="15" hidden="false" customHeight="false" outlineLevel="0" collapsed="false">
      <c r="A1297" s="16" t="s">
        <v>378</v>
      </c>
      <c r="B1297" s="16" t="s">
        <v>351</v>
      </c>
      <c r="C1297" s="16" t="n">
        <v>179</v>
      </c>
      <c r="D1297" s="16" t="s">
        <v>245</v>
      </c>
      <c r="E1297" s="16" t="n">
        <v>183</v>
      </c>
      <c r="F1297" s="16" t="n">
        <v>4</v>
      </c>
      <c r="G1297" s="16"/>
    </row>
    <row r="1298" customFormat="false" ht="15" hidden="false" customHeight="false" outlineLevel="0" collapsed="false">
      <c r="A1298" s="16" t="s">
        <v>378</v>
      </c>
      <c r="B1298" s="16" t="s">
        <v>245</v>
      </c>
      <c r="C1298" s="16" t="n">
        <v>183</v>
      </c>
      <c r="D1298" s="16" t="s">
        <v>302</v>
      </c>
      <c r="E1298" s="16" t="n">
        <v>183</v>
      </c>
      <c r="F1298" s="16" t="n">
        <v>0</v>
      </c>
      <c r="G1298" s="16" t="s">
        <v>647</v>
      </c>
    </row>
    <row r="1299" customFormat="false" ht="15" hidden="false" customHeight="false" outlineLevel="0" collapsed="false">
      <c r="A1299" s="16" t="s">
        <v>378</v>
      </c>
      <c r="B1299" s="16" t="s">
        <v>302</v>
      </c>
      <c r="C1299" s="16" t="n">
        <v>183</v>
      </c>
      <c r="D1299" s="16" t="s">
        <v>151</v>
      </c>
      <c r="E1299" s="16" t="n">
        <v>191</v>
      </c>
      <c r="F1299" s="16" t="n">
        <v>8</v>
      </c>
      <c r="G1299" s="16"/>
    </row>
    <row r="1300" customFormat="false" ht="15" hidden="false" customHeight="false" outlineLevel="0" collapsed="false">
      <c r="A1300" s="16" t="s">
        <v>378</v>
      </c>
      <c r="B1300" s="16" t="s">
        <v>51</v>
      </c>
      <c r="C1300" s="16" t="n">
        <v>222</v>
      </c>
      <c r="D1300" s="16" t="s">
        <v>342</v>
      </c>
      <c r="E1300" s="16" t="n">
        <v>227</v>
      </c>
      <c r="F1300" s="16" t="n">
        <v>5</v>
      </c>
      <c r="G1300" s="16"/>
    </row>
    <row r="1301" customFormat="false" ht="15" hidden="false" customHeight="false" outlineLevel="0" collapsed="false">
      <c r="A1301" s="16" t="s">
        <v>378</v>
      </c>
      <c r="B1301" s="16" t="s">
        <v>133</v>
      </c>
      <c r="C1301" s="16" t="n">
        <v>280</v>
      </c>
      <c r="D1301" s="16" t="s">
        <v>189</v>
      </c>
      <c r="E1301" s="16" t="n">
        <v>301</v>
      </c>
      <c r="F1301" s="16" t="n">
        <v>21</v>
      </c>
      <c r="G1301" s="16"/>
    </row>
    <row r="1302" customFormat="false" ht="15" hidden="false" customHeight="false" outlineLevel="0" collapsed="false">
      <c r="A1302" s="16" t="s">
        <v>378</v>
      </c>
      <c r="B1302" s="16" t="s">
        <v>290</v>
      </c>
      <c r="C1302" s="16" t="n">
        <v>394</v>
      </c>
      <c r="D1302" s="16" t="s">
        <v>159</v>
      </c>
      <c r="E1302" s="16" t="n">
        <v>403</v>
      </c>
      <c r="F1302" s="16" t="n">
        <v>9</v>
      </c>
      <c r="G1302" s="16"/>
    </row>
    <row r="1303" customFormat="false" ht="15" hidden="false" customHeight="false" outlineLevel="0" collapsed="false">
      <c r="A1303" s="16" t="s">
        <v>378</v>
      </c>
      <c r="B1303" s="16" t="s">
        <v>159</v>
      </c>
      <c r="C1303" s="16" t="n">
        <v>403</v>
      </c>
      <c r="D1303" s="16" t="s">
        <v>166</v>
      </c>
      <c r="E1303" s="16" t="n">
        <v>403</v>
      </c>
      <c r="F1303" s="16" t="n">
        <v>0</v>
      </c>
      <c r="G1303" s="16" t="s">
        <v>647</v>
      </c>
    </row>
    <row r="1304" customFormat="false" ht="15" hidden="false" customHeight="false" outlineLevel="0" collapsed="false">
      <c r="A1304" s="16" t="s">
        <v>378</v>
      </c>
      <c r="B1304" s="16" t="s">
        <v>166</v>
      </c>
      <c r="C1304" s="16" t="n">
        <v>403</v>
      </c>
      <c r="D1304" s="16" t="s">
        <v>63</v>
      </c>
      <c r="E1304" s="16" t="n">
        <v>413</v>
      </c>
      <c r="F1304" s="16" t="n">
        <v>10</v>
      </c>
      <c r="G1304" s="16"/>
    </row>
    <row r="1305" customFormat="false" ht="15" hidden="false" customHeight="false" outlineLevel="0" collapsed="false">
      <c r="A1305" s="16" t="s">
        <v>378</v>
      </c>
      <c r="B1305" s="16" t="s">
        <v>63</v>
      </c>
      <c r="C1305" s="16" t="n">
        <v>413</v>
      </c>
      <c r="D1305" s="16" t="s">
        <v>184</v>
      </c>
      <c r="E1305" s="16" t="n">
        <v>413</v>
      </c>
      <c r="F1305" s="16" t="n">
        <v>0</v>
      </c>
      <c r="G1305" s="16" t="s">
        <v>647</v>
      </c>
    </row>
    <row r="1306" customFormat="false" ht="15" hidden="false" customHeight="false" outlineLevel="0" collapsed="false">
      <c r="A1306" s="16" t="s">
        <v>378</v>
      </c>
      <c r="B1306" s="16" t="s">
        <v>184</v>
      </c>
      <c r="C1306" s="16" t="n">
        <v>413</v>
      </c>
      <c r="D1306" s="16" t="s">
        <v>178</v>
      </c>
      <c r="E1306" s="16" t="n">
        <v>442</v>
      </c>
      <c r="F1306" s="16" t="n">
        <v>29</v>
      </c>
      <c r="G1306" s="16"/>
    </row>
    <row r="1307" customFormat="false" ht="15" hidden="false" customHeight="false" outlineLevel="0" collapsed="false">
      <c r="A1307" s="16" t="s">
        <v>378</v>
      </c>
      <c r="B1307" s="16" t="s">
        <v>178</v>
      </c>
      <c r="C1307" s="16" t="n">
        <v>442</v>
      </c>
      <c r="D1307" s="16" t="s">
        <v>187</v>
      </c>
      <c r="E1307" s="16" t="n">
        <v>442</v>
      </c>
      <c r="F1307" s="16" t="n">
        <v>0</v>
      </c>
      <c r="G1307" s="16" t="s">
        <v>647</v>
      </c>
    </row>
    <row r="1308" customFormat="false" ht="15" hidden="false" customHeight="false" outlineLevel="0" collapsed="false">
      <c r="A1308" s="16" t="s">
        <v>378</v>
      </c>
      <c r="B1308" s="16" t="s">
        <v>187</v>
      </c>
      <c r="C1308" s="16" t="n">
        <v>442</v>
      </c>
      <c r="D1308" s="16" t="s">
        <v>171</v>
      </c>
      <c r="E1308" s="16" t="n">
        <v>466</v>
      </c>
      <c r="F1308" s="16" t="n">
        <v>24</v>
      </c>
      <c r="G1308" s="16"/>
    </row>
    <row r="1309" customFormat="false" ht="15" hidden="false" customHeight="false" outlineLevel="0" collapsed="false">
      <c r="A1309" s="16" t="s">
        <v>378</v>
      </c>
      <c r="B1309" s="16" t="s">
        <v>339</v>
      </c>
      <c r="C1309" s="16" t="n">
        <v>639</v>
      </c>
      <c r="D1309" s="16" t="s">
        <v>251</v>
      </c>
      <c r="E1309" s="16" t="n">
        <v>660</v>
      </c>
      <c r="F1309" s="16" t="n">
        <v>21</v>
      </c>
      <c r="G1309" s="16"/>
    </row>
    <row r="1310" customFormat="false" ht="15" hidden="false" customHeight="false" outlineLevel="0" collapsed="false">
      <c r="A1310" s="16" t="s">
        <v>378</v>
      </c>
      <c r="B1310" s="16" t="s">
        <v>251</v>
      </c>
      <c r="C1310" s="16" t="n">
        <v>660</v>
      </c>
      <c r="D1310" s="16" t="s">
        <v>59</v>
      </c>
      <c r="E1310" s="16" t="n">
        <v>678</v>
      </c>
      <c r="F1310" s="16" t="n">
        <v>18</v>
      </c>
      <c r="G1310" s="16"/>
    </row>
    <row r="1311" customFormat="false" ht="15" hidden="false" customHeight="false" outlineLevel="0" collapsed="false">
      <c r="A1311" s="16" t="s">
        <v>378</v>
      </c>
      <c r="B1311" s="16" t="s">
        <v>222</v>
      </c>
      <c r="C1311" s="16" t="n">
        <v>888</v>
      </c>
      <c r="D1311" s="16" t="s">
        <v>55</v>
      </c>
      <c r="E1311" s="16" t="n">
        <v>897</v>
      </c>
      <c r="F1311" s="16" t="n">
        <v>9</v>
      </c>
      <c r="G1311" s="16"/>
    </row>
    <row r="1312" customFormat="false" ht="15" hidden="false" customHeight="false" outlineLevel="0" collapsed="false">
      <c r="A1312" s="16" t="s">
        <v>378</v>
      </c>
      <c r="B1312" s="16" t="s">
        <v>55</v>
      </c>
      <c r="C1312" s="16" t="n">
        <v>897</v>
      </c>
      <c r="D1312" s="16" t="s">
        <v>209</v>
      </c>
      <c r="E1312" s="16" t="n">
        <v>913</v>
      </c>
      <c r="F1312" s="16" t="n">
        <v>16</v>
      </c>
      <c r="G1312" s="16"/>
    </row>
    <row r="1313" customFormat="false" ht="15" hidden="false" customHeight="false" outlineLevel="0" collapsed="false">
      <c r="A1313" s="16" t="s">
        <v>378</v>
      </c>
      <c r="B1313" s="16" t="s">
        <v>209</v>
      </c>
      <c r="C1313" s="16" t="n">
        <v>913</v>
      </c>
      <c r="D1313" s="16" t="s">
        <v>144</v>
      </c>
      <c r="E1313" s="16" t="n">
        <v>979</v>
      </c>
      <c r="F1313" s="16" t="n">
        <v>66</v>
      </c>
      <c r="G1313" s="16"/>
    </row>
    <row r="1314" customFormat="false" ht="15" hidden="false" customHeight="false" outlineLevel="0" collapsed="false">
      <c r="A1314" s="16" t="s">
        <v>378</v>
      </c>
      <c r="B1314" s="16" t="s">
        <v>144</v>
      </c>
      <c r="C1314" s="16" t="n">
        <v>979</v>
      </c>
      <c r="D1314" s="16" t="s">
        <v>100</v>
      </c>
      <c r="E1314" s="16" t="n">
        <v>985</v>
      </c>
      <c r="F1314" s="16" t="n">
        <v>6</v>
      </c>
      <c r="G1314" s="16"/>
    </row>
    <row r="1315" customFormat="false" ht="15" hidden="false" customHeight="false" outlineLevel="0" collapsed="false">
      <c r="A1315" s="16" t="s">
        <v>378</v>
      </c>
      <c r="B1315" s="16" t="s">
        <v>162</v>
      </c>
      <c r="C1315" s="16" t="n">
        <v>1603</v>
      </c>
      <c r="D1315" s="16" t="s">
        <v>236</v>
      </c>
      <c r="E1315" s="16" t="n">
        <v>1603</v>
      </c>
      <c r="F1315" s="16" t="n">
        <v>0</v>
      </c>
      <c r="G1315" s="16" t="s">
        <v>647</v>
      </c>
    </row>
    <row r="1316" customFormat="false" ht="15" hidden="false" customHeight="false" outlineLevel="0" collapsed="false">
      <c r="A1316" s="16" t="s">
        <v>378</v>
      </c>
      <c r="B1316" s="16" t="s">
        <v>236</v>
      </c>
      <c r="C1316" s="16" t="n">
        <v>1603</v>
      </c>
      <c r="D1316" s="16" t="s">
        <v>320</v>
      </c>
      <c r="E1316" s="16" t="n">
        <v>1603</v>
      </c>
      <c r="F1316" s="16" t="n">
        <v>0</v>
      </c>
      <c r="G1316" s="16" t="s">
        <v>647</v>
      </c>
    </row>
    <row r="1317" customFormat="false" ht="15" hidden="false" customHeight="false" outlineLevel="0" collapsed="false">
      <c r="A1317" s="16" t="s">
        <v>378</v>
      </c>
      <c r="B1317" s="16" t="s">
        <v>39</v>
      </c>
      <c r="C1317" s="16" t="n">
        <v>2314</v>
      </c>
      <c r="D1317" s="16" t="s">
        <v>228</v>
      </c>
      <c r="E1317" s="16" t="n">
        <v>2314</v>
      </c>
      <c r="F1317" s="16" t="n">
        <v>0</v>
      </c>
      <c r="G1317" s="16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2026-09-23T21:30:04Z</dcterms:created>
  <dc:creator>openpyxl</dc:creator>
  <dc:description/>
  <dc:language>en-US</dc:language>
  <cp:lastModifiedBy/>
  <dcterms:modified xsi:type="dcterms:W3CDTF">2026-09-23T21:30:04Z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